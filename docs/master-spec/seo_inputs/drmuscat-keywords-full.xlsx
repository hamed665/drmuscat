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۰۰_راهنما" sheetId="1" state="visible" r:id="rId3"/>
    <sheet name="۰۱_Master" sheetId="2" state="visible" r:id="rId4"/>
    <sheet name="۰۲_Categories" sheetId="3" state="visible" r:id="rId5"/>
    <sheet name="۰۳_Locations" sheetId="4" state="visible" r:id="rId6"/>
    <sheet name="۰۴_Tier1_Money" sheetId="5" state="visible" r:id="rId7"/>
    <sheet name="۰۵_Tier2_Programmatic" sheetId="6" state="visible" r:id="rId8"/>
    <sheet name="۰۶_Tier3_Costs" sheetId="7" state="visible" r:id="rId9"/>
    <sheet name="۰۷_Tier4_Symptoms" sheetId="8" state="visible" r:id="rId10"/>
    <sheet name="۰۸_Tier5_Drugs" sheetId="9" state="visible" r:id="rId11"/>
    <sheet name="۰۹_Tier6_LabImaging" sheetId="10" state="visible" r:id="rId12"/>
    <sheet name="۱۰_Tier7_Wellness" sheetId="11" state="visible" r:id="rId13"/>
    <sheet name="۱۱_Tier8_Devices" sheetId="12" state="visible" r:id="rId14"/>
    <sheet name="۱۲_Tier9_Insurance" sheetId="13" state="visible" r:id="rId15"/>
    <sheet name="۱۳_Tier10_Local" sheetId="14" state="visible" r:id="rId16"/>
    <sheet name="۱۴_Tracking" sheetId="15" state="visible" r:id="rId17"/>
    <sheet name="۱۵_Dashboard" sheetId="16" state="visible" r:id="rId18"/>
    <sheet name="۱۶_Content_Calendar" sheetId="17" state="visible" r:id="rId19"/>
    <sheet name="۱۷_URL_Strategy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<sst xmlns="http://schemas.openxmlformats.org/spreadsheetml/2006/main" count="18206" uniqueCount="2676">
  <si>
    <t xml:space="preserve">🧠 برنامه جامع SEO دکتر مسقط — مرجع کلیدواژه‌ها</t>
  </si>
  <si>
    <t xml:space="preserve">📊</t>
  </si>
  <si>
    <t xml:space="preserve">این فایل شامل بیش از ۶۰۰ کلمه کلیدی دقیق برای SEO دکتر مسقط است.</t>
  </si>
  <si>
    <t xml:space="preserve">همه‌ٔ بازار سلامت عُمان را پوشش می‌دهد: درمانی، تخصصی، دارویی، آزمایشگاهی، تجهیزات، تندرستی و فرهنگی.</t>
  </si>
  <si>
    <t xml:space="preserve">🗂️</t>
  </si>
  <si>
    <t xml:space="preserve">ساختار فایل — ۱۸ شیت سازماندهی‌شده:</t>
  </si>
  <si>
    <t xml:space="preserve">۰۰_راهنما — این شیت</t>
  </si>
  <si>
    <t xml:space="preserve">۰۱_Master — همه ۶۰۰+ کلیدواژه در یک جدول</t>
  </si>
  <si>
    <t xml:space="preserve">۰۲_Categories — فهرست همه ۹۰+ تخصص و دسته با ترجمه</t>
  </si>
  <si>
    <t xml:space="preserve">۰۳_Locations — همه مناطق فعال در عُمان</t>
  </si>
  <si>
    <t xml:space="preserve">۰۴_Tier1_Money — کلیدواژه‌های پولساز (Best Specialty Muscat)</t>
  </si>
  <si>
    <t xml:space="preserve">۰۵_Tier2_Programmatic — ترکیب تخصص × منطقه (۲۴۰ کلمه)</t>
  </si>
  <si>
    <t xml:space="preserve">۰۶_Tier3_Costs — کلیدواژه‌های هزینه و قیمت</t>
  </si>
  <si>
    <t xml:space="preserve">۰۷_Tier4_Symptoms — علائم و درمان‌ها</t>
  </si>
  <si>
    <t xml:space="preserve">۰۸_Tier5_Drugs — داروها، ویتامین‌ها، اسکین‌کر</t>
  </si>
  <si>
    <t xml:space="preserve">۰۹_Tier6_LabImaging — آزمایش‌ها و تصویربرداری</t>
  </si>
  <si>
    <t xml:space="preserve">۱۰_Tier7_Wellness — تندرستی، باشگاه، تغذیه، یوگا</t>
  </si>
  <si>
    <t xml:space="preserve">۱۱_Tier8_Devices — تجهیزات و دستگاه‌های پزشکی</t>
  </si>
  <si>
    <t xml:space="preserve">۱۲_Tier9_Insurance — بیمه و پوشش‌ها</t>
  </si>
  <si>
    <t xml:space="preserve">۱۳_Tier10_Local — رمضان، حج، اقلیم گرم، فرهنگی</t>
  </si>
  <si>
    <t xml:space="preserve">۱۴_Tracking — ردیابی رتبه ماهانه ۶ ماه</t>
  </si>
  <si>
    <t xml:space="preserve">۱۵_Dashboard — داشبورد آمار خودکار</t>
  </si>
  <si>
    <t xml:space="preserve">۱۶_Content_Calendar — تقویم محتوای ۴ ماه</t>
  </si>
  <si>
    <t xml:space="preserve">۱۷_URL_Strategy — استراتژی ساختار URL</t>
  </si>
  <si>
    <t xml:space="preserve">🎨</t>
  </si>
  <si>
    <t xml:space="preserve">رنگ‌بندی Tier‌ها:</t>
  </si>
  <si>
    <t xml:space="preserve">🟨 Tier 1 — طلایی: کلمات پولساز اصلی</t>
  </si>
  <si>
    <t xml:space="preserve">🟦 Tier 2 — فیروزه‌ای: Programmatic (تخصص × منطقه)</t>
  </si>
  <si>
    <t xml:space="preserve">🌸 Tier 3 — رز: هزینه و قیمت</t>
  </si>
  <si>
    <t xml:space="preserve">💜 Tier 4 — بنفش: علائم و درمان</t>
  </si>
  <si>
    <t xml:space="preserve">🔵 Tier 5 — آبی: داروها و ویتامین‌ها</t>
  </si>
  <si>
    <t xml:space="preserve">🟢 Tier 6 — سبز: آزمایش و تصویربرداری</t>
  </si>
  <si>
    <t xml:space="preserve">🟧 Tier 7 — نارنجی: تندرستی و تغذیه</t>
  </si>
  <si>
    <t xml:space="preserve">⚪ Tier 8 — خاکستری: تجهیزات پزشکی</t>
  </si>
  <si>
    <t xml:space="preserve">🟣 Tier 9 — فوشیا: بیمه</t>
  </si>
  <si>
    <t xml:space="preserve">🟡 Tier 10 — کهربایی: فرهنگی و فصلی</t>
  </si>
  <si>
    <t xml:space="preserve">⚡</t>
  </si>
  <si>
    <t xml:space="preserve">ستون Priority Score چه می‌گوید؟</t>
  </si>
  <si>
    <t xml:space="preserve">فرمول: (Intent × log10(Volume)) / Competition</t>
  </si>
  <si>
    <t xml:space="preserve">هرچه عدد بالاتر = اولویت بالاتر (سبز پررنگ)</t>
  </si>
  <si>
    <t xml:space="preserve">Intent: Transactional=5، Commercial=4، Comparison=3، Informational=2</t>
  </si>
  <si>
    <t xml:space="preserve">Competition: High=5، Medium=3، Low=1</t>
  </si>
  <si>
    <t xml:space="preserve">اگر Actual Volume را پر کنید، فرمول از آن استفاده می‌کند.</t>
  </si>
  <si>
    <t xml:space="preserve">✍️</t>
  </si>
  <si>
    <t xml:space="preserve">ستون‌هایی که شما باید پر کنید:</t>
  </si>
  <si>
    <t xml:space="preserve">Actual Volume — حجم دقیق از Google Keyword Planner</t>
  </si>
  <si>
    <t xml:space="preserve">Actual Competition — رقابت دقیق از Ahrefs/Ubersuggest</t>
  </si>
  <si>
    <t xml:space="preserve">Current Rank — رتبه فعلی در گوگل (با VPN عُمان چک کنید)</t>
  </si>
  <si>
    <t xml:space="preserve">Status — وضعیت پیشرفت از منوی کشویی</t>
  </si>
  <si>
    <t xml:space="preserve">Notes — هر نکته‌ای که می‌خواهید برای این کلمه یادتان باشد</t>
  </si>
  <si>
    <t xml:space="preserve">📅</t>
  </si>
  <si>
    <t xml:space="preserve">برنامه پیشنهادی ۴ ماهه:</t>
  </si>
  <si>
    <t xml:space="preserve">ماه ۱ — Foundation:</t>
  </si>
  <si>
    <t xml:space="preserve">   • همه Tier 1 (Money) را به‌عنوان Hub Pages بسازید</t>
  </si>
  <si>
    <t xml:space="preserve">   • همه Tier 5 (Drugs) را به‌عنوان صفحات دارو شروع کنید</t>
  </si>
  <si>
    <t xml:space="preserve">   • ۲۰ مقاله از Tier 4 (Symptoms) منتشر کنید</t>
  </si>
  <si>
    <t xml:space="preserve">ماه ۲ — Programmatic Scale:</t>
  </si>
  <si>
    <t xml:space="preserve">   • Tier 2 را به‌صورت خودکار بسازید (۲۴۰ صفحه)</t>
  </si>
  <si>
    <t xml:space="preserve">   • Tier 6 (Lab tests) را اضافه کنید</t>
  </si>
  <si>
    <t xml:space="preserve">   • Tier 3 (Costs) را به‌صورت مقالات قوی منتشر کنید</t>
  </si>
  <si>
    <t xml:space="preserve">ماه ۳ — Wellness &amp; Lifestyle:</t>
  </si>
  <si>
    <t xml:space="preserve">   • Tier 7 (Wellness, Fitness, Nutrition) را پوشش بدهید</t>
  </si>
  <si>
    <t xml:space="preserve">   • Tier 8 (Devices) را شروع کنید</t>
  </si>
  <si>
    <t xml:space="preserve">   • Tier 9 (Insurance) را اضافه کنید</t>
  </si>
  <si>
    <t xml:space="preserve">ماه ۴ — Local &amp; Polish:</t>
  </si>
  <si>
    <t xml:space="preserve">   • Tier 10 (Local) را برای SEO فصلی منتشر کنید</t>
  </si>
  <si>
    <t xml:space="preserve">   • روی کلمات نزدیک به صفحه اول push کنید</t>
  </si>
  <si>
    <t xml:space="preserve">   • Backlink campaign از همه partners راه‌اندازی کنید</t>
  </si>
  <si>
    <t xml:space="preserve">🎯</t>
  </si>
  <si>
    <t xml:space="preserve">اولویت‌بندی اجرایی:</t>
  </si>
  <si>
    <t xml:space="preserve">هفته اول هر ماه: Money + Programmatic (پایه ترافیک)</t>
  </si>
  <si>
    <t xml:space="preserve">هفته دوم: Symptoms + Costs (محتوای جذاب)</t>
  </si>
  <si>
    <t xml:space="preserve">هفته سوم: Drugs + Lab (E-commerce funnel)</t>
  </si>
  <si>
    <t xml:space="preserve">هفته چهارم: Wellness + Local (تنوع و authority)</t>
  </si>
  <si>
    <t xml:space="preserve">🔬</t>
  </si>
  <si>
    <t xml:space="preserve">چطور Volume واقعی را پیدا کنم؟</t>
  </si>
  <si>
    <t xml:space="preserve">روش رایگان ۱: ads.google.com → Tools → Keyword Planner</t>
  </si>
  <si>
    <t xml:space="preserve">   → Discover new keywords → کلمه را paste کنید</t>
  </si>
  <si>
    <t xml:space="preserve">   → Location: Oman | Language: عربی + انگلیسی</t>
  </si>
  <si>
    <t xml:space="preserve">روش رایگان ۲: trends.google.com → Oman → کلمه را سرچ کنید</t>
  </si>
  <si>
    <t xml:space="preserve">   → روند ۵ ساله را ببینید (صعودی = فرصت)</t>
  </si>
  <si>
    <t xml:space="preserve">روش رایگان ۳: incognito + VPN عُمان → کلمه را در گوگل سرچ کنید</t>
  </si>
  <si>
    <t xml:space="preserve">   → نوع نتایج، تعداد رقیب، و SERP features را بررسی کنید</t>
  </si>
  <si>
    <t xml:space="preserve">⚠️</t>
  </si>
  <si>
    <t xml:space="preserve">نکات حیاتی:</t>
  </si>
  <si>
    <t xml:space="preserve">• اعداد Est. Volume تخمین آگاهانه است، نه قطعی. حتماً با KP چک کنید.</t>
  </si>
  <si>
    <t xml:space="preserve">• Tier 2 (Programmatic) ظاهراً کم‌ارزش است اما در مجموع طلاست — ۲۴۰ صفحه = ترافیک عظیم</t>
  </si>
  <si>
    <t xml:space="preserve">• Tier 4 (Symptoms) intent بالاترین و بهترین conversion را دارد</t>
  </si>
  <si>
    <t xml:space="preserve">• Tier 5 (Drugs) برای e-commerce سلامت در آینده طلاست</t>
  </si>
  <si>
    <t xml:space="preserve">• Tier 10 (Local) مزیت غیرقابل کپی شماست — هیچ رقیب گلوبال این را ندارد</t>
  </si>
  <si>
    <t xml:space="preserve">🏆</t>
  </si>
  <si>
    <t xml:space="preserve">هدف ۱۲ ماهه:</t>
  </si>
  <si>
    <t xml:space="preserve">• ۳۰٪ از این کلمات در صفحه اول گوگل</t>
  </si>
  <si>
    <t xml:space="preserve">• ۵٪ در Top 3</t>
  </si>
  <si>
    <t xml:space="preserve">• ۵۰٬۰۰۰+ بازدید organic ماهانه</t>
  </si>
  <si>
    <t xml:space="preserve">• ۲٬۰۰۰+ تماس واتس‌اَپ از طریق سایت</t>
  </si>
  <si>
    <t xml:space="preserve">📞</t>
  </si>
  <si>
    <t xml:space="preserve">این فایل را با همکار/CTO/developer به اشتراک بگذارید.</t>
  </si>
  <si>
    <t xml:space="preserve">این مرجع ۶۰۰ ساعت کار به شما صرفه‌جویی می‌کند.</t>
  </si>
  <si>
    <t xml:space="preserve">#</t>
  </si>
  <si>
    <t xml:space="preserve">Tier</t>
  </si>
  <si>
    <t xml:space="preserve">Lang</t>
  </si>
  <si>
    <t xml:space="preserve">Keyword</t>
  </si>
  <si>
    <t xml:space="preserve">Intent</t>
  </si>
  <si>
    <t xml:space="preserve">Est. Volume</t>
  </si>
  <si>
    <t xml:space="preserve">Est. Comp.</t>
  </si>
  <si>
    <t xml:space="preserve">Pattern</t>
  </si>
  <si>
    <t xml:space="preserve">Cluster</t>
  </si>
  <si>
    <t xml:space="preserve">Target URL</t>
  </si>
  <si>
    <t xml:space="preserve">Priority</t>
  </si>
  <si>
    <t xml:space="preserve">Actual Vol.</t>
  </si>
  <si>
    <t xml:space="preserve">Actual Diff.</t>
  </si>
  <si>
    <t xml:space="preserve">Current Rank</t>
  </si>
  <si>
    <t xml:space="preserve">Status</t>
  </si>
  <si>
    <t xml:space="preserve">Notes</t>
  </si>
  <si>
    <t xml:space="preserve">EN</t>
  </si>
  <si>
    <t xml:space="preserve">best Dentist Muscat</t>
  </si>
  <si>
    <t xml:space="preserve">Commercial</t>
  </si>
  <si>
    <t xml:space="preserve">1000-2500</t>
  </si>
  <si>
    <t xml:space="preserve">High</t>
  </si>
  <si>
    <t xml:space="preserve">Money-City</t>
  </si>
  <si>
    <t xml:space="preserve">Dental</t>
  </si>
  <si>
    <t xml:space="preserve">/en/dentist</t>
  </si>
  <si>
    <t xml:space="preserve">Not Started</t>
  </si>
  <si>
    <t xml:space="preserve">بهترین Dentist در مسقط — کلمه پربازدید</t>
  </si>
  <si>
    <t xml:space="preserve">AR</t>
  </si>
  <si>
    <t xml:space="preserve">أفضل طبيب أسنان مسقط</t>
  </si>
  <si>
    <t xml:space="preserve">800-2000</t>
  </si>
  <si>
    <t xml:space="preserve">/ar/dentist</t>
  </si>
  <si>
    <t xml:space="preserve">رقابت کم‌تر در عربی، اولویت بالاتر</t>
  </si>
  <si>
    <t xml:space="preserve">best Dental Clinic Muscat</t>
  </si>
  <si>
    <t xml:space="preserve">/en/dental-clinic</t>
  </si>
  <si>
    <t xml:space="preserve">بهترین Dental Clinic در مسقط — کلمه پربازدید</t>
  </si>
  <si>
    <t xml:space="preserve">أفضل عيادة أسنان مسقط</t>
  </si>
  <si>
    <t xml:space="preserve">/ar/dental-clinic</t>
  </si>
  <si>
    <t xml:space="preserve">best Orthodontist Muscat</t>
  </si>
  <si>
    <t xml:space="preserve">400-1000</t>
  </si>
  <si>
    <t xml:space="preserve">Medium</t>
  </si>
  <si>
    <t xml:space="preserve">/en/orthodontist</t>
  </si>
  <si>
    <t xml:space="preserve">بهترین Orthodontist در مسقط — کلمه پربازدید</t>
  </si>
  <si>
    <t xml:space="preserve">أفضل تقويم الأسنان مسقط</t>
  </si>
  <si>
    <t xml:space="preserve">350-800</t>
  </si>
  <si>
    <t xml:space="preserve">/ar/orthodontist</t>
  </si>
  <si>
    <t xml:space="preserve">best Cosmetic Dentist Muscat</t>
  </si>
  <si>
    <t xml:space="preserve">/en/cosmetic-dentist</t>
  </si>
  <si>
    <t xml:space="preserve">بهترین Cosmetic Dentist در مسقط — کلمه پربازدید</t>
  </si>
  <si>
    <t xml:space="preserve">أفضل تجميل الأسنان مسقط</t>
  </si>
  <si>
    <t xml:space="preserve">/ar/cosmetic-dentist</t>
  </si>
  <si>
    <t xml:space="preserve">best Pediatric Dentist Muscat</t>
  </si>
  <si>
    <t xml:space="preserve">/en/pediatric-dentist</t>
  </si>
  <si>
    <t xml:space="preserve">بهترین Pediatric Dentist در مسقط — کلمه پربازدید</t>
  </si>
  <si>
    <t xml:space="preserve">أفضل طبيب أسنان أطفال مسقط</t>
  </si>
  <si>
    <t xml:space="preserve">/ar/pediatric-dentist</t>
  </si>
  <si>
    <t xml:space="preserve">best Dental Implant Muscat</t>
  </si>
  <si>
    <t xml:space="preserve">/en/dental-implant</t>
  </si>
  <si>
    <t xml:space="preserve">بهترین Dental Implant در مسقط — کلمه پربازدید</t>
  </si>
  <si>
    <t xml:space="preserve">أفضل زرع الأسنان مسقط</t>
  </si>
  <si>
    <t xml:space="preserve">/ar/dental-implant</t>
  </si>
  <si>
    <t xml:space="preserve">best Teeth Whitening Muscat</t>
  </si>
  <si>
    <t xml:space="preserve">/en/teeth-whitening</t>
  </si>
  <si>
    <t xml:space="preserve">بهترین Teeth Whitening در مسقط — کلمه پربازدید</t>
  </si>
  <si>
    <t xml:space="preserve">أفضل تبييض الأسنان مسقط</t>
  </si>
  <si>
    <t xml:space="preserve">/ar/teeth-whitening</t>
  </si>
  <si>
    <t xml:space="preserve">best Invisalign Muscat</t>
  </si>
  <si>
    <t xml:space="preserve">/en/invisalign</t>
  </si>
  <si>
    <t xml:space="preserve">بهترین Invisalign در مسقط — کلمه پربازدید</t>
  </si>
  <si>
    <t xml:space="preserve">أفضل تقويم شفاف مسقط</t>
  </si>
  <si>
    <t xml:space="preserve">/ar/invisalign</t>
  </si>
  <si>
    <t xml:space="preserve">best Veneers Muscat</t>
  </si>
  <si>
    <t xml:space="preserve">/en/veneers</t>
  </si>
  <si>
    <t xml:space="preserve">بهترین Veneers در مسقط — کلمه پربازدید</t>
  </si>
  <si>
    <t xml:space="preserve">أفضل عدسات الأسنان مسقط</t>
  </si>
  <si>
    <t xml:space="preserve">/ar/veneers</t>
  </si>
  <si>
    <t xml:space="preserve">best Dermatologist Muscat</t>
  </si>
  <si>
    <t xml:space="preserve">Skin</t>
  </si>
  <si>
    <t xml:space="preserve">/en/dermatologist</t>
  </si>
  <si>
    <t xml:space="preserve">بهترین Dermatologist در مسقط — کلمه پربازدید</t>
  </si>
  <si>
    <t xml:space="preserve">أفضل طبيب جلدية مسقط</t>
  </si>
  <si>
    <t xml:space="preserve">/ar/dermatologist</t>
  </si>
  <si>
    <t xml:space="preserve">best Skin Clinic Muscat</t>
  </si>
  <si>
    <t xml:space="preserve">/en/skin-clinic</t>
  </si>
  <si>
    <t xml:space="preserve">بهترین Skin Clinic در مسقط — کلمه پربازدید</t>
  </si>
  <si>
    <t xml:space="preserve">أفضل عيادة جلدية مسقط</t>
  </si>
  <si>
    <t xml:space="preserve">/ar/skin-clinic</t>
  </si>
  <si>
    <t xml:space="preserve">best Cosmetic Clinic Muscat</t>
  </si>
  <si>
    <t xml:space="preserve">Aesthetic</t>
  </si>
  <si>
    <t xml:space="preserve">/en/cosmetic-clinic</t>
  </si>
  <si>
    <t xml:space="preserve">بهترین Cosmetic Clinic در مسقط — کلمه پربازدید</t>
  </si>
  <si>
    <t xml:space="preserve">أفضل عيادة تجميل مسقط</t>
  </si>
  <si>
    <t xml:space="preserve">/ar/cosmetic-clinic</t>
  </si>
  <si>
    <t xml:space="preserve">best Plastic Surgeon Muscat</t>
  </si>
  <si>
    <t xml:space="preserve">/en/plastic-surgeon</t>
  </si>
  <si>
    <t xml:space="preserve">بهترین Plastic Surgeon در مسقط — کلمه پربازدید</t>
  </si>
  <si>
    <t xml:space="preserve">أفضل جراحة تجميل مسقط</t>
  </si>
  <si>
    <t xml:space="preserve">/ar/plastic-surgeon</t>
  </si>
  <si>
    <t xml:space="preserve">best Laser Hair Removal Muscat</t>
  </si>
  <si>
    <t xml:space="preserve">/en/laser-hair-removal</t>
  </si>
  <si>
    <t xml:space="preserve">بهترین Laser Hair Removal در مسقط — کلمه پربازدید</t>
  </si>
  <si>
    <t xml:space="preserve">أفضل ليزر إزالة الشعر مسقط</t>
  </si>
  <si>
    <t xml:space="preserve">/ar/laser-hair-removal</t>
  </si>
  <si>
    <t xml:space="preserve">best Botox Muscat</t>
  </si>
  <si>
    <t xml:space="preserve">/en/botox</t>
  </si>
  <si>
    <t xml:space="preserve">بهترین Botox در مسقط — کلمه پربازدید</t>
  </si>
  <si>
    <t xml:space="preserve">أفضل بوتوكس مسقط</t>
  </si>
  <si>
    <t xml:space="preserve">/ar/botox</t>
  </si>
  <si>
    <t xml:space="preserve">best Filler Muscat</t>
  </si>
  <si>
    <t xml:space="preserve">/en/filler</t>
  </si>
  <si>
    <t xml:space="preserve">بهترین Filler در مسقط — کلمه پربازدید</t>
  </si>
  <si>
    <t xml:space="preserve">أفضل فيلر مسقط</t>
  </si>
  <si>
    <t xml:space="preserve">/ar/filler</t>
  </si>
  <si>
    <t xml:space="preserve">best Hydrafacial Muscat</t>
  </si>
  <si>
    <t xml:space="preserve">/en/hydrafacial</t>
  </si>
  <si>
    <t xml:space="preserve">بهترین Hydrafacial در مسقط — کلمه پربازدید</t>
  </si>
  <si>
    <t xml:space="preserve">أفضل هيدرافيشل مسقط</t>
  </si>
  <si>
    <t xml:space="preserve">/ar/hydrafacial</t>
  </si>
  <si>
    <t xml:space="preserve">best Laser Skin Treatment Muscat</t>
  </si>
  <si>
    <t xml:space="preserve">/en/laser-skin</t>
  </si>
  <si>
    <t xml:space="preserve">بهترین Laser Skin Treatment در مسقط — کلمه پربازدید</t>
  </si>
  <si>
    <t xml:space="preserve">أفضل ليزر البشرة مسقط</t>
  </si>
  <si>
    <t xml:space="preserve">/ar/laser-skin</t>
  </si>
  <si>
    <t xml:space="preserve">best Hair Transplant Muscat</t>
  </si>
  <si>
    <t xml:space="preserve">/en/hair-transplant</t>
  </si>
  <si>
    <t xml:space="preserve">بهترین Hair Transplant در مسقط — کلمه پربازدید</t>
  </si>
  <si>
    <t xml:space="preserve">أفضل زراعة الشعر مسقط</t>
  </si>
  <si>
    <t xml:space="preserve">/ar/hair-transplant</t>
  </si>
  <si>
    <t xml:space="preserve">best Ophthalmologist Muscat</t>
  </si>
  <si>
    <t xml:space="preserve">Eye</t>
  </si>
  <si>
    <t xml:space="preserve">/en/ophthalmologist</t>
  </si>
  <si>
    <t xml:space="preserve">بهترین Ophthalmologist در مسقط — کلمه پربازدید</t>
  </si>
  <si>
    <t xml:space="preserve">أفضل طبيب عيون مسقط</t>
  </si>
  <si>
    <t xml:space="preserve">/ar/ophthalmologist</t>
  </si>
  <si>
    <t xml:space="preserve">best LASIK Muscat</t>
  </si>
  <si>
    <t xml:space="preserve">/en/lasik</t>
  </si>
  <si>
    <t xml:space="preserve">بهترین LASIK در مسقط — کلمه پربازدید</t>
  </si>
  <si>
    <t xml:space="preserve">أفضل ليزك مسقط</t>
  </si>
  <si>
    <t xml:space="preserve">/ar/lasik</t>
  </si>
  <si>
    <t xml:space="preserve">best Eye Clinic Muscat</t>
  </si>
  <si>
    <t xml:space="preserve">/en/eye-clinic</t>
  </si>
  <si>
    <t xml:space="preserve">بهترین Eye Clinic در مسقط — کلمه پربازدید</t>
  </si>
  <si>
    <t xml:space="preserve">أفضل عيادة عيون مسقط</t>
  </si>
  <si>
    <t xml:space="preserve">/ar/eye-clinic</t>
  </si>
  <si>
    <t xml:space="preserve">best ENT Doctor Muscat</t>
  </si>
  <si>
    <t xml:space="preserve">ENT</t>
  </si>
  <si>
    <t xml:space="preserve">/en/ent-doctor</t>
  </si>
  <si>
    <t xml:space="preserve">بهترین ENT Doctor در مسقط — کلمه پربازدید</t>
  </si>
  <si>
    <t xml:space="preserve">أفضل طبيب أنف وأذن وحنجرة مسقط</t>
  </si>
  <si>
    <t xml:space="preserve">/ar/ent-doctor</t>
  </si>
  <si>
    <t xml:space="preserve">best Cardiologist Muscat</t>
  </si>
  <si>
    <t xml:space="preserve">Heart</t>
  </si>
  <si>
    <t xml:space="preserve">/en/cardiologist</t>
  </si>
  <si>
    <t xml:space="preserve">بهترین Cardiologist در مسقط — کلمه پربازدید</t>
  </si>
  <si>
    <t xml:space="preserve">أفضل طبيب قلب مسقط</t>
  </si>
  <si>
    <t xml:space="preserve">/ar/cardiologist</t>
  </si>
  <si>
    <t xml:space="preserve">best Orthopedic Doctor Muscat</t>
  </si>
  <si>
    <t xml:space="preserve">Orthopedic</t>
  </si>
  <si>
    <t xml:space="preserve">/en/orthopedic</t>
  </si>
  <si>
    <t xml:space="preserve">بهترین Orthopedic Doctor در مسقط — کلمه پربازدید</t>
  </si>
  <si>
    <t xml:space="preserve">أفضل طبيب عظام مسقط</t>
  </si>
  <si>
    <t xml:space="preserve">/ar/orthopedic</t>
  </si>
  <si>
    <t xml:space="preserve">best Gastroenterologist Muscat</t>
  </si>
  <si>
    <t xml:space="preserve">Gastro</t>
  </si>
  <si>
    <t xml:space="preserve">/en/gastroenterologist</t>
  </si>
  <si>
    <t xml:space="preserve">بهترین Gastroenterologist در مسقط — کلمه پربازدید</t>
  </si>
  <si>
    <t xml:space="preserve">أفضل طبيب جهاز هضمي مسقط</t>
  </si>
  <si>
    <t xml:space="preserve">/ar/gastroenterologist</t>
  </si>
  <si>
    <t xml:space="preserve">best Urologist Muscat</t>
  </si>
  <si>
    <t xml:space="preserve">Urology</t>
  </si>
  <si>
    <t xml:space="preserve">/en/urologist</t>
  </si>
  <si>
    <t xml:space="preserve">بهترین Urologist در مسقط — کلمه پربازدید</t>
  </si>
  <si>
    <t xml:space="preserve">أفضل طبيب مسالك بولية مسقط</t>
  </si>
  <si>
    <t xml:space="preserve">/ar/urologist</t>
  </si>
  <si>
    <t xml:space="preserve">best Gynecologist Muscat</t>
  </si>
  <si>
    <t xml:space="preserve">Women</t>
  </si>
  <si>
    <t xml:space="preserve">/en/gynecologist</t>
  </si>
  <si>
    <t xml:space="preserve">بهترین Gynecologist در مسقط — کلمه پربازدید</t>
  </si>
  <si>
    <t xml:space="preserve">أفضل طبيب نساء مسقط</t>
  </si>
  <si>
    <t xml:space="preserve">/ar/gynecologist</t>
  </si>
  <si>
    <t xml:space="preserve">best Obstetrician Muscat</t>
  </si>
  <si>
    <t xml:space="preserve">/en/obstetrician</t>
  </si>
  <si>
    <t xml:space="preserve">بهترین Obstetrician در مسقط — کلمه پربازدید</t>
  </si>
  <si>
    <t xml:space="preserve">أفضل طبيب توليد مسقط</t>
  </si>
  <si>
    <t xml:space="preserve">/ar/obstetrician</t>
  </si>
  <si>
    <t xml:space="preserve">best Pregnancy Care Muscat</t>
  </si>
  <si>
    <t xml:space="preserve">/en/pregnancy-care</t>
  </si>
  <si>
    <t xml:space="preserve">بهترین Pregnancy Care در مسقط — کلمه پربازدید</t>
  </si>
  <si>
    <t xml:space="preserve">أفضل رعاية الحمل مسقط</t>
  </si>
  <si>
    <t xml:space="preserve">/ar/pregnancy-care</t>
  </si>
  <si>
    <t xml:space="preserve">best IVF Clinic Muscat</t>
  </si>
  <si>
    <t xml:space="preserve">/en/ivf-clinic</t>
  </si>
  <si>
    <t xml:space="preserve">بهترین IVF Clinic در مسقط — کلمه پربازدید</t>
  </si>
  <si>
    <t xml:space="preserve">أفضل أطفال أنابيب مسقط</t>
  </si>
  <si>
    <t xml:space="preserve">/ar/ivf-clinic</t>
  </si>
  <si>
    <t xml:space="preserve">best Fertility Clinic Muscat</t>
  </si>
  <si>
    <t xml:space="preserve">/en/fertility-clinic</t>
  </si>
  <si>
    <t xml:space="preserve">بهترین Fertility Clinic در مسقط — کلمه پربازدید</t>
  </si>
  <si>
    <t xml:space="preserve">أفضل علاج العقم مسقط</t>
  </si>
  <si>
    <t xml:space="preserve">/ar/fertility-clinic</t>
  </si>
  <si>
    <t xml:space="preserve">best Pediatrician Muscat</t>
  </si>
  <si>
    <t xml:space="preserve">Pediatric</t>
  </si>
  <si>
    <t xml:space="preserve">/en/pediatrician</t>
  </si>
  <si>
    <t xml:space="preserve">بهترین Pediatrician در مسقط — کلمه پربازدید</t>
  </si>
  <si>
    <t xml:space="preserve">أفضل طبيب أطفال مسقط</t>
  </si>
  <si>
    <t xml:space="preserve">/ar/pediatrician</t>
  </si>
  <si>
    <t xml:space="preserve">best Vaccination Muscat</t>
  </si>
  <si>
    <t xml:space="preserve">/en/vaccination</t>
  </si>
  <si>
    <t xml:space="preserve">بهترین Vaccination در مسقط — کلمه پربازدید</t>
  </si>
  <si>
    <t xml:space="preserve">أفضل تطعيمات مسقط</t>
  </si>
  <si>
    <t xml:space="preserve">/ar/vaccination</t>
  </si>
  <si>
    <t xml:space="preserve">best Psychiatrist Muscat</t>
  </si>
  <si>
    <t xml:space="preserve">Mental</t>
  </si>
  <si>
    <t xml:space="preserve">/en/psychiatrist</t>
  </si>
  <si>
    <t xml:space="preserve">بهترین Psychiatrist در مسقط — کلمه پربازدید</t>
  </si>
  <si>
    <t xml:space="preserve">أفضل طبيب نفسي مسقط</t>
  </si>
  <si>
    <t xml:space="preserve">/ar/psychiatrist</t>
  </si>
  <si>
    <t xml:space="preserve">best Psychologist Muscat</t>
  </si>
  <si>
    <t xml:space="preserve">/en/psychologist</t>
  </si>
  <si>
    <t xml:space="preserve">بهترین Psychologist در مسقط — کلمه پربازدید</t>
  </si>
  <si>
    <t xml:space="preserve">أفضل أخصائي نفسي مسقط</t>
  </si>
  <si>
    <t xml:space="preserve">/ar/psychologist</t>
  </si>
  <si>
    <t xml:space="preserve">best Therapy Muscat</t>
  </si>
  <si>
    <t xml:space="preserve">/en/therapy</t>
  </si>
  <si>
    <t xml:space="preserve">بهترین Therapy در مسقط — کلمه پربازدید</t>
  </si>
  <si>
    <t xml:space="preserve">أفضل العلاج النفسي مسقط</t>
  </si>
  <si>
    <t xml:space="preserve">/ar/therapy</t>
  </si>
  <si>
    <t xml:space="preserve">best Endocrinologist Muscat</t>
  </si>
  <si>
    <t xml:space="preserve">Endocrine</t>
  </si>
  <si>
    <t xml:space="preserve">/en/endocrinologist</t>
  </si>
  <si>
    <t xml:space="preserve">بهترین Endocrinologist در مسقط — کلمه پربازدید</t>
  </si>
  <si>
    <t xml:space="preserve">أفضل طبيب غدد مسقط</t>
  </si>
  <si>
    <t xml:space="preserve">/ar/endocrinologist</t>
  </si>
  <si>
    <t xml:space="preserve">best Diabetes Doctor Muscat</t>
  </si>
  <si>
    <t xml:space="preserve">/en/diabetes-doctor</t>
  </si>
  <si>
    <t xml:space="preserve">بهترین Diabetes Doctor در مسقط — کلمه پربازدید</t>
  </si>
  <si>
    <t xml:space="preserve">أفضل طبيب سكري مسقط</t>
  </si>
  <si>
    <t xml:space="preserve">/ar/diabetes-doctor</t>
  </si>
  <si>
    <t xml:space="preserve">best Thyroid Specialist Muscat</t>
  </si>
  <si>
    <t xml:space="preserve">/en/thyroid-specialist</t>
  </si>
  <si>
    <t xml:space="preserve">بهترین Thyroid Specialist در مسقط — کلمه پربازدید</t>
  </si>
  <si>
    <t xml:space="preserve">أفضل أخصائي الغدة الدرقية مسقط</t>
  </si>
  <si>
    <t xml:space="preserve">/ar/thyroid-specialist</t>
  </si>
  <si>
    <t xml:space="preserve">best Oncologist Muscat</t>
  </si>
  <si>
    <t xml:space="preserve">Oncology</t>
  </si>
  <si>
    <t xml:space="preserve">/en/oncologist</t>
  </si>
  <si>
    <t xml:space="preserve">بهترین Oncologist در مسقط — کلمه پربازدید</t>
  </si>
  <si>
    <t xml:space="preserve">أفضل طبيب أورام مسقط</t>
  </si>
  <si>
    <t xml:space="preserve">/ar/oncologist</t>
  </si>
  <si>
    <t xml:space="preserve">best Cancer Center Muscat</t>
  </si>
  <si>
    <t xml:space="preserve">/en/cancer-center</t>
  </si>
  <si>
    <t xml:space="preserve">بهترین Cancer Center در مسقط — کلمه پربازدید</t>
  </si>
  <si>
    <t xml:space="preserve">أفضل مركز أورام مسقط</t>
  </si>
  <si>
    <t xml:space="preserve">/ar/cancer-center</t>
  </si>
  <si>
    <t xml:space="preserve">best Family Doctor Muscat</t>
  </si>
  <si>
    <t xml:space="preserve">GP</t>
  </si>
  <si>
    <t xml:space="preserve">/en/family-doctor</t>
  </si>
  <si>
    <t xml:space="preserve">بهترین Family Doctor در مسقط — کلمه پربازدید</t>
  </si>
  <si>
    <t xml:space="preserve">أفضل طبيب عائلة مسقط</t>
  </si>
  <si>
    <t xml:space="preserve">/ar/family-doctor</t>
  </si>
  <si>
    <t xml:space="preserve">best Internal Medicine Muscat</t>
  </si>
  <si>
    <t xml:space="preserve">/en/internal-medicine</t>
  </si>
  <si>
    <t xml:space="preserve">بهترین Internal Medicine در مسقط — کلمه پربازدید</t>
  </si>
  <si>
    <t xml:space="preserve">أفضل الطب الباطني مسقط</t>
  </si>
  <si>
    <t xml:space="preserve">/ar/internal-medicine</t>
  </si>
  <si>
    <t xml:space="preserve">best General Practitioner Muscat</t>
  </si>
  <si>
    <t xml:space="preserve">/en/gp</t>
  </si>
  <si>
    <t xml:space="preserve">بهترین General Practitioner در مسقط — کلمه پربازدید</t>
  </si>
  <si>
    <t xml:space="preserve">أفضل طبيب عام مسقط</t>
  </si>
  <si>
    <t xml:space="preserve">/ar/gp</t>
  </si>
  <si>
    <t xml:space="preserve">best Emergency Room Muscat</t>
  </si>
  <si>
    <t xml:space="preserve">Emergency</t>
  </si>
  <si>
    <t xml:space="preserve">/en/emergency</t>
  </si>
  <si>
    <t xml:space="preserve">بهترین Emergency Room در مسقط — کلمه پربازدید</t>
  </si>
  <si>
    <t xml:space="preserve">أفضل طوارئ مسقط</t>
  </si>
  <si>
    <t xml:space="preserve">/ar/emergency</t>
  </si>
  <si>
    <t xml:space="preserve">best Urgent Care Muscat</t>
  </si>
  <si>
    <t xml:space="preserve">/en/urgent-care</t>
  </si>
  <si>
    <t xml:space="preserve">بهترین Urgent Care در مسقط — کلمه پربازدید</t>
  </si>
  <si>
    <t xml:space="preserve">أفضل رعاية عاجلة مسقط</t>
  </si>
  <si>
    <t xml:space="preserve">/ar/urgent-care</t>
  </si>
  <si>
    <t xml:space="preserve">best Neurologist Muscat</t>
  </si>
  <si>
    <t xml:space="preserve">Neuro</t>
  </si>
  <si>
    <t xml:space="preserve">/en/neurologist</t>
  </si>
  <si>
    <t xml:space="preserve">بهترین Neurologist در مسقط — کلمه پربازدید</t>
  </si>
  <si>
    <t xml:space="preserve">أفضل طبيب أعصاب مسقط</t>
  </si>
  <si>
    <t xml:space="preserve">/ar/neurologist</t>
  </si>
  <si>
    <t xml:space="preserve">best Allergist Muscat</t>
  </si>
  <si>
    <t xml:space="preserve">Allergy</t>
  </si>
  <si>
    <t xml:space="preserve">/en/allergist</t>
  </si>
  <si>
    <t xml:space="preserve">بهترین Allergist در مسقط — کلمه پربازدید</t>
  </si>
  <si>
    <t xml:space="preserve">أفضل طبيب الحساسية مسقط</t>
  </si>
  <si>
    <t xml:space="preserve">/ar/allergist</t>
  </si>
  <si>
    <t xml:space="preserve">best Pain Management Muscat</t>
  </si>
  <si>
    <t xml:space="preserve">Pain</t>
  </si>
  <si>
    <t xml:space="preserve">/en/pain-management</t>
  </si>
  <si>
    <t xml:space="preserve">بهترین Pain Management در مسقط — کلمه پربازدید</t>
  </si>
  <si>
    <t xml:space="preserve">أفضل علاج الألم مسقط</t>
  </si>
  <si>
    <t xml:space="preserve">/ar/pain-management</t>
  </si>
  <si>
    <t xml:space="preserve">best Physiotherapy Muscat</t>
  </si>
  <si>
    <t xml:space="preserve">Rehab</t>
  </si>
  <si>
    <t xml:space="preserve">/en/physiotherapy</t>
  </si>
  <si>
    <t xml:space="preserve">بهترین Physiotherapy در مسقط — کلمه پربازدید</t>
  </si>
  <si>
    <t xml:space="preserve">أفضل علاج طبيعي مسقط</t>
  </si>
  <si>
    <t xml:space="preserve">/ar/physiotherapy</t>
  </si>
  <si>
    <t xml:space="preserve">best Nutritionist Muscat</t>
  </si>
  <si>
    <t xml:space="preserve">Nutrition</t>
  </si>
  <si>
    <t xml:space="preserve">/en/nutritionist</t>
  </si>
  <si>
    <t xml:space="preserve">بهترین Nutritionist در مسقط — کلمه پربازدید</t>
  </si>
  <si>
    <t xml:space="preserve">أفضل أخصائي تغذية مسقط</t>
  </si>
  <si>
    <t xml:space="preserve">/ar/nutritionist</t>
  </si>
  <si>
    <t xml:space="preserve">best Dietitian Muscat</t>
  </si>
  <si>
    <t xml:space="preserve">/en/dietitian</t>
  </si>
  <si>
    <t xml:space="preserve">بهترین Dietitian در مسقط — کلمه پربازدید</t>
  </si>
  <si>
    <t xml:space="preserve">أفضل اختصاصي حمية مسقط</t>
  </si>
  <si>
    <t xml:space="preserve">/ar/dietitian</t>
  </si>
  <si>
    <t xml:space="preserve">best Weight Loss Clinic Muscat</t>
  </si>
  <si>
    <t xml:space="preserve">/en/weight-loss</t>
  </si>
  <si>
    <t xml:space="preserve">بهترین Weight Loss Clinic در مسقط — کلمه پربازدید</t>
  </si>
  <si>
    <t xml:space="preserve">أفضل عيادة تخسيس مسقط</t>
  </si>
  <si>
    <t xml:space="preserve">/ar/weight-loss</t>
  </si>
  <si>
    <t xml:space="preserve">best Gym Muscat</t>
  </si>
  <si>
    <t xml:space="preserve">Fitness</t>
  </si>
  <si>
    <t xml:space="preserve">/en/gym</t>
  </si>
  <si>
    <t xml:space="preserve">بهترین Gym در مسقط — کلمه پربازدید</t>
  </si>
  <si>
    <t xml:space="preserve">أفضل صالة رياضية مسقط</t>
  </si>
  <si>
    <t xml:space="preserve">/ar/gym</t>
  </si>
  <si>
    <t xml:space="preserve">best Yoga Studio Muscat</t>
  </si>
  <si>
    <t xml:space="preserve">/en/yoga-studio</t>
  </si>
  <si>
    <t xml:space="preserve">بهترین Yoga Studio در مسقط — کلمه پربازدید</t>
  </si>
  <si>
    <t xml:space="preserve">أفضل استوديو يوغا مسقط</t>
  </si>
  <si>
    <t xml:space="preserve">/ar/yoga-studio</t>
  </si>
  <si>
    <t xml:space="preserve">best Pilates Studio Muscat</t>
  </si>
  <si>
    <t xml:space="preserve">/en/pilates-studio</t>
  </si>
  <si>
    <t xml:space="preserve">بهترین Pilates Studio در مسقط — کلمه پربازدید</t>
  </si>
  <si>
    <t xml:space="preserve">أفضل استوديو بيلاتس مسقط</t>
  </si>
  <si>
    <t xml:space="preserve">/ar/pilates-studio</t>
  </si>
  <si>
    <t xml:space="preserve">best Personal Trainer Muscat</t>
  </si>
  <si>
    <t xml:space="preserve">/en/personal-trainer</t>
  </si>
  <si>
    <t xml:space="preserve">بهترین Personal Trainer در مسقط — کلمه پربازدید</t>
  </si>
  <si>
    <t xml:space="preserve">أفضل مدرب شخصي مسقط</t>
  </si>
  <si>
    <t xml:space="preserve">/ar/personal-trainer</t>
  </si>
  <si>
    <t xml:space="preserve">best Wellness Center Muscat</t>
  </si>
  <si>
    <t xml:space="preserve">/en/wellness-center</t>
  </si>
  <si>
    <t xml:space="preserve">بهترین Wellness Center در مسقط — کلمه پربازدید</t>
  </si>
  <si>
    <t xml:space="preserve">أفضل مركز عافية مسقط</t>
  </si>
  <si>
    <t xml:space="preserve">/ar/wellness-center</t>
  </si>
  <si>
    <t xml:space="preserve">best Pharmacy Muscat</t>
  </si>
  <si>
    <t xml:space="preserve">Pharmacy</t>
  </si>
  <si>
    <t xml:space="preserve">/en/pharmacy</t>
  </si>
  <si>
    <t xml:space="preserve">بهترین Pharmacy در مسقط — کلمه پربازدید</t>
  </si>
  <si>
    <t xml:space="preserve">أفضل صيدلية مسقط</t>
  </si>
  <si>
    <t xml:space="preserve">/ar/pharmacy</t>
  </si>
  <si>
    <t xml:space="preserve">best 24 Hour Pharmacy Muscat</t>
  </si>
  <si>
    <t xml:space="preserve">/en/24h-pharmacy</t>
  </si>
  <si>
    <t xml:space="preserve">بهترین 24 Hour Pharmacy در مسقط — کلمه پربازدید</t>
  </si>
  <si>
    <t xml:space="preserve">أفضل صيدلية ٢٤ ساعة مسقط</t>
  </si>
  <si>
    <t xml:space="preserve">/ar/24h-pharmacy</t>
  </si>
  <si>
    <t xml:space="preserve">best Online Pharmacy Muscat</t>
  </si>
  <si>
    <t xml:space="preserve">/en/online-pharmacy</t>
  </si>
  <si>
    <t xml:space="preserve">بهترین Online Pharmacy در مسقط — کلمه پربازدید</t>
  </si>
  <si>
    <t xml:space="preserve">أفضل صيدلية إلكترونية مسقط</t>
  </si>
  <si>
    <t xml:space="preserve">/ar/online-pharmacy</t>
  </si>
  <si>
    <t xml:space="preserve">best Medical Lab Muscat</t>
  </si>
  <si>
    <t xml:space="preserve">Lab</t>
  </si>
  <si>
    <t xml:space="preserve">/en/medical-lab</t>
  </si>
  <si>
    <t xml:space="preserve">بهترین Medical Lab در مسقط — کلمه پربازدید</t>
  </si>
  <si>
    <t xml:space="preserve">أفضل مختبر طبي مسقط</t>
  </si>
  <si>
    <t xml:space="preserve">/ar/medical-lab</t>
  </si>
  <si>
    <t xml:space="preserve">best Blood Test Muscat</t>
  </si>
  <si>
    <t xml:space="preserve">/en/blood-test</t>
  </si>
  <si>
    <t xml:space="preserve">بهترین Blood Test در مسقط — کلمه پربازدید</t>
  </si>
  <si>
    <t xml:space="preserve">أفضل تحليل دم مسقط</t>
  </si>
  <si>
    <t xml:space="preserve">/ar/blood-test</t>
  </si>
  <si>
    <t xml:space="preserve">best MRI Scan Muscat</t>
  </si>
  <si>
    <t xml:space="preserve">Imaging</t>
  </si>
  <si>
    <t xml:space="preserve">/en/mri-scan</t>
  </si>
  <si>
    <t xml:space="preserve">بهترین MRI Scan در مسقط — کلمه پربازدید</t>
  </si>
  <si>
    <t xml:space="preserve">أفضل أشعة رنين مسقط</t>
  </si>
  <si>
    <t xml:space="preserve">/ar/mri-scan</t>
  </si>
  <si>
    <t xml:space="preserve">best CT Scan Muscat</t>
  </si>
  <si>
    <t xml:space="preserve">/en/ct-scan</t>
  </si>
  <si>
    <t xml:space="preserve">بهترین CT Scan در مسقط — کلمه پربازدید</t>
  </si>
  <si>
    <t xml:space="preserve">أفضل أشعة مقطعية مسقط</t>
  </si>
  <si>
    <t xml:space="preserve">/ar/ct-scan</t>
  </si>
  <si>
    <t xml:space="preserve">best X-Ray Muscat</t>
  </si>
  <si>
    <t xml:space="preserve">/en/x-ray</t>
  </si>
  <si>
    <t xml:space="preserve">بهترین X-Ray در مسقط — کلمه پربازدید</t>
  </si>
  <si>
    <t xml:space="preserve">أفضل أشعة سينية مسقط</t>
  </si>
  <si>
    <t xml:space="preserve">/ar/x-ray</t>
  </si>
  <si>
    <t xml:space="preserve">best Ultrasound Muscat</t>
  </si>
  <si>
    <t xml:space="preserve">/en/ultrasound</t>
  </si>
  <si>
    <t xml:space="preserve">بهترین Ultrasound در مسقط — کلمه پربازدید</t>
  </si>
  <si>
    <t xml:space="preserve">أفضل موجات صوتية مسقط</t>
  </si>
  <si>
    <t xml:space="preserve">/ar/ultrasound</t>
  </si>
  <si>
    <t xml:space="preserve">best Mammography Muscat</t>
  </si>
  <si>
    <t xml:space="preserve">/en/mammography</t>
  </si>
  <si>
    <t xml:space="preserve">بهترین Mammography در مسقط — کلمه پربازدید</t>
  </si>
  <si>
    <t xml:space="preserve">أفضل تصوير الثدي مسقط</t>
  </si>
  <si>
    <t xml:space="preserve">/ar/mammography</t>
  </si>
  <si>
    <t xml:space="preserve">best Home Healthcare Muscat</t>
  </si>
  <si>
    <t xml:space="preserve">Home</t>
  </si>
  <si>
    <t xml:space="preserve">/en/home-healthcare</t>
  </si>
  <si>
    <t xml:space="preserve">بهترین Home Healthcare در مسقط — کلمه پربازدید</t>
  </si>
  <si>
    <t xml:space="preserve">أفضل رعاية منزلية مسقط</t>
  </si>
  <si>
    <t xml:space="preserve">/ar/home-healthcare</t>
  </si>
  <si>
    <t xml:space="preserve">Dentist Al Mouj</t>
  </si>
  <si>
    <t xml:space="preserve">40-100</t>
  </si>
  <si>
    <t xml:space="preserve">Low</t>
  </si>
  <si>
    <t xml:space="preserve">Loc+Cat</t>
  </si>
  <si>
    <t xml:space="preserve">/en/dentist/al-mouj</t>
  </si>
  <si>
    <t xml:space="preserve">long-tail با رقابت پایین</t>
  </si>
  <si>
    <t xml:space="preserve">طبيب أسنان الموج</t>
  </si>
  <si>
    <t xml:space="preserve">/ar/dentist/al-mouj</t>
  </si>
  <si>
    <t xml:space="preserve">Dentist Al Qurum</t>
  </si>
  <si>
    <t xml:space="preserve">/en/dentist/al-qurum</t>
  </si>
  <si>
    <t xml:space="preserve">طبيب أسنان القرم</t>
  </si>
  <si>
    <t xml:space="preserve">/ar/dentist/al-qurum</t>
  </si>
  <si>
    <t xml:space="preserve">Dentist Al Khuwair</t>
  </si>
  <si>
    <t xml:space="preserve">/en/dentist/al-khuwair</t>
  </si>
  <si>
    <t xml:space="preserve">طبيب أسنان الخوير</t>
  </si>
  <si>
    <t xml:space="preserve">/ar/dentist/al-khuwair</t>
  </si>
  <si>
    <t xml:space="preserve">Dentist Madinat Sultan Qaboos</t>
  </si>
  <si>
    <t xml:space="preserve">/en/dentist/madinat-sultan-qaboos</t>
  </si>
  <si>
    <t xml:space="preserve">طبيب أسنان مدينة السلطان قابوس</t>
  </si>
  <si>
    <t xml:space="preserve">/ar/dentist/madinat-sultan-qaboos</t>
  </si>
  <si>
    <t xml:space="preserve">Dentist Al Ghubra</t>
  </si>
  <si>
    <t xml:space="preserve">/en/dentist/al-ghubra</t>
  </si>
  <si>
    <t xml:space="preserve">طبيب أسنان الغبرة</t>
  </si>
  <si>
    <t xml:space="preserve">/ar/dentist/al-ghubra</t>
  </si>
  <si>
    <t xml:space="preserve">Dentist Ruwi</t>
  </si>
  <si>
    <t xml:space="preserve">/en/dentist/ruwi</t>
  </si>
  <si>
    <t xml:space="preserve">طبيب أسنان روي</t>
  </si>
  <si>
    <t xml:space="preserve">/ar/dentist/ruwi</t>
  </si>
  <si>
    <t xml:space="preserve">Dentist Bawshar</t>
  </si>
  <si>
    <t xml:space="preserve">/en/dentist/bawshar</t>
  </si>
  <si>
    <t xml:space="preserve">طبيب أسنان بوشر</t>
  </si>
  <si>
    <t xml:space="preserve">/ar/dentist/bawshar</t>
  </si>
  <si>
    <t xml:space="preserve">Dentist Al Khoud</t>
  </si>
  <si>
    <t xml:space="preserve">/en/dentist/al-khoud</t>
  </si>
  <si>
    <t xml:space="preserve">طبيب أسنان الخوض</t>
  </si>
  <si>
    <t xml:space="preserve">/ar/dentist/al-khoud</t>
  </si>
  <si>
    <t xml:space="preserve">Dental Clinic Al Mouj</t>
  </si>
  <si>
    <t xml:space="preserve">/en/dental-clinic/al-mouj</t>
  </si>
  <si>
    <t xml:space="preserve">عيادة أسنان الموج</t>
  </si>
  <si>
    <t xml:space="preserve">/ar/dental-clinic/al-mouj</t>
  </si>
  <si>
    <t xml:space="preserve">Dental Clinic Al Qurum</t>
  </si>
  <si>
    <t xml:space="preserve">/en/dental-clinic/al-qurum</t>
  </si>
  <si>
    <t xml:space="preserve">عيادة أسنان القرم</t>
  </si>
  <si>
    <t xml:space="preserve">/ar/dental-clinic/al-qurum</t>
  </si>
  <si>
    <t xml:space="preserve">Dental Clinic Al Khuwair</t>
  </si>
  <si>
    <t xml:space="preserve">/en/dental-clinic/al-khuwair</t>
  </si>
  <si>
    <t xml:space="preserve">عيادة أسنان الخوير</t>
  </si>
  <si>
    <t xml:space="preserve">/ar/dental-clinic/al-khuwair</t>
  </si>
  <si>
    <t xml:space="preserve">Dental Clinic Madinat Sultan Qaboos</t>
  </si>
  <si>
    <t xml:space="preserve">/en/dental-clinic/madinat-sultan-qaboos</t>
  </si>
  <si>
    <t xml:space="preserve">عيادة أسنان مدينة السلطان قابوس</t>
  </si>
  <si>
    <t xml:space="preserve">/ar/dental-clinic/madinat-sultan-qaboos</t>
  </si>
  <si>
    <t xml:space="preserve">Dental Clinic Al Ghubra</t>
  </si>
  <si>
    <t xml:space="preserve">/en/dental-clinic/al-ghubra</t>
  </si>
  <si>
    <t xml:space="preserve">عيادة أسنان الغبرة</t>
  </si>
  <si>
    <t xml:space="preserve">/ar/dental-clinic/al-ghubra</t>
  </si>
  <si>
    <t xml:space="preserve">Dental Clinic Ruwi</t>
  </si>
  <si>
    <t xml:space="preserve">/en/dental-clinic/ruwi</t>
  </si>
  <si>
    <t xml:space="preserve">عيادة أسنان روي</t>
  </si>
  <si>
    <t xml:space="preserve">/ar/dental-clinic/ruwi</t>
  </si>
  <si>
    <t xml:space="preserve">Dental Clinic Bawshar</t>
  </si>
  <si>
    <t xml:space="preserve">/en/dental-clinic/bawshar</t>
  </si>
  <si>
    <t xml:space="preserve">عيادة أسنان بوشر</t>
  </si>
  <si>
    <t xml:space="preserve">/ar/dental-clinic/bawshar</t>
  </si>
  <si>
    <t xml:space="preserve">Dental Clinic Al Khoud</t>
  </si>
  <si>
    <t xml:space="preserve">/en/dental-clinic/al-khoud</t>
  </si>
  <si>
    <t xml:space="preserve">عيادة أسنان الخوض</t>
  </si>
  <si>
    <t xml:space="preserve">/ar/dental-clinic/al-khoud</t>
  </si>
  <si>
    <t xml:space="preserve">Orthodontist Al Mouj</t>
  </si>
  <si>
    <t xml:space="preserve">30-80</t>
  </si>
  <si>
    <t xml:space="preserve">/en/orthodontist/al-mouj</t>
  </si>
  <si>
    <t xml:space="preserve">تقويم الأسنان الموج</t>
  </si>
  <si>
    <t xml:space="preserve">/ar/orthodontist/al-mouj</t>
  </si>
  <si>
    <t xml:space="preserve">Orthodontist Al Qurum</t>
  </si>
  <si>
    <t xml:space="preserve">/en/orthodontist/al-qurum</t>
  </si>
  <si>
    <t xml:space="preserve">تقويم الأسنان القرم</t>
  </si>
  <si>
    <t xml:space="preserve">/ar/orthodontist/al-qurum</t>
  </si>
  <si>
    <t xml:space="preserve">Orthodontist Al Khuwair</t>
  </si>
  <si>
    <t xml:space="preserve">/en/orthodontist/al-khuwair</t>
  </si>
  <si>
    <t xml:space="preserve">تقويم الأسنان الخوير</t>
  </si>
  <si>
    <t xml:space="preserve">/ar/orthodontist/al-khuwair</t>
  </si>
  <si>
    <t xml:space="preserve">Orthodontist Madinat Sultan Qaboos</t>
  </si>
  <si>
    <t xml:space="preserve">/en/orthodontist/madinat-sultan-qaboos</t>
  </si>
  <si>
    <t xml:space="preserve">تقويم الأسنان مدينة السلطان قابوس</t>
  </si>
  <si>
    <t xml:space="preserve">/ar/orthodontist/madinat-sultan-qaboos</t>
  </si>
  <si>
    <t xml:space="preserve">Orthodontist Al Ghubra</t>
  </si>
  <si>
    <t xml:space="preserve">/en/orthodontist/al-ghubra</t>
  </si>
  <si>
    <t xml:space="preserve">تقويم الأسنان الغبرة</t>
  </si>
  <si>
    <t xml:space="preserve">/ar/orthodontist/al-ghubra</t>
  </si>
  <si>
    <t xml:space="preserve">Orthodontist Ruwi</t>
  </si>
  <si>
    <t xml:space="preserve">/en/orthodontist/ruwi</t>
  </si>
  <si>
    <t xml:space="preserve">تقويم الأسنان روي</t>
  </si>
  <si>
    <t xml:space="preserve">/ar/orthodontist/ruwi</t>
  </si>
  <si>
    <t xml:space="preserve">Orthodontist Bawshar</t>
  </si>
  <si>
    <t xml:space="preserve">/en/orthodontist/bawshar</t>
  </si>
  <si>
    <t xml:space="preserve">تقويم الأسنان بوشر</t>
  </si>
  <si>
    <t xml:space="preserve">/ar/orthodontist/bawshar</t>
  </si>
  <si>
    <t xml:space="preserve">Orthodontist Al Khoud</t>
  </si>
  <si>
    <t xml:space="preserve">/en/orthodontist/al-khoud</t>
  </si>
  <si>
    <t xml:space="preserve">تقويم الأسنان الخوض</t>
  </si>
  <si>
    <t xml:space="preserve">/ar/orthodontist/al-khoud</t>
  </si>
  <si>
    <t xml:space="preserve">Cosmetic Dentist Al Mouj</t>
  </si>
  <si>
    <t xml:space="preserve">/en/cosmetic-dentist/al-mouj</t>
  </si>
  <si>
    <t xml:space="preserve">تجميل الأسنان الموج</t>
  </si>
  <si>
    <t xml:space="preserve">/ar/cosmetic-dentist/al-mouj</t>
  </si>
  <si>
    <t xml:space="preserve">Cosmetic Dentist Al Qurum</t>
  </si>
  <si>
    <t xml:space="preserve">/en/cosmetic-dentist/al-qurum</t>
  </si>
  <si>
    <t xml:space="preserve">تجميل الأسنان القرم</t>
  </si>
  <si>
    <t xml:space="preserve">/ar/cosmetic-dentist/al-qurum</t>
  </si>
  <si>
    <t xml:space="preserve">Cosmetic Dentist Al Khuwair</t>
  </si>
  <si>
    <t xml:space="preserve">/en/cosmetic-dentist/al-khuwair</t>
  </si>
  <si>
    <t xml:space="preserve">تجميل الأسنان الخوير</t>
  </si>
  <si>
    <t xml:space="preserve">/ar/cosmetic-dentist/al-khuwair</t>
  </si>
  <si>
    <t xml:space="preserve">Cosmetic Dentist Madinat Sultan Qaboos</t>
  </si>
  <si>
    <t xml:space="preserve">/en/cosmetic-dentist/madinat-sultan-qaboos</t>
  </si>
  <si>
    <t xml:space="preserve">تجميل الأسنان مدينة السلطان قابوس</t>
  </si>
  <si>
    <t xml:space="preserve">/ar/cosmetic-dentist/madinat-sultan-qaboos</t>
  </si>
  <si>
    <t xml:space="preserve">Cosmetic Dentist Al Ghubra</t>
  </si>
  <si>
    <t xml:space="preserve">/en/cosmetic-dentist/al-ghubra</t>
  </si>
  <si>
    <t xml:space="preserve">تجميل الأسنان الغبرة</t>
  </si>
  <si>
    <t xml:space="preserve">/ar/cosmetic-dentist/al-ghubra</t>
  </si>
  <si>
    <t xml:space="preserve">Cosmetic Dentist Ruwi</t>
  </si>
  <si>
    <t xml:space="preserve">/en/cosmetic-dentist/ruwi</t>
  </si>
  <si>
    <t xml:space="preserve">تجميل الأسنان روي</t>
  </si>
  <si>
    <t xml:space="preserve">/ar/cosmetic-dentist/ruwi</t>
  </si>
  <si>
    <t xml:space="preserve">Cosmetic Dentist Bawshar</t>
  </si>
  <si>
    <t xml:space="preserve">/en/cosmetic-dentist/bawshar</t>
  </si>
  <si>
    <t xml:space="preserve">تجميل الأسنان بوشر</t>
  </si>
  <si>
    <t xml:space="preserve">/ar/cosmetic-dentist/bawshar</t>
  </si>
  <si>
    <t xml:space="preserve">Cosmetic Dentist Al Khoud</t>
  </si>
  <si>
    <t xml:space="preserve">/en/cosmetic-dentist/al-khoud</t>
  </si>
  <si>
    <t xml:space="preserve">تجميل الأسنان الخوض</t>
  </si>
  <si>
    <t xml:space="preserve">/ar/cosmetic-dentist/al-khoud</t>
  </si>
  <si>
    <t xml:space="preserve">Pediatric Dentist Al Mouj</t>
  </si>
  <si>
    <t xml:space="preserve">/en/pediatric-dentist/al-mouj</t>
  </si>
  <si>
    <t xml:space="preserve">طبيب أسنان أطفال الموج</t>
  </si>
  <si>
    <t xml:space="preserve">/ar/pediatric-dentist/al-mouj</t>
  </si>
  <si>
    <t xml:space="preserve">Pediatric Dentist Al Qurum</t>
  </si>
  <si>
    <t xml:space="preserve">/en/pediatric-dentist/al-qurum</t>
  </si>
  <si>
    <t xml:space="preserve">طبيب أسنان أطفال القرم</t>
  </si>
  <si>
    <t xml:space="preserve">/ar/pediatric-dentist/al-qurum</t>
  </si>
  <si>
    <t xml:space="preserve">Pediatric Dentist Al Khuwair</t>
  </si>
  <si>
    <t xml:space="preserve">/en/pediatric-dentist/al-khuwair</t>
  </si>
  <si>
    <t xml:space="preserve">طبيب أسنان أطفال الخوير</t>
  </si>
  <si>
    <t xml:space="preserve">/ar/pediatric-dentist/al-khuwair</t>
  </si>
  <si>
    <t xml:space="preserve">Pediatric Dentist Madinat Sultan Qaboos</t>
  </si>
  <si>
    <t xml:space="preserve">/en/pediatric-dentist/madinat-sultan-qaboos</t>
  </si>
  <si>
    <t xml:space="preserve">طبيب أسنان أطفال مدينة السلطان قابوس</t>
  </si>
  <si>
    <t xml:space="preserve">/ar/pediatric-dentist/madinat-sultan-qaboos</t>
  </si>
  <si>
    <t xml:space="preserve">Pediatric Dentist Al Ghubra</t>
  </si>
  <si>
    <t xml:space="preserve">/en/pediatric-dentist/al-ghubra</t>
  </si>
  <si>
    <t xml:space="preserve">طبيب أسنان أطفال الغبرة</t>
  </si>
  <si>
    <t xml:space="preserve">/ar/pediatric-dentist/al-ghubra</t>
  </si>
  <si>
    <t xml:space="preserve">Pediatric Dentist Ruwi</t>
  </si>
  <si>
    <t xml:space="preserve">/en/pediatric-dentist/ruwi</t>
  </si>
  <si>
    <t xml:space="preserve">طبيب أسنان أطفال روي</t>
  </si>
  <si>
    <t xml:space="preserve">/ar/pediatric-dentist/ruwi</t>
  </si>
  <si>
    <t xml:space="preserve">Pediatric Dentist Bawshar</t>
  </si>
  <si>
    <t xml:space="preserve">/en/pediatric-dentist/bawshar</t>
  </si>
  <si>
    <t xml:space="preserve">طبيب أسنان أطفال بوشر</t>
  </si>
  <si>
    <t xml:space="preserve">/ar/pediatric-dentist/bawshar</t>
  </si>
  <si>
    <t xml:space="preserve">Pediatric Dentist Al Khoud</t>
  </si>
  <si>
    <t xml:space="preserve">/en/pediatric-dentist/al-khoud</t>
  </si>
  <si>
    <t xml:space="preserve">طبيب أسنان أطفال الخوض</t>
  </si>
  <si>
    <t xml:space="preserve">/ar/pediatric-dentist/al-khoud</t>
  </si>
  <si>
    <t xml:space="preserve">Dental Implant Al Mouj</t>
  </si>
  <si>
    <t xml:space="preserve">/en/dental-implant/al-mouj</t>
  </si>
  <si>
    <t xml:space="preserve">زرع الأسنان الموج</t>
  </si>
  <si>
    <t xml:space="preserve">/ar/dental-implant/al-mouj</t>
  </si>
  <si>
    <t xml:space="preserve">Dental Implant Al Qurum</t>
  </si>
  <si>
    <t xml:space="preserve">/en/dental-implant/al-qurum</t>
  </si>
  <si>
    <t xml:space="preserve">زرع الأسنان القرم</t>
  </si>
  <si>
    <t xml:space="preserve">/ar/dental-implant/al-qurum</t>
  </si>
  <si>
    <t xml:space="preserve">Dental Implant Al Khuwair</t>
  </si>
  <si>
    <t xml:space="preserve">/en/dental-implant/al-khuwair</t>
  </si>
  <si>
    <t xml:space="preserve">زرع الأسنان الخوير</t>
  </si>
  <si>
    <t xml:space="preserve">/ar/dental-implant/al-khuwair</t>
  </si>
  <si>
    <t xml:space="preserve">Dental Implant Madinat Sultan Qaboos</t>
  </si>
  <si>
    <t xml:space="preserve">/en/dental-implant/madinat-sultan-qaboos</t>
  </si>
  <si>
    <t xml:space="preserve">زرع الأسنان مدينة السلطان قابوس</t>
  </si>
  <si>
    <t xml:space="preserve">/ar/dental-implant/madinat-sultan-qaboos</t>
  </si>
  <si>
    <t xml:space="preserve">Dental Implant Al Ghubra</t>
  </si>
  <si>
    <t xml:space="preserve">/en/dental-implant/al-ghubra</t>
  </si>
  <si>
    <t xml:space="preserve">زرع الأسنان الغبرة</t>
  </si>
  <si>
    <t xml:space="preserve">/ar/dental-implant/al-ghubra</t>
  </si>
  <si>
    <t xml:space="preserve">Dental Implant Ruwi</t>
  </si>
  <si>
    <t xml:space="preserve">/en/dental-implant/ruwi</t>
  </si>
  <si>
    <t xml:space="preserve">زرع الأسنان روي</t>
  </si>
  <si>
    <t xml:space="preserve">/ar/dental-implant/ruwi</t>
  </si>
  <si>
    <t xml:space="preserve">Dental Implant Bawshar</t>
  </si>
  <si>
    <t xml:space="preserve">/en/dental-implant/bawshar</t>
  </si>
  <si>
    <t xml:space="preserve">زرع الأسنان بوشر</t>
  </si>
  <si>
    <t xml:space="preserve">/ar/dental-implant/bawshar</t>
  </si>
  <si>
    <t xml:space="preserve">Dental Implant Al Khoud</t>
  </si>
  <si>
    <t xml:space="preserve">/en/dental-implant/al-khoud</t>
  </si>
  <si>
    <t xml:space="preserve">زرع الأسنان الخوض</t>
  </si>
  <si>
    <t xml:space="preserve">/ar/dental-implant/al-khoud</t>
  </si>
  <si>
    <t xml:space="preserve">Teeth Whitening Al Mouj</t>
  </si>
  <si>
    <t xml:space="preserve">/en/teeth-whitening/al-mouj</t>
  </si>
  <si>
    <t xml:space="preserve">تبييض الأسنان الموج</t>
  </si>
  <si>
    <t xml:space="preserve">/ar/teeth-whitening/al-mouj</t>
  </si>
  <si>
    <t xml:space="preserve">Teeth Whitening Al Qurum</t>
  </si>
  <si>
    <t xml:space="preserve">/en/teeth-whitening/al-qurum</t>
  </si>
  <si>
    <t xml:space="preserve">تبييض الأسنان القرم</t>
  </si>
  <si>
    <t xml:space="preserve">/ar/teeth-whitening/al-qurum</t>
  </si>
  <si>
    <t xml:space="preserve">Teeth Whitening Al Khuwair</t>
  </si>
  <si>
    <t xml:space="preserve">/en/teeth-whitening/al-khuwair</t>
  </si>
  <si>
    <t xml:space="preserve">تبييض الأسنان الخوير</t>
  </si>
  <si>
    <t xml:space="preserve">/ar/teeth-whitening/al-khuwair</t>
  </si>
  <si>
    <t xml:space="preserve">Teeth Whitening Madinat Sultan Qaboos</t>
  </si>
  <si>
    <t xml:space="preserve">/en/teeth-whitening/madinat-sultan-qaboos</t>
  </si>
  <si>
    <t xml:space="preserve">تبييض الأسنان مدينة السلطان قابوس</t>
  </si>
  <si>
    <t xml:space="preserve">/ar/teeth-whitening/madinat-sultan-qaboos</t>
  </si>
  <si>
    <t xml:space="preserve">Teeth Whitening Al Ghubra</t>
  </si>
  <si>
    <t xml:space="preserve">/en/teeth-whitening/al-ghubra</t>
  </si>
  <si>
    <t xml:space="preserve">تبييض الأسنان الغبرة</t>
  </si>
  <si>
    <t xml:space="preserve">/ar/teeth-whitening/al-ghubra</t>
  </si>
  <si>
    <t xml:space="preserve">Teeth Whitening Ruwi</t>
  </si>
  <si>
    <t xml:space="preserve">/en/teeth-whitening/ruwi</t>
  </si>
  <si>
    <t xml:space="preserve">تبييض الأسنان روي</t>
  </si>
  <si>
    <t xml:space="preserve">/ar/teeth-whitening/ruwi</t>
  </si>
  <si>
    <t xml:space="preserve">Teeth Whitening Bawshar</t>
  </si>
  <si>
    <t xml:space="preserve">/en/teeth-whitening/bawshar</t>
  </si>
  <si>
    <t xml:space="preserve">تبييض الأسنان بوشر</t>
  </si>
  <si>
    <t xml:space="preserve">/ar/teeth-whitening/bawshar</t>
  </si>
  <si>
    <t xml:space="preserve">Teeth Whitening Al Khoud</t>
  </si>
  <si>
    <t xml:space="preserve">/en/teeth-whitening/al-khoud</t>
  </si>
  <si>
    <t xml:space="preserve">تبييض الأسنان الخوض</t>
  </si>
  <si>
    <t xml:space="preserve">/ar/teeth-whitening/al-khoud</t>
  </si>
  <si>
    <t xml:space="preserve">Invisalign Al Mouj</t>
  </si>
  <si>
    <t xml:space="preserve">/en/invisalign/al-mouj</t>
  </si>
  <si>
    <t xml:space="preserve">تقويم شفاف الموج</t>
  </si>
  <si>
    <t xml:space="preserve">/ar/invisalign/al-mouj</t>
  </si>
  <si>
    <t xml:space="preserve">Invisalign Al Qurum</t>
  </si>
  <si>
    <t xml:space="preserve">/en/invisalign/al-qurum</t>
  </si>
  <si>
    <t xml:space="preserve">تقويم شفاف القرم</t>
  </si>
  <si>
    <t xml:space="preserve">/ar/invisalign/al-qurum</t>
  </si>
  <si>
    <t xml:space="preserve">Invisalign Al Khuwair</t>
  </si>
  <si>
    <t xml:space="preserve">/en/invisalign/al-khuwair</t>
  </si>
  <si>
    <t xml:space="preserve">تقويم شفاف الخوير</t>
  </si>
  <si>
    <t xml:space="preserve">/ar/invisalign/al-khuwair</t>
  </si>
  <si>
    <t xml:space="preserve">Invisalign Madinat Sultan Qaboos</t>
  </si>
  <si>
    <t xml:space="preserve">/en/invisalign/madinat-sultan-qaboos</t>
  </si>
  <si>
    <t xml:space="preserve">تقويم شفاف مدينة السلطان قابوس</t>
  </si>
  <si>
    <t xml:space="preserve">/ar/invisalign/madinat-sultan-qaboos</t>
  </si>
  <si>
    <t xml:space="preserve">Invisalign Al Ghubra</t>
  </si>
  <si>
    <t xml:space="preserve">/en/invisalign/al-ghubra</t>
  </si>
  <si>
    <t xml:space="preserve">تقويم شفاف الغبرة</t>
  </si>
  <si>
    <t xml:space="preserve">/ar/invisalign/al-ghubra</t>
  </si>
  <si>
    <t xml:space="preserve">Invisalign Ruwi</t>
  </si>
  <si>
    <t xml:space="preserve">/en/invisalign/ruwi</t>
  </si>
  <si>
    <t xml:space="preserve">تقويم شفاف روي</t>
  </si>
  <si>
    <t xml:space="preserve">/ar/invisalign/ruwi</t>
  </si>
  <si>
    <t xml:space="preserve">Invisalign Bawshar</t>
  </si>
  <si>
    <t xml:space="preserve">/en/invisalign/bawshar</t>
  </si>
  <si>
    <t xml:space="preserve">تقويم شفاف بوشر</t>
  </si>
  <si>
    <t xml:space="preserve">/ar/invisalign/bawshar</t>
  </si>
  <si>
    <t xml:space="preserve">Invisalign Al Khoud</t>
  </si>
  <si>
    <t xml:space="preserve">/en/invisalign/al-khoud</t>
  </si>
  <si>
    <t xml:space="preserve">تقويم شفاف الخوض</t>
  </si>
  <si>
    <t xml:space="preserve">/ar/invisalign/al-khoud</t>
  </si>
  <si>
    <t xml:space="preserve">Veneers Al Mouj</t>
  </si>
  <si>
    <t xml:space="preserve">/en/veneers/al-mouj</t>
  </si>
  <si>
    <t xml:space="preserve">عدسات الأسنان الموج</t>
  </si>
  <si>
    <t xml:space="preserve">/ar/veneers/al-mouj</t>
  </si>
  <si>
    <t xml:space="preserve">Veneers Al Qurum</t>
  </si>
  <si>
    <t xml:space="preserve">/en/veneers/al-qurum</t>
  </si>
  <si>
    <t xml:space="preserve">عدسات الأسنان القرم</t>
  </si>
  <si>
    <t xml:space="preserve">/ar/veneers/al-qurum</t>
  </si>
  <si>
    <t xml:space="preserve">Veneers Al Khuwair</t>
  </si>
  <si>
    <t xml:space="preserve">/en/veneers/al-khuwair</t>
  </si>
  <si>
    <t xml:space="preserve">عدسات الأسنان الخوير</t>
  </si>
  <si>
    <t xml:space="preserve">/ar/veneers/al-khuwair</t>
  </si>
  <si>
    <t xml:space="preserve">Veneers Madinat Sultan Qaboos</t>
  </si>
  <si>
    <t xml:space="preserve">/en/veneers/madinat-sultan-qaboos</t>
  </si>
  <si>
    <t xml:space="preserve">عدسات الأسنان مدينة السلطان قابوس</t>
  </si>
  <si>
    <t xml:space="preserve">/ar/veneers/madinat-sultan-qaboos</t>
  </si>
  <si>
    <t xml:space="preserve">Veneers Al Ghubra</t>
  </si>
  <si>
    <t xml:space="preserve">/en/veneers/al-ghubra</t>
  </si>
  <si>
    <t xml:space="preserve">عدسات الأسنان الغبرة</t>
  </si>
  <si>
    <t xml:space="preserve">/ar/veneers/al-ghubra</t>
  </si>
  <si>
    <t xml:space="preserve">Veneers Ruwi</t>
  </si>
  <si>
    <t xml:space="preserve">/en/veneers/ruwi</t>
  </si>
  <si>
    <t xml:space="preserve">عدسات الأسنان روي</t>
  </si>
  <si>
    <t xml:space="preserve">/ar/veneers/ruwi</t>
  </si>
  <si>
    <t xml:space="preserve">Veneers Bawshar</t>
  </si>
  <si>
    <t xml:space="preserve">/en/veneers/bawshar</t>
  </si>
  <si>
    <t xml:space="preserve">عدسات الأسنان بوشر</t>
  </si>
  <si>
    <t xml:space="preserve">/ar/veneers/bawshar</t>
  </si>
  <si>
    <t xml:space="preserve">Veneers Al Khoud</t>
  </si>
  <si>
    <t xml:space="preserve">/en/veneers/al-khoud</t>
  </si>
  <si>
    <t xml:space="preserve">عدسات الأسنان الخوض</t>
  </si>
  <si>
    <t xml:space="preserve">/ar/veneers/al-khoud</t>
  </si>
  <si>
    <t xml:space="preserve">Dermatologist Al Mouj</t>
  </si>
  <si>
    <t xml:space="preserve">/en/dermatologist/al-mouj</t>
  </si>
  <si>
    <t xml:space="preserve">طبيب جلدية الموج</t>
  </si>
  <si>
    <t xml:space="preserve">/ar/dermatologist/al-mouj</t>
  </si>
  <si>
    <t xml:space="preserve">Dermatologist Al Qurum</t>
  </si>
  <si>
    <t xml:space="preserve">/en/dermatologist/al-qurum</t>
  </si>
  <si>
    <t xml:space="preserve">طبيب جلدية القرم</t>
  </si>
  <si>
    <t xml:space="preserve">/ar/dermatologist/al-qurum</t>
  </si>
  <si>
    <t xml:space="preserve">Dermatologist Al Khuwair</t>
  </si>
  <si>
    <t xml:space="preserve">/en/dermatologist/al-khuwair</t>
  </si>
  <si>
    <t xml:space="preserve">طبيب جلدية الخوير</t>
  </si>
  <si>
    <t xml:space="preserve">/ar/dermatologist/al-khuwair</t>
  </si>
  <si>
    <t xml:space="preserve">Dermatologist Madinat Sultan Qaboos</t>
  </si>
  <si>
    <t xml:space="preserve">/en/dermatologist/madinat-sultan-qaboos</t>
  </si>
  <si>
    <t xml:space="preserve">طبيب جلدية مدينة السلطان قابوس</t>
  </si>
  <si>
    <t xml:space="preserve">/ar/dermatologist/madinat-sultan-qaboos</t>
  </si>
  <si>
    <t xml:space="preserve">Dermatologist Al Ghubra</t>
  </si>
  <si>
    <t xml:space="preserve">/en/dermatologist/al-ghubra</t>
  </si>
  <si>
    <t xml:space="preserve">طبيب جلدية الغبرة</t>
  </si>
  <si>
    <t xml:space="preserve">/ar/dermatologist/al-ghubra</t>
  </si>
  <si>
    <t xml:space="preserve">Dermatologist Ruwi</t>
  </si>
  <si>
    <t xml:space="preserve">/en/dermatologist/ruwi</t>
  </si>
  <si>
    <t xml:space="preserve">طبيب جلدية روي</t>
  </si>
  <si>
    <t xml:space="preserve">/ar/dermatologist/ruwi</t>
  </si>
  <si>
    <t xml:space="preserve">Dermatologist Bawshar</t>
  </si>
  <si>
    <t xml:space="preserve">/en/dermatologist/bawshar</t>
  </si>
  <si>
    <t xml:space="preserve">طبيب جلدية بوشر</t>
  </si>
  <si>
    <t xml:space="preserve">/ar/dermatologist/bawshar</t>
  </si>
  <si>
    <t xml:space="preserve">Dermatologist Al Khoud</t>
  </si>
  <si>
    <t xml:space="preserve">/en/dermatologist/al-khoud</t>
  </si>
  <si>
    <t xml:space="preserve">طبيب جلدية الخوض</t>
  </si>
  <si>
    <t xml:space="preserve">/ar/dermatologist/al-khoud</t>
  </si>
  <si>
    <t xml:space="preserve">Skin Clinic Al Mouj</t>
  </si>
  <si>
    <t xml:space="preserve">/en/skin-clinic/al-mouj</t>
  </si>
  <si>
    <t xml:space="preserve">عيادة جلدية الموج</t>
  </si>
  <si>
    <t xml:space="preserve">/ar/skin-clinic/al-mouj</t>
  </si>
  <si>
    <t xml:space="preserve">Skin Clinic Al Qurum</t>
  </si>
  <si>
    <t xml:space="preserve">/en/skin-clinic/al-qurum</t>
  </si>
  <si>
    <t xml:space="preserve">عيادة جلدية القرم</t>
  </si>
  <si>
    <t xml:space="preserve">/ar/skin-clinic/al-qurum</t>
  </si>
  <si>
    <t xml:space="preserve">Skin Clinic Al Khuwair</t>
  </si>
  <si>
    <t xml:space="preserve">/en/skin-clinic/al-khuwair</t>
  </si>
  <si>
    <t xml:space="preserve">عيادة جلدية الخوير</t>
  </si>
  <si>
    <t xml:space="preserve">/ar/skin-clinic/al-khuwair</t>
  </si>
  <si>
    <t xml:space="preserve">Skin Clinic Madinat Sultan Qaboos</t>
  </si>
  <si>
    <t xml:space="preserve">/en/skin-clinic/madinat-sultan-qaboos</t>
  </si>
  <si>
    <t xml:space="preserve">عيادة جلدية مدينة السلطان قابوس</t>
  </si>
  <si>
    <t xml:space="preserve">/ar/skin-clinic/madinat-sultan-qaboos</t>
  </si>
  <si>
    <t xml:space="preserve">Skin Clinic Al Ghubra</t>
  </si>
  <si>
    <t xml:space="preserve">/en/skin-clinic/al-ghubra</t>
  </si>
  <si>
    <t xml:space="preserve">عيادة جلدية الغبرة</t>
  </si>
  <si>
    <t xml:space="preserve">/ar/skin-clinic/al-ghubra</t>
  </si>
  <si>
    <t xml:space="preserve">Skin Clinic Ruwi</t>
  </si>
  <si>
    <t xml:space="preserve">/en/skin-clinic/ruwi</t>
  </si>
  <si>
    <t xml:space="preserve">عيادة جلدية روي</t>
  </si>
  <si>
    <t xml:space="preserve">/ar/skin-clinic/ruwi</t>
  </si>
  <si>
    <t xml:space="preserve">Skin Clinic Bawshar</t>
  </si>
  <si>
    <t xml:space="preserve">/en/skin-clinic/bawshar</t>
  </si>
  <si>
    <t xml:space="preserve">عيادة جلدية بوشر</t>
  </si>
  <si>
    <t xml:space="preserve">/ar/skin-clinic/bawshar</t>
  </si>
  <si>
    <t xml:space="preserve">Skin Clinic Al Khoud</t>
  </si>
  <si>
    <t xml:space="preserve">/en/skin-clinic/al-khoud</t>
  </si>
  <si>
    <t xml:space="preserve">عيادة جلدية الخوض</t>
  </si>
  <si>
    <t xml:space="preserve">/ar/skin-clinic/al-khoud</t>
  </si>
  <si>
    <t xml:space="preserve">Cosmetic Clinic Al Mouj</t>
  </si>
  <si>
    <t xml:space="preserve">/en/cosmetic-clinic/al-mouj</t>
  </si>
  <si>
    <t xml:space="preserve">عيادة تجميل الموج</t>
  </si>
  <si>
    <t xml:space="preserve">/ar/cosmetic-clinic/al-mouj</t>
  </si>
  <si>
    <t xml:space="preserve">Cosmetic Clinic Al Qurum</t>
  </si>
  <si>
    <t xml:space="preserve">/en/cosmetic-clinic/al-qurum</t>
  </si>
  <si>
    <t xml:space="preserve">عيادة تجميل القرم</t>
  </si>
  <si>
    <t xml:space="preserve">/ar/cosmetic-clinic/al-qurum</t>
  </si>
  <si>
    <t xml:space="preserve">Cosmetic Clinic Al Khuwair</t>
  </si>
  <si>
    <t xml:space="preserve">/en/cosmetic-clinic/al-khuwair</t>
  </si>
  <si>
    <t xml:space="preserve">عيادة تجميل الخوير</t>
  </si>
  <si>
    <t xml:space="preserve">/ar/cosmetic-clinic/al-khuwair</t>
  </si>
  <si>
    <t xml:space="preserve">Cosmetic Clinic Madinat Sultan Qaboos</t>
  </si>
  <si>
    <t xml:space="preserve">/en/cosmetic-clinic/madinat-sultan-qaboos</t>
  </si>
  <si>
    <t xml:space="preserve">عيادة تجميل مدينة السلطان قابوس</t>
  </si>
  <si>
    <t xml:space="preserve">/ar/cosmetic-clinic/madinat-sultan-qaboos</t>
  </si>
  <si>
    <t xml:space="preserve">Cosmetic Clinic Al Ghubra</t>
  </si>
  <si>
    <t xml:space="preserve">/en/cosmetic-clinic/al-ghubra</t>
  </si>
  <si>
    <t xml:space="preserve">عيادة تجميل الغبرة</t>
  </si>
  <si>
    <t xml:space="preserve">/ar/cosmetic-clinic/al-ghubra</t>
  </si>
  <si>
    <t xml:space="preserve">Cosmetic Clinic Ruwi</t>
  </si>
  <si>
    <t xml:space="preserve">/en/cosmetic-clinic/ruwi</t>
  </si>
  <si>
    <t xml:space="preserve">عيادة تجميل روي</t>
  </si>
  <si>
    <t xml:space="preserve">/ar/cosmetic-clinic/ruwi</t>
  </si>
  <si>
    <t xml:space="preserve">Cosmetic Clinic Bawshar</t>
  </si>
  <si>
    <t xml:space="preserve">/en/cosmetic-clinic/bawshar</t>
  </si>
  <si>
    <t xml:space="preserve">عيادة تجميل بوشر</t>
  </si>
  <si>
    <t xml:space="preserve">/ar/cosmetic-clinic/bawshar</t>
  </si>
  <si>
    <t xml:space="preserve">Cosmetic Clinic Al Khoud</t>
  </si>
  <si>
    <t xml:space="preserve">/en/cosmetic-clinic/al-khoud</t>
  </si>
  <si>
    <t xml:space="preserve">عيادة تجميل الخوض</t>
  </si>
  <si>
    <t xml:space="preserve">/ar/cosmetic-clinic/al-khoud</t>
  </si>
  <si>
    <t xml:space="preserve">Plastic Surgeon Al Mouj</t>
  </si>
  <si>
    <t xml:space="preserve">/en/plastic-surgeon/al-mouj</t>
  </si>
  <si>
    <t xml:space="preserve">جراحة تجميل الموج</t>
  </si>
  <si>
    <t xml:space="preserve">/ar/plastic-surgeon/al-mouj</t>
  </si>
  <si>
    <t xml:space="preserve">Plastic Surgeon Al Qurum</t>
  </si>
  <si>
    <t xml:space="preserve">/en/plastic-surgeon/al-qurum</t>
  </si>
  <si>
    <t xml:space="preserve">جراحة تجميل القرم</t>
  </si>
  <si>
    <t xml:space="preserve">/ar/plastic-surgeon/al-qurum</t>
  </si>
  <si>
    <t xml:space="preserve">Plastic Surgeon Al Khuwair</t>
  </si>
  <si>
    <t xml:space="preserve">/en/plastic-surgeon/al-khuwair</t>
  </si>
  <si>
    <t xml:space="preserve">جراحة تجميل الخوير</t>
  </si>
  <si>
    <t xml:space="preserve">/ar/plastic-surgeon/al-khuwair</t>
  </si>
  <si>
    <t xml:space="preserve">Plastic Surgeon Madinat Sultan Qaboos</t>
  </si>
  <si>
    <t xml:space="preserve">/en/plastic-surgeon/madinat-sultan-qaboos</t>
  </si>
  <si>
    <t xml:space="preserve">جراحة تجميل مدينة السلطان قابوس</t>
  </si>
  <si>
    <t xml:space="preserve">/ar/plastic-surgeon/madinat-sultan-qaboos</t>
  </si>
  <si>
    <t xml:space="preserve">Plastic Surgeon Al Ghubra</t>
  </si>
  <si>
    <t xml:space="preserve">/en/plastic-surgeon/al-ghubra</t>
  </si>
  <si>
    <t xml:space="preserve">جراحة تجميل الغبرة</t>
  </si>
  <si>
    <t xml:space="preserve">/ar/plastic-surgeon/al-ghubra</t>
  </si>
  <si>
    <t xml:space="preserve">Plastic Surgeon Ruwi</t>
  </si>
  <si>
    <t xml:space="preserve">/en/plastic-surgeon/ruwi</t>
  </si>
  <si>
    <t xml:space="preserve">جراحة تجميل روي</t>
  </si>
  <si>
    <t xml:space="preserve">/ar/plastic-surgeon/ruwi</t>
  </si>
  <si>
    <t xml:space="preserve">Plastic Surgeon Bawshar</t>
  </si>
  <si>
    <t xml:space="preserve">/en/plastic-surgeon/bawshar</t>
  </si>
  <si>
    <t xml:space="preserve">جراحة تجميل بوشر</t>
  </si>
  <si>
    <t xml:space="preserve">/ar/plastic-surgeon/bawshar</t>
  </si>
  <si>
    <t xml:space="preserve">Plastic Surgeon Al Khoud</t>
  </si>
  <si>
    <t xml:space="preserve">/en/plastic-surgeon/al-khoud</t>
  </si>
  <si>
    <t xml:space="preserve">جراحة تجميل الخوض</t>
  </si>
  <si>
    <t xml:space="preserve">/ar/plastic-surgeon/al-khoud</t>
  </si>
  <si>
    <t xml:space="preserve">Laser Hair Removal Al Mouj</t>
  </si>
  <si>
    <t xml:space="preserve">/en/laser-hair-removal/al-mouj</t>
  </si>
  <si>
    <t xml:space="preserve">ليزر إزالة الشعر الموج</t>
  </si>
  <si>
    <t xml:space="preserve">/ar/laser-hair-removal/al-mouj</t>
  </si>
  <si>
    <t xml:space="preserve">Laser Hair Removal Al Qurum</t>
  </si>
  <si>
    <t xml:space="preserve">/en/laser-hair-removal/al-qurum</t>
  </si>
  <si>
    <t xml:space="preserve">ليزر إزالة الشعر القرم</t>
  </si>
  <si>
    <t xml:space="preserve">/ar/laser-hair-removal/al-qurum</t>
  </si>
  <si>
    <t xml:space="preserve">Laser Hair Removal Al Khuwair</t>
  </si>
  <si>
    <t xml:space="preserve">/en/laser-hair-removal/al-khuwair</t>
  </si>
  <si>
    <t xml:space="preserve">ليزر إزالة الشعر الخوير</t>
  </si>
  <si>
    <t xml:space="preserve">/ar/laser-hair-removal/al-khuwair</t>
  </si>
  <si>
    <t xml:space="preserve">Laser Hair Removal Madinat Sultan Qaboos</t>
  </si>
  <si>
    <t xml:space="preserve">/en/laser-hair-removal/madinat-sultan-qaboos</t>
  </si>
  <si>
    <t xml:space="preserve">ليزر إزالة الشعر مدينة السلطان قابوس</t>
  </si>
  <si>
    <t xml:space="preserve">/ar/laser-hair-removal/madinat-sultan-qaboos</t>
  </si>
  <si>
    <t xml:space="preserve">Laser Hair Removal Al Ghubra</t>
  </si>
  <si>
    <t xml:space="preserve">/en/laser-hair-removal/al-ghubra</t>
  </si>
  <si>
    <t xml:space="preserve">ليزر إزالة الشعر الغبرة</t>
  </si>
  <si>
    <t xml:space="preserve">/ar/laser-hair-removal/al-ghubra</t>
  </si>
  <si>
    <t xml:space="preserve">Laser Hair Removal Ruwi</t>
  </si>
  <si>
    <t xml:space="preserve">/en/laser-hair-removal/ruwi</t>
  </si>
  <si>
    <t xml:space="preserve">ليزر إزالة الشعر روي</t>
  </si>
  <si>
    <t xml:space="preserve">/ar/laser-hair-removal/ruwi</t>
  </si>
  <si>
    <t xml:space="preserve">Laser Hair Removal Bawshar</t>
  </si>
  <si>
    <t xml:space="preserve">/en/laser-hair-removal/bawshar</t>
  </si>
  <si>
    <t xml:space="preserve">ليزر إزالة الشعر بوشر</t>
  </si>
  <si>
    <t xml:space="preserve">/ar/laser-hair-removal/bawshar</t>
  </si>
  <si>
    <t xml:space="preserve">Laser Hair Removal Al Khoud</t>
  </si>
  <si>
    <t xml:space="preserve">/en/laser-hair-removal/al-khoud</t>
  </si>
  <si>
    <t xml:space="preserve">ليزر إزالة الشعر الخوض</t>
  </si>
  <si>
    <t xml:space="preserve">/ar/laser-hair-removal/al-khoud</t>
  </si>
  <si>
    <t xml:space="preserve">Botox Al Mouj</t>
  </si>
  <si>
    <t xml:space="preserve">/en/botox/al-mouj</t>
  </si>
  <si>
    <t xml:space="preserve">بوتوكس الموج</t>
  </si>
  <si>
    <t xml:space="preserve">/ar/botox/al-mouj</t>
  </si>
  <si>
    <t xml:space="preserve">Botox Al Qurum</t>
  </si>
  <si>
    <t xml:space="preserve">/en/botox/al-qurum</t>
  </si>
  <si>
    <t xml:space="preserve">بوتوكس القرم</t>
  </si>
  <si>
    <t xml:space="preserve">/ar/botox/al-qurum</t>
  </si>
  <si>
    <t xml:space="preserve">Botox Al Khuwair</t>
  </si>
  <si>
    <t xml:space="preserve">/en/botox/al-khuwair</t>
  </si>
  <si>
    <t xml:space="preserve">بوتوكس الخوير</t>
  </si>
  <si>
    <t xml:space="preserve">/ar/botox/al-khuwair</t>
  </si>
  <si>
    <t xml:space="preserve">Botox Madinat Sultan Qaboos</t>
  </si>
  <si>
    <t xml:space="preserve">/en/botox/madinat-sultan-qaboos</t>
  </si>
  <si>
    <t xml:space="preserve">بوتوكس مدينة السلطان قابوس</t>
  </si>
  <si>
    <t xml:space="preserve">/ar/botox/madinat-sultan-qaboos</t>
  </si>
  <si>
    <t xml:space="preserve">Botox Al Ghubra</t>
  </si>
  <si>
    <t xml:space="preserve">/en/botox/al-ghubra</t>
  </si>
  <si>
    <t xml:space="preserve">بوتوكس الغبرة</t>
  </si>
  <si>
    <t xml:space="preserve">/ar/botox/al-ghubra</t>
  </si>
  <si>
    <t xml:space="preserve">Botox Ruwi</t>
  </si>
  <si>
    <t xml:space="preserve">/en/botox/ruwi</t>
  </si>
  <si>
    <t xml:space="preserve">بوتوكس روي</t>
  </si>
  <si>
    <t xml:space="preserve">/ar/botox/ruwi</t>
  </si>
  <si>
    <t xml:space="preserve">Botox Bawshar</t>
  </si>
  <si>
    <t xml:space="preserve">/en/botox/bawshar</t>
  </si>
  <si>
    <t xml:space="preserve">بوتوكس بوشر</t>
  </si>
  <si>
    <t xml:space="preserve">/ar/botox/bawshar</t>
  </si>
  <si>
    <t xml:space="preserve">Botox Al Khoud</t>
  </si>
  <si>
    <t xml:space="preserve">/en/botox/al-khoud</t>
  </si>
  <si>
    <t xml:space="preserve">بوتوكس الخوض</t>
  </si>
  <si>
    <t xml:space="preserve">/ar/botox/al-khoud</t>
  </si>
  <si>
    <t xml:space="preserve">dental implant cost Muscat</t>
  </si>
  <si>
    <t xml:space="preserve">300-700</t>
  </si>
  <si>
    <t xml:space="preserve">Cost</t>
  </si>
  <si>
    <t xml:space="preserve">/en/articles/dental-implant-cost-muscat</t>
  </si>
  <si>
    <t xml:space="preserve">intent بالا — کاربر آماده خرید</t>
  </si>
  <si>
    <t xml:space="preserve">تكلفة زرع الأسنان في مسقط</t>
  </si>
  <si>
    <t xml:space="preserve">250-600</t>
  </si>
  <si>
    <t xml:space="preserve">/ar/articles/dental-implant-cost</t>
  </si>
  <si>
    <t xml:space="preserve">teeth whitening cost Muscat</t>
  </si>
  <si>
    <t xml:space="preserve">200-500</t>
  </si>
  <si>
    <t xml:space="preserve">/en/articles/teeth-whitening-cost-muscat</t>
  </si>
  <si>
    <t xml:space="preserve">تكلفة تبييض الأسنان في مسقط</t>
  </si>
  <si>
    <t xml:space="preserve">150-400</t>
  </si>
  <si>
    <t xml:space="preserve">/ar/articles/teeth-whitening-cost</t>
  </si>
  <si>
    <t xml:space="preserve">invisalign cost Muscat</t>
  </si>
  <si>
    <t xml:space="preserve">/en/articles/invisalign-cost-muscat</t>
  </si>
  <si>
    <t xml:space="preserve">تكلفة تقويم شفاف في مسقط</t>
  </si>
  <si>
    <t xml:space="preserve">/ar/articles/invisalign-cost</t>
  </si>
  <si>
    <t xml:space="preserve">veneers cost Muscat</t>
  </si>
  <si>
    <t xml:space="preserve">/en/articles/veneers-cost-muscat</t>
  </si>
  <si>
    <t xml:space="preserve">تكلفة عدسات الأسنان في مسقط</t>
  </si>
  <si>
    <t xml:space="preserve">/ar/articles/veneers-cost</t>
  </si>
  <si>
    <t xml:space="preserve">root canal cost Muscat</t>
  </si>
  <si>
    <t xml:space="preserve">/en/articles/root-canal-cost-muscat</t>
  </si>
  <si>
    <t xml:space="preserve">تكلفة علاج العصب في مسقط</t>
  </si>
  <si>
    <t xml:space="preserve">/ar/articles/root-canal-cost</t>
  </si>
  <si>
    <t xml:space="preserve">LASIK cost Muscat</t>
  </si>
  <si>
    <t xml:space="preserve">/en/articles/lasik-cost-muscat</t>
  </si>
  <si>
    <t xml:space="preserve">تكلفة ليزك في مسقط</t>
  </si>
  <si>
    <t xml:space="preserve">/ar/articles/lasik-cost</t>
  </si>
  <si>
    <t xml:space="preserve">cataract surgery cost Muscat</t>
  </si>
  <si>
    <t xml:space="preserve">100-300</t>
  </si>
  <si>
    <t xml:space="preserve">/en/articles/cataract-surgery-cost-muscat</t>
  </si>
  <si>
    <t xml:space="preserve">تكلفة جراحة المياه البيضاء في مسقط</t>
  </si>
  <si>
    <t xml:space="preserve">80-250</t>
  </si>
  <si>
    <t xml:space="preserve">/ar/articles/cataract-surgery-cost</t>
  </si>
  <si>
    <t xml:space="preserve">laser hair removal cost Muscat</t>
  </si>
  <si>
    <t xml:space="preserve">/en/articles/laser-hair-removal-cost-muscat</t>
  </si>
  <si>
    <t xml:space="preserve">تكلفة ليزر إزالة الشعر في مسقط</t>
  </si>
  <si>
    <t xml:space="preserve">/ar/articles/laser-hair-removal-cost</t>
  </si>
  <si>
    <t xml:space="preserve">botox cost Muscat</t>
  </si>
  <si>
    <t xml:space="preserve">/en/articles/botox-cost-muscat</t>
  </si>
  <si>
    <t xml:space="preserve">تكلفة بوتوكس في مسقط</t>
  </si>
  <si>
    <t xml:space="preserve">/ar/articles/botox-cost</t>
  </si>
  <si>
    <t xml:space="preserve">filler cost Muscat</t>
  </si>
  <si>
    <t xml:space="preserve">/en/articles/filler-cost-muscat</t>
  </si>
  <si>
    <t xml:space="preserve">تكلفة فيلر في مسقط</t>
  </si>
  <si>
    <t xml:space="preserve">/ar/articles/filler-cost</t>
  </si>
  <si>
    <t xml:space="preserve">hydrafacial cost Muscat</t>
  </si>
  <si>
    <t xml:space="preserve">/en/articles/hydrafacial-cost-muscat</t>
  </si>
  <si>
    <t xml:space="preserve">تكلفة هيدرافيشل في مسقط</t>
  </si>
  <si>
    <t xml:space="preserve">/ar/articles/hydrafacial-cost</t>
  </si>
  <si>
    <t xml:space="preserve">hair transplant cost Muscat</t>
  </si>
  <si>
    <t xml:space="preserve">/en/articles/hair-transplant-cost-muscat</t>
  </si>
  <si>
    <t xml:space="preserve">تكلفة زراعة الشعر في مسقط</t>
  </si>
  <si>
    <t xml:space="preserve">/ar/articles/hair-transplant-cost</t>
  </si>
  <si>
    <t xml:space="preserve">liposuction cost Muscat</t>
  </si>
  <si>
    <t xml:space="preserve">/en/articles/liposuction-cost-muscat</t>
  </si>
  <si>
    <t xml:space="preserve">تكلفة شفط الدهون في مسقط</t>
  </si>
  <si>
    <t xml:space="preserve">/ar/articles/liposuction-cost</t>
  </si>
  <si>
    <t xml:space="preserve">rhinoplasty cost Muscat</t>
  </si>
  <si>
    <t xml:space="preserve">/en/articles/rhinoplasty-cost-muscat</t>
  </si>
  <si>
    <t xml:space="preserve">تكلفة تجميل الأنف في مسقط</t>
  </si>
  <si>
    <t xml:space="preserve">/ar/articles/rhinoplasty-cost</t>
  </si>
  <si>
    <t xml:space="preserve">breast augmentation cost Muscat</t>
  </si>
  <si>
    <t xml:space="preserve">/en/articles/breast-augmentation-cost-muscat</t>
  </si>
  <si>
    <t xml:space="preserve">تكلفة تكبير الصدر في مسقط</t>
  </si>
  <si>
    <t xml:space="preserve">/ar/articles/breast-augmentation-cost</t>
  </si>
  <si>
    <t xml:space="preserve">IVF cost Muscat</t>
  </si>
  <si>
    <t xml:space="preserve">/en/articles/ivf-cost-muscat</t>
  </si>
  <si>
    <t xml:space="preserve">تكلفة أطفال أنابيب في مسقط</t>
  </si>
  <si>
    <t xml:space="preserve">/ar/articles/ivf-cost</t>
  </si>
  <si>
    <t xml:space="preserve">normal delivery cost Muscat</t>
  </si>
  <si>
    <t xml:space="preserve">/en/articles/normal-delivery-cost-muscat</t>
  </si>
  <si>
    <t xml:space="preserve">تكلفة ولادة طبيعية في مسقط</t>
  </si>
  <si>
    <t xml:space="preserve">/ar/articles/normal-delivery-cost</t>
  </si>
  <si>
    <t xml:space="preserve">c-section cost Muscat</t>
  </si>
  <si>
    <t xml:space="preserve">/en/articles/c-section-cost-muscat</t>
  </si>
  <si>
    <t xml:space="preserve">تكلفة ولادة قيصرية في مسقط</t>
  </si>
  <si>
    <t xml:space="preserve">/ar/articles/c-section-cost</t>
  </si>
  <si>
    <t xml:space="preserve">knee replacement cost Muscat</t>
  </si>
  <si>
    <t xml:space="preserve">/en/articles/knee-replacement-cost-muscat</t>
  </si>
  <si>
    <t xml:space="preserve">تكلفة تبديل الركبة في مسقط</t>
  </si>
  <si>
    <t xml:space="preserve">/ar/articles/knee-replacement-cost</t>
  </si>
  <si>
    <t xml:space="preserve">MRI cost Muscat</t>
  </si>
  <si>
    <t xml:space="preserve">/en/articles/mri-cost-muscat</t>
  </si>
  <si>
    <t xml:space="preserve">تكلفة أشعة رنين في مسقط</t>
  </si>
  <si>
    <t xml:space="preserve">/ar/articles/mri-cost</t>
  </si>
  <si>
    <t xml:space="preserve">CT scan cost Muscat</t>
  </si>
  <si>
    <t xml:space="preserve">/en/articles/ct-scan-cost-muscat</t>
  </si>
  <si>
    <t xml:space="preserve">تكلفة أشعة مقطعية في مسقط</t>
  </si>
  <si>
    <t xml:space="preserve">/ar/articles/ct-scan-cost</t>
  </si>
  <si>
    <t xml:space="preserve">blood test cost Muscat</t>
  </si>
  <si>
    <t xml:space="preserve">/en/articles/blood-test-cost-muscat</t>
  </si>
  <si>
    <t xml:space="preserve">تكلفة تحليل دم في مسقط</t>
  </si>
  <si>
    <t xml:space="preserve">/ar/articles/blood-test-cost</t>
  </si>
  <si>
    <t xml:space="preserve">vitamin D test cost Muscat</t>
  </si>
  <si>
    <t xml:space="preserve">/en/articles/vitamin-d-test-cost-muscat</t>
  </si>
  <si>
    <t xml:space="preserve">تكلفة فحص فيتامين D في مسقط</t>
  </si>
  <si>
    <t xml:space="preserve">/ar/articles/vitamin-d-test-cost</t>
  </si>
  <si>
    <t xml:space="preserve">thyroid test cost Muscat</t>
  </si>
  <si>
    <t xml:space="preserve">/en/articles/thyroid-test-cost-muscat</t>
  </si>
  <si>
    <t xml:space="preserve">تكلفة فحص الغدة في مسقط</t>
  </si>
  <si>
    <t xml:space="preserve">/ar/articles/thyroid-test-cost</t>
  </si>
  <si>
    <t xml:space="preserve">colonoscopy cost Muscat</t>
  </si>
  <si>
    <t xml:space="preserve">/en/articles/colonoscopy-cost-muscat</t>
  </si>
  <si>
    <t xml:space="preserve">تكلفة منظار القولون في مسقط</t>
  </si>
  <si>
    <t xml:space="preserve">/ar/articles/colonoscopy-cost</t>
  </si>
  <si>
    <t xml:space="preserve">endoscopy cost Muscat</t>
  </si>
  <si>
    <t xml:space="preserve">/en/articles/endoscopy-cost-muscat</t>
  </si>
  <si>
    <t xml:space="preserve">تكلفة منظار في مسقط</t>
  </si>
  <si>
    <t xml:space="preserve">/ar/articles/endoscopy-cost</t>
  </si>
  <si>
    <t xml:space="preserve">tooth pain treatment Muscat</t>
  </si>
  <si>
    <t xml:space="preserve">Transactional</t>
  </si>
  <si>
    <t xml:space="preserve">500-1200</t>
  </si>
  <si>
    <t xml:space="preserve">Symptom</t>
  </si>
  <si>
    <t xml:space="preserve">/en/articles/tooth-pain-treatment-muscat</t>
  </si>
  <si>
    <t xml:space="preserve">بازدید بالا — کاربر دارای درد فوری</t>
  </si>
  <si>
    <t xml:space="preserve">علاج ألم الأسنان في مسقط</t>
  </si>
  <si>
    <t xml:space="preserve">/ar/articles/tooth-pain-treatment</t>
  </si>
  <si>
    <t xml:space="preserve">gum disease treatment Muscat</t>
  </si>
  <si>
    <t xml:space="preserve">/en/articles/gum-disease-treatment-muscat</t>
  </si>
  <si>
    <t xml:space="preserve">علاج اللثة في مسقط</t>
  </si>
  <si>
    <t xml:space="preserve">/ar/articles/gum-disease-treatment</t>
  </si>
  <si>
    <t xml:space="preserve">bad breath treatment Muscat</t>
  </si>
  <si>
    <t xml:space="preserve">/en/articles/bad-breath-treatment-muscat</t>
  </si>
  <si>
    <t xml:space="preserve">علاج رائحة الفم في مسقط</t>
  </si>
  <si>
    <t xml:space="preserve">130-350</t>
  </si>
  <si>
    <t xml:space="preserve">/ar/articles/bad-breath-treatment</t>
  </si>
  <si>
    <t xml:space="preserve">sensitive teeth treatment Muscat</t>
  </si>
  <si>
    <t xml:space="preserve">/en/articles/sensitive-teeth-treatment-muscat</t>
  </si>
  <si>
    <t xml:space="preserve">علاج حساسية الأسنان في مسقط</t>
  </si>
  <si>
    <t xml:space="preserve">/ar/articles/sensitive-teeth-treatment</t>
  </si>
  <si>
    <t xml:space="preserve">acne treatment Muscat</t>
  </si>
  <si>
    <t xml:space="preserve">/en/articles/acne-treatment-muscat</t>
  </si>
  <si>
    <t xml:space="preserve">علاج حب الشباب في مسقط</t>
  </si>
  <si>
    <t xml:space="preserve">/ar/articles/acne-treatment</t>
  </si>
  <si>
    <t xml:space="preserve">melasma treatment Muscat</t>
  </si>
  <si>
    <t xml:space="preserve">/en/articles/melasma-treatment-muscat</t>
  </si>
  <si>
    <t xml:space="preserve">علاج الكلف في مسقط</t>
  </si>
  <si>
    <t xml:space="preserve">/ar/articles/melasma-treatment</t>
  </si>
  <si>
    <t xml:space="preserve">eczema treatment Muscat</t>
  </si>
  <si>
    <t xml:space="preserve">/en/articles/eczema-treatment-muscat</t>
  </si>
  <si>
    <t xml:space="preserve">علاج الإكزيما في مسقط</t>
  </si>
  <si>
    <t xml:space="preserve">/ar/articles/eczema-treatment</t>
  </si>
  <si>
    <t xml:space="preserve">psoriasis treatment Muscat</t>
  </si>
  <si>
    <t xml:space="preserve">/en/articles/psoriasis-treatment-muscat</t>
  </si>
  <si>
    <t xml:space="preserve">علاج الصدفية في مسقط</t>
  </si>
  <si>
    <t xml:space="preserve">/ar/articles/psoriasis-treatment</t>
  </si>
  <si>
    <t xml:space="preserve">hair loss treatment Muscat</t>
  </si>
  <si>
    <t xml:space="preserve">/en/articles/hair-loss-treatment-muscat</t>
  </si>
  <si>
    <t xml:space="preserve">علاج تساقط الشعر في مسقط</t>
  </si>
  <si>
    <t xml:space="preserve">/ar/articles/hair-loss-treatment</t>
  </si>
  <si>
    <t xml:space="preserve">dandruff treatment Muscat</t>
  </si>
  <si>
    <t xml:space="preserve">/en/articles/dandruff-treatment-muscat</t>
  </si>
  <si>
    <t xml:space="preserve">علاج القشرة في مسقط</t>
  </si>
  <si>
    <t xml:space="preserve">/ar/articles/dandruff-treatment</t>
  </si>
  <si>
    <t xml:space="preserve">dark circles treatment Muscat</t>
  </si>
  <si>
    <t xml:space="preserve">/en/articles/dark-circles-treatment-muscat</t>
  </si>
  <si>
    <t xml:space="preserve">علاج الهالات السوداء في مسقط</t>
  </si>
  <si>
    <t xml:space="preserve">/ar/articles/dark-circles-treatment</t>
  </si>
  <si>
    <t xml:space="preserve">stretch marks treatment Muscat</t>
  </si>
  <si>
    <t xml:space="preserve">/en/articles/stretch-marks-treatment-muscat</t>
  </si>
  <si>
    <t xml:space="preserve">علاج تشققات الجلد في مسقط</t>
  </si>
  <si>
    <t xml:space="preserve">/ar/articles/stretch-marks-treatment</t>
  </si>
  <si>
    <t xml:space="preserve">dry eyes treatment Muscat</t>
  </si>
  <si>
    <t xml:space="preserve">/en/articles/dry-eyes-treatment-muscat</t>
  </si>
  <si>
    <t xml:space="preserve">علاج جفاف العين في مسقط</t>
  </si>
  <si>
    <t xml:space="preserve">/ar/articles/dry-eyes-treatment</t>
  </si>
  <si>
    <t xml:space="preserve">red eyes Muscat</t>
  </si>
  <si>
    <t xml:space="preserve">Informational</t>
  </si>
  <si>
    <t xml:space="preserve">/en/articles/red-eyes-muscat</t>
  </si>
  <si>
    <t xml:space="preserve">احمرار العين في مسقط</t>
  </si>
  <si>
    <t xml:space="preserve">/ar/articles/red-eyes</t>
  </si>
  <si>
    <t xml:space="preserve">vision problems Muscat</t>
  </si>
  <si>
    <t xml:space="preserve">/en/articles/vision-problems-muscat</t>
  </si>
  <si>
    <t xml:space="preserve">مشاكل النظر في مسقط</t>
  </si>
  <si>
    <t xml:space="preserve">/ar/articles/vision-problems</t>
  </si>
  <si>
    <t xml:space="preserve">ear pain treatment Muscat</t>
  </si>
  <si>
    <t xml:space="preserve">/en/articles/ear-pain-treatment-muscat</t>
  </si>
  <si>
    <t xml:space="preserve">علاج ألم الأذن في مسقط</t>
  </si>
  <si>
    <t xml:space="preserve">/ar/articles/ear-pain-treatment</t>
  </si>
  <si>
    <t xml:space="preserve">sinus treatment Muscat</t>
  </si>
  <si>
    <t xml:space="preserve">/en/articles/sinus-treatment-muscat</t>
  </si>
  <si>
    <t xml:space="preserve">علاج الجيوب الأنفية في مسقط</t>
  </si>
  <si>
    <t xml:space="preserve">/ar/articles/sinus-treatment</t>
  </si>
  <si>
    <t xml:space="preserve">tonsillitis treatment Muscat</t>
  </si>
  <si>
    <t xml:space="preserve">/en/articles/tonsillitis-treatment-muscat</t>
  </si>
  <si>
    <t xml:space="preserve">علاج اللوزتين في مسقط</t>
  </si>
  <si>
    <t xml:space="preserve">/ar/articles/tonsillitis-treatment</t>
  </si>
  <si>
    <t xml:space="preserve">snoring treatment Muscat</t>
  </si>
  <si>
    <t xml:space="preserve">/en/articles/snoring-treatment-muscat</t>
  </si>
  <si>
    <t xml:space="preserve">علاج الشخير في مسقط</t>
  </si>
  <si>
    <t xml:space="preserve">/ar/articles/snoring-treatment</t>
  </si>
  <si>
    <t xml:space="preserve">back pain treatment Muscat</t>
  </si>
  <si>
    <t xml:space="preserve">/en/articles/back-pain-treatment-muscat</t>
  </si>
  <si>
    <t xml:space="preserve">علاج آلام الظهر في مسقط</t>
  </si>
  <si>
    <t xml:space="preserve">/ar/articles/back-pain-treatment</t>
  </si>
  <si>
    <t xml:space="preserve">knee pain treatment Muscat</t>
  </si>
  <si>
    <t xml:space="preserve">/en/articles/knee-pain-treatment-muscat</t>
  </si>
  <si>
    <t xml:space="preserve">علاج ألم الركبة في مسقط</t>
  </si>
  <si>
    <t xml:space="preserve">/ar/articles/knee-pain-treatment</t>
  </si>
  <si>
    <t xml:space="preserve">shoulder pain treatment Muscat</t>
  </si>
  <si>
    <t xml:space="preserve">/en/articles/shoulder-pain-treatment-muscat</t>
  </si>
  <si>
    <t xml:space="preserve">علاج ألم الكتف في مسقط</t>
  </si>
  <si>
    <t xml:space="preserve">/ar/articles/shoulder-pain-treatment</t>
  </si>
  <si>
    <t xml:space="preserve">sciatica treatment Muscat</t>
  </si>
  <si>
    <t xml:space="preserve">/en/articles/sciatica-treatment-muscat</t>
  </si>
  <si>
    <t xml:space="preserve">علاج عرق النسا في مسقط</t>
  </si>
  <si>
    <t xml:space="preserve">/ar/articles/sciatica-treatment</t>
  </si>
  <si>
    <t xml:space="preserve">herniated disc treatment Muscat</t>
  </si>
  <si>
    <t xml:space="preserve">/en/articles/herniated-disc-treatment-muscat</t>
  </si>
  <si>
    <t xml:space="preserve">علاج الانزلاق الغضروفي في مسقط</t>
  </si>
  <si>
    <t xml:space="preserve">/ar/articles/herniated-disc-treatment</t>
  </si>
  <si>
    <t xml:space="preserve">diabetes management Muscat</t>
  </si>
  <si>
    <t xml:space="preserve">/en/articles/diabetes-management-muscat</t>
  </si>
  <si>
    <t xml:space="preserve">إدارة السكري في مسقط</t>
  </si>
  <si>
    <t xml:space="preserve">/ar/articles/diabetes-management</t>
  </si>
  <si>
    <t xml:space="preserve">thyroid problems Muscat</t>
  </si>
  <si>
    <t xml:space="preserve">/en/articles/thyroid-problems-muscat</t>
  </si>
  <si>
    <t xml:space="preserve">مشاكل الغدة الدرقية في مسقط</t>
  </si>
  <si>
    <t xml:space="preserve">/ar/articles/thyroid-problems</t>
  </si>
  <si>
    <t xml:space="preserve">hypertension treatment Muscat</t>
  </si>
  <si>
    <t xml:space="preserve">/en/articles/hypertension-treatment-muscat</t>
  </si>
  <si>
    <t xml:space="preserve">علاج ضغط الدم في مسقط</t>
  </si>
  <si>
    <t xml:space="preserve">/ar/articles/hypertension-treatment</t>
  </si>
  <si>
    <t xml:space="preserve">chest pain Muscat</t>
  </si>
  <si>
    <t xml:space="preserve">/en/articles/chest-pain-muscat</t>
  </si>
  <si>
    <t xml:space="preserve">ألم الصدر في مسقط</t>
  </si>
  <si>
    <t xml:space="preserve">/ar/articles/chest-pain</t>
  </si>
  <si>
    <t xml:space="preserve">irregular heartbeat Muscat</t>
  </si>
  <si>
    <t xml:space="preserve">/en/articles/irregular-heartbeat-muscat</t>
  </si>
  <si>
    <t xml:space="preserve">عدم انتظام ضربات القلب في مسقط</t>
  </si>
  <si>
    <t xml:space="preserve">/ar/articles/irregular-heartbeat</t>
  </si>
  <si>
    <t xml:space="preserve">anxiety treatment Muscat</t>
  </si>
  <si>
    <t xml:space="preserve">/en/articles/anxiety-treatment-muscat</t>
  </si>
  <si>
    <t xml:space="preserve">علاج القلق في مسقط</t>
  </si>
  <si>
    <t xml:space="preserve">/ar/articles/anxiety-treatment</t>
  </si>
  <si>
    <t xml:space="preserve">depression treatment Muscat</t>
  </si>
  <si>
    <t xml:space="preserve">/en/articles/depression-treatment-muscat</t>
  </si>
  <si>
    <t xml:space="preserve">علاج الاكتئاب في مسقط</t>
  </si>
  <si>
    <t xml:space="preserve">/ar/articles/depression-treatment</t>
  </si>
  <si>
    <t xml:space="preserve">insomnia treatment Muscat</t>
  </si>
  <si>
    <t xml:space="preserve">/en/articles/insomnia-treatment-muscat</t>
  </si>
  <si>
    <t xml:space="preserve">علاج الأرق في مسقط</t>
  </si>
  <si>
    <t xml:space="preserve">/ar/articles/insomnia-treatment</t>
  </si>
  <si>
    <t xml:space="preserve">panic attack treatment Muscat</t>
  </si>
  <si>
    <t xml:space="preserve">/en/articles/panic-attack-treatment-muscat</t>
  </si>
  <si>
    <t xml:space="preserve">علاج نوبات الهلع في مسقط</t>
  </si>
  <si>
    <t xml:space="preserve">/ar/articles/panic-attack-treatment</t>
  </si>
  <si>
    <t xml:space="preserve">ADHD treatment Muscat</t>
  </si>
  <si>
    <t xml:space="preserve">/en/articles/adhd-treatment-muscat</t>
  </si>
  <si>
    <t xml:space="preserve">علاج فرط الحركة في مسقط</t>
  </si>
  <si>
    <t xml:space="preserve">/ar/articles/adhd-treatment</t>
  </si>
  <si>
    <t xml:space="preserve">infertility treatment Muscat</t>
  </si>
  <si>
    <t xml:space="preserve">/en/articles/infertility-treatment-muscat</t>
  </si>
  <si>
    <t xml:space="preserve">علاج العقم في مسقط</t>
  </si>
  <si>
    <t xml:space="preserve">/ar/articles/infertility-treatment</t>
  </si>
  <si>
    <t xml:space="preserve">pcos treatment Muscat</t>
  </si>
  <si>
    <t xml:space="preserve">/en/articles/pcos-treatment-muscat</t>
  </si>
  <si>
    <t xml:space="preserve">علاج تكيس المبايض في مسقط</t>
  </si>
  <si>
    <t xml:space="preserve">/ar/articles/pcos-treatment</t>
  </si>
  <si>
    <t xml:space="preserve">menstrual problems Muscat</t>
  </si>
  <si>
    <t xml:space="preserve">/en/articles/menstrual-problems-muscat</t>
  </si>
  <si>
    <t xml:space="preserve">مشاكل الدورة في مسقط</t>
  </si>
  <si>
    <t xml:space="preserve">/ar/articles/menstrual-problems</t>
  </si>
  <si>
    <t xml:space="preserve">menopause symptoms Muscat</t>
  </si>
  <si>
    <t xml:space="preserve">/en/articles/menopause-symptoms-muscat</t>
  </si>
  <si>
    <t xml:space="preserve">أعراض سن اليأس في مسقط</t>
  </si>
  <si>
    <t xml:space="preserve">/ar/articles/menopause-symptoms</t>
  </si>
  <si>
    <t xml:space="preserve">constipation treatment Muscat</t>
  </si>
  <si>
    <t xml:space="preserve">/en/articles/constipation-treatment-muscat</t>
  </si>
  <si>
    <t xml:space="preserve">علاج الإمساك في مسقط</t>
  </si>
  <si>
    <t xml:space="preserve">/ar/articles/constipation-treatment</t>
  </si>
  <si>
    <t xml:space="preserve">ibs treatment Muscat</t>
  </si>
  <si>
    <t xml:space="preserve">/en/articles/ibs-treatment-muscat</t>
  </si>
  <si>
    <t xml:space="preserve">علاج القولون العصبي في مسقط</t>
  </si>
  <si>
    <t xml:space="preserve">/ar/articles/ibs-treatment</t>
  </si>
  <si>
    <t xml:space="preserve">acid reflux treatment Muscat</t>
  </si>
  <si>
    <t xml:space="preserve">/en/articles/acid-reflux-treatment-muscat</t>
  </si>
  <si>
    <t xml:space="preserve">علاج ارتجاع المريء في مسقط</t>
  </si>
  <si>
    <t xml:space="preserve">/ar/articles/acid-reflux-treatment</t>
  </si>
  <si>
    <t xml:space="preserve">urinary infection treatment Muscat</t>
  </si>
  <si>
    <t xml:space="preserve">/en/articles/urinary-infection-treatment-muscat</t>
  </si>
  <si>
    <t xml:space="preserve">علاج التهاب المسالك في مسقط</t>
  </si>
  <si>
    <t xml:space="preserve">/ar/articles/urinary-infection-treatment</t>
  </si>
  <si>
    <t xml:space="preserve">kidney stones treatment Muscat</t>
  </si>
  <si>
    <t xml:space="preserve">/en/articles/kidney-stones-treatment-muscat</t>
  </si>
  <si>
    <t xml:space="preserve">علاج حصى الكلى في مسقط</t>
  </si>
  <si>
    <t xml:space="preserve">/ar/articles/kidney-stones-treatment</t>
  </si>
  <si>
    <t xml:space="preserve">erectile dysfunction treatment Muscat</t>
  </si>
  <si>
    <t xml:space="preserve">/en/articles/erectile-dysfunction-treatment-muscat</t>
  </si>
  <si>
    <t xml:space="preserve">علاج ضعف الانتصاب في مسقط</t>
  </si>
  <si>
    <t xml:space="preserve">/ar/articles/erectile-dysfunction-treatment</t>
  </si>
  <si>
    <t xml:space="preserve">asthma treatment Muscat</t>
  </si>
  <si>
    <t xml:space="preserve">Pulmo</t>
  </si>
  <si>
    <t xml:space="preserve">/en/articles/asthma-treatment-muscat</t>
  </si>
  <si>
    <t xml:space="preserve">علاج الربو في مسقط</t>
  </si>
  <si>
    <t xml:space="preserve">/ar/articles/asthma-treatment</t>
  </si>
  <si>
    <t xml:space="preserve">allergy treatment Muscat</t>
  </si>
  <si>
    <t xml:space="preserve">/en/articles/allergy-treatment-muscat</t>
  </si>
  <si>
    <t xml:space="preserve">علاج الحساسية في مسقط</t>
  </si>
  <si>
    <t xml:space="preserve">/ar/articles/allergy-treatment</t>
  </si>
  <si>
    <t xml:space="preserve">migraine treatment Muscat</t>
  </si>
  <si>
    <t xml:space="preserve">/en/articles/migraine-treatment-muscat</t>
  </si>
  <si>
    <t xml:space="preserve">علاج الصداع النصفي في مسقط</t>
  </si>
  <si>
    <t xml:space="preserve">/ar/articles/migraine-treatment</t>
  </si>
  <si>
    <t xml:space="preserve">vertigo treatment Muscat</t>
  </si>
  <si>
    <t xml:space="preserve">/en/articles/vertigo-treatment-muscat</t>
  </si>
  <si>
    <t xml:space="preserve">علاج الدوخة في مسقط</t>
  </si>
  <si>
    <t xml:space="preserve">/ar/articles/vertigo-treatment</t>
  </si>
  <si>
    <t xml:space="preserve">Panadol Muscat</t>
  </si>
  <si>
    <t xml:space="preserve">500-1500</t>
  </si>
  <si>
    <t xml:space="preserve">Drug</t>
  </si>
  <si>
    <t xml:space="preserve">OTC Pain</t>
  </si>
  <si>
    <t xml:space="preserve">/en/pharmacy/panadol</t>
  </si>
  <si>
    <t xml:space="preserve">خرید مستقیم — high conversion</t>
  </si>
  <si>
    <t xml:space="preserve">بنادول مسقط</t>
  </si>
  <si>
    <t xml:space="preserve">400-1200</t>
  </si>
  <si>
    <t xml:space="preserve">/ar/pharmacy/panadol</t>
  </si>
  <si>
    <t xml:space="preserve">paracetamol Muscat</t>
  </si>
  <si>
    <t xml:space="preserve">/en/pharmacy/paracetamol</t>
  </si>
  <si>
    <t xml:space="preserve">باراسيتامول مسقط</t>
  </si>
  <si>
    <t xml:space="preserve">/ar/pharmacy/paracetamol</t>
  </si>
  <si>
    <t xml:space="preserve">ibuprofen Muscat</t>
  </si>
  <si>
    <t xml:space="preserve">/en/pharmacy/ibuprofen</t>
  </si>
  <si>
    <t xml:space="preserve">إيبوبروفين مسقط</t>
  </si>
  <si>
    <t xml:space="preserve">/ar/pharmacy/ibuprofen</t>
  </si>
  <si>
    <t xml:space="preserve">Voltaren Muscat</t>
  </si>
  <si>
    <t xml:space="preserve">/en/pharmacy/voltaren</t>
  </si>
  <si>
    <t xml:space="preserve">فولتارين مسقط</t>
  </si>
  <si>
    <t xml:space="preserve">/ar/pharmacy/voltaren</t>
  </si>
  <si>
    <t xml:space="preserve">aspirin Muscat</t>
  </si>
  <si>
    <t xml:space="preserve">/en/pharmacy/aspirin</t>
  </si>
  <si>
    <t xml:space="preserve">أسبرين مسقط</t>
  </si>
  <si>
    <t xml:space="preserve">/ar/pharmacy/aspirin</t>
  </si>
  <si>
    <t xml:space="preserve">vitamin D Muscat</t>
  </si>
  <si>
    <t xml:space="preserve">Vitamins</t>
  </si>
  <si>
    <t xml:space="preserve">/en/pharmacy/vitamin-d</t>
  </si>
  <si>
    <t xml:space="preserve">فيتامين د مسقط</t>
  </si>
  <si>
    <t xml:space="preserve">/ar/pharmacy/vitamin-d</t>
  </si>
  <si>
    <t xml:space="preserve">vitamin B12 Muscat</t>
  </si>
  <si>
    <t xml:space="preserve">/en/pharmacy/vitamin-b12</t>
  </si>
  <si>
    <t xml:space="preserve">فيتامين ب١٢ مسقط</t>
  </si>
  <si>
    <t xml:space="preserve">/ar/pharmacy/vitamin-b12</t>
  </si>
  <si>
    <t xml:space="preserve">vitamin C Muscat</t>
  </si>
  <si>
    <t xml:space="preserve">/en/pharmacy/vitamin-c</t>
  </si>
  <si>
    <t xml:space="preserve">فيتامين سي مسقط</t>
  </si>
  <si>
    <t xml:space="preserve">/ar/pharmacy/vitamin-c</t>
  </si>
  <si>
    <t xml:space="preserve">multivitamin Muscat</t>
  </si>
  <si>
    <t xml:space="preserve">/en/pharmacy/multivitamin</t>
  </si>
  <si>
    <t xml:space="preserve">ملتي فيتامين مسقط</t>
  </si>
  <si>
    <t xml:space="preserve">/ar/pharmacy/multivitamin</t>
  </si>
  <si>
    <t xml:space="preserve">iron supplement Muscat</t>
  </si>
  <si>
    <t xml:space="preserve">/en/pharmacy/iron-supplement</t>
  </si>
  <si>
    <t xml:space="preserve">حبوب الحديد مسقط</t>
  </si>
  <si>
    <t xml:space="preserve">/ar/pharmacy/iron-supplement</t>
  </si>
  <si>
    <t xml:space="preserve">calcium supplement Muscat</t>
  </si>
  <si>
    <t xml:space="preserve">/en/pharmacy/calcium-supplement</t>
  </si>
  <si>
    <t xml:space="preserve">كالسيوم مسقط</t>
  </si>
  <si>
    <t xml:space="preserve">/ar/pharmacy/calcium-supplement</t>
  </si>
  <si>
    <t xml:space="preserve">omega 3 Muscat</t>
  </si>
  <si>
    <t xml:space="preserve">Supplements</t>
  </si>
  <si>
    <t xml:space="preserve">/en/pharmacy/omega-3</t>
  </si>
  <si>
    <t xml:space="preserve">أوميغا ٣ مسقط</t>
  </si>
  <si>
    <t xml:space="preserve">/ar/pharmacy/omega-3</t>
  </si>
  <si>
    <t xml:space="preserve">biotin Muscat</t>
  </si>
  <si>
    <t xml:space="preserve">/en/pharmacy/biotin</t>
  </si>
  <si>
    <t xml:space="preserve">بيوتين مسقط</t>
  </si>
  <si>
    <t xml:space="preserve">/ar/pharmacy/biotin</t>
  </si>
  <si>
    <t xml:space="preserve">zinc Muscat</t>
  </si>
  <si>
    <t xml:space="preserve">/en/pharmacy/zinc</t>
  </si>
  <si>
    <t xml:space="preserve">زنك مسقط</t>
  </si>
  <si>
    <t xml:space="preserve">/ar/pharmacy/zinc</t>
  </si>
  <si>
    <t xml:space="preserve">magnesium Muscat</t>
  </si>
  <si>
    <t xml:space="preserve">/en/pharmacy/magnesium</t>
  </si>
  <si>
    <t xml:space="preserve">ماغنيسيوم مسقط</t>
  </si>
  <si>
    <t xml:space="preserve">/ar/pharmacy/magnesium</t>
  </si>
  <si>
    <t xml:space="preserve">collagen Muscat</t>
  </si>
  <si>
    <t xml:space="preserve">Beauty Supp</t>
  </si>
  <si>
    <t xml:space="preserve">/en/pharmacy/collagen</t>
  </si>
  <si>
    <t xml:space="preserve">كولاجين مسقط</t>
  </si>
  <si>
    <t xml:space="preserve">/ar/pharmacy/collagen</t>
  </si>
  <si>
    <t xml:space="preserve">hair vitamins Muscat</t>
  </si>
  <si>
    <t xml:space="preserve">/en/pharmacy/hair-vitamins</t>
  </si>
  <si>
    <t xml:space="preserve">فيتامينات الشعر مسقط</t>
  </si>
  <si>
    <t xml:space="preserve">/ar/pharmacy/hair-vitamins</t>
  </si>
  <si>
    <t xml:space="preserve">Cetaphil Muscat</t>
  </si>
  <si>
    <t xml:space="preserve">Skincare</t>
  </si>
  <si>
    <t xml:space="preserve">/en/pharmacy/cetaphil</t>
  </si>
  <si>
    <t xml:space="preserve">سيتافيل مسقط</t>
  </si>
  <si>
    <t xml:space="preserve">/ar/pharmacy/cetaphil</t>
  </si>
  <si>
    <t xml:space="preserve">La Roche-Posay Muscat</t>
  </si>
  <si>
    <t xml:space="preserve">/en/pharmacy/la-roche-posay</t>
  </si>
  <si>
    <t xml:space="preserve">لاروش بوزيه مسقط</t>
  </si>
  <si>
    <t xml:space="preserve">/ar/pharmacy/la-roche-posay</t>
  </si>
  <si>
    <t xml:space="preserve">Avene Muscat</t>
  </si>
  <si>
    <t xml:space="preserve">/en/pharmacy/avene</t>
  </si>
  <si>
    <t xml:space="preserve">أفين مسقط</t>
  </si>
  <si>
    <t xml:space="preserve">/ar/pharmacy/avene</t>
  </si>
  <si>
    <t xml:space="preserve">Eucerin Muscat</t>
  </si>
  <si>
    <t xml:space="preserve">/en/pharmacy/eucerin</t>
  </si>
  <si>
    <t xml:space="preserve">أوسيرين مسقط</t>
  </si>
  <si>
    <t xml:space="preserve">/ar/pharmacy/eucerin</t>
  </si>
  <si>
    <t xml:space="preserve">retinol cream Muscat</t>
  </si>
  <si>
    <t xml:space="preserve">/en/pharmacy/retinol-cream</t>
  </si>
  <si>
    <t xml:space="preserve">كريم ريتينول مسقط</t>
  </si>
  <si>
    <t xml:space="preserve">/ar/pharmacy/retinol-cream</t>
  </si>
  <si>
    <t xml:space="preserve">hyaluronic acid serum Muscat</t>
  </si>
  <si>
    <t xml:space="preserve">/en/pharmacy/hyaluronic-acid-serum</t>
  </si>
  <si>
    <t xml:space="preserve">حمض الهيالورونيك مسقط</t>
  </si>
  <si>
    <t xml:space="preserve">/ar/pharmacy/hyaluronic-acid-serum</t>
  </si>
  <si>
    <t xml:space="preserve">vitamin C serum Muscat</t>
  </si>
  <si>
    <t xml:space="preserve">/en/pharmacy/vitamin-c-serum</t>
  </si>
  <si>
    <t xml:space="preserve">سيروم فيتامين سي مسقط</t>
  </si>
  <si>
    <t xml:space="preserve">/ar/pharmacy/vitamin-c-serum</t>
  </si>
  <si>
    <t xml:space="preserve">sunscreen SPF 50 Muscat</t>
  </si>
  <si>
    <t xml:space="preserve">/en/pharmacy/sunscreen-spf-50</t>
  </si>
  <si>
    <t xml:space="preserve">واقي شمس مسقط</t>
  </si>
  <si>
    <t xml:space="preserve">/ar/pharmacy/sunscreen-spf-50</t>
  </si>
  <si>
    <t xml:space="preserve">acne cream Muscat</t>
  </si>
  <si>
    <t xml:space="preserve">/en/pharmacy/acne-cream</t>
  </si>
  <si>
    <t xml:space="preserve">كريم حب الشباب مسقط</t>
  </si>
  <si>
    <t xml:space="preserve">/ar/pharmacy/acne-cream</t>
  </si>
  <si>
    <t xml:space="preserve">melatonin Muscat</t>
  </si>
  <si>
    <t xml:space="preserve">Sleep</t>
  </si>
  <si>
    <t xml:space="preserve">/en/pharmacy/melatonin</t>
  </si>
  <si>
    <t xml:space="preserve">ميلاتونين مسقط</t>
  </si>
  <si>
    <t xml:space="preserve">/ar/pharmacy/melatonin</t>
  </si>
  <si>
    <t xml:space="preserve">probiotics Muscat</t>
  </si>
  <si>
    <t xml:space="preserve">Digestive</t>
  </si>
  <si>
    <t xml:space="preserve">/en/pharmacy/probiotics</t>
  </si>
  <si>
    <t xml:space="preserve">بروبيوتيك مسقط</t>
  </si>
  <si>
    <t xml:space="preserve">/ar/pharmacy/probiotics</t>
  </si>
  <si>
    <t xml:space="preserve">antacid Muscat</t>
  </si>
  <si>
    <t xml:space="preserve">/en/pharmacy/antacid</t>
  </si>
  <si>
    <t xml:space="preserve">مضاد الحموضة مسقط</t>
  </si>
  <si>
    <t xml:space="preserve">/ar/pharmacy/antacid</t>
  </si>
  <si>
    <t xml:space="preserve">Augmentin Muscat</t>
  </si>
  <si>
    <t xml:space="preserve">Antibiotic</t>
  </si>
  <si>
    <t xml:space="preserve">/en/pharmacy/augmentin</t>
  </si>
  <si>
    <t xml:space="preserve">أوجمنتين مسقط</t>
  </si>
  <si>
    <t xml:space="preserve">/ar/pharmacy/augmentin</t>
  </si>
  <si>
    <t xml:space="preserve">Amoxicillin Muscat</t>
  </si>
  <si>
    <t xml:space="preserve">/en/pharmacy/amoxicillin</t>
  </si>
  <si>
    <t xml:space="preserve">أموكسيسيلين مسقط</t>
  </si>
  <si>
    <t xml:space="preserve">/ar/pharmacy/amoxicillin</t>
  </si>
  <si>
    <t xml:space="preserve">Glucophage Muscat</t>
  </si>
  <si>
    <t xml:space="preserve">Diabetes</t>
  </si>
  <si>
    <t xml:space="preserve">/en/pharmacy/glucophage</t>
  </si>
  <si>
    <t xml:space="preserve">جلوكوفاج مسقط</t>
  </si>
  <si>
    <t xml:space="preserve">/ar/pharmacy/glucophage</t>
  </si>
  <si>
    <t xml:space="preserve">Metformin Muscat</t>
  </si>
  <si>
    <t xml:space="preserve">/en/pharmacy/metformin</t>
  </si>
  <si>
    <t xml:space="preserve">ميتفورمين مسقط</t>
  </si>
  <si>
    <t xml:space="preserve">/ar/pharmacy/metformin</t>
  </si>
  <si>
    <t xml:space="preserve">insulin pen Muscat</t>
  </si>
  <si>
    <t xml:space="preserve">/en/pharmacy/insulin-pen</t>
  </si>
  <si>
    <t xml:space="preserve">قلم الإنسولين مسقط</t>
  </si>
  <si>
    <t xml:space="preserve">/ar/pharmacy/insulin-pen</t>
  </si>
  <si>
    <t xml:space="preserve">blood pressure pills Muscat</t>
  </si>
  <si>
    <t xml:space="preserve">/en/pharmacy/blood-pressure-pills</t>
  </si>
  <si>
    <t xml:space="preserve">حبوب الضغط مسقط</t>
  </si>
  <si>
    <t xml:space="preserve">/ar/pharmacy/blood-pressure-pills</t>
  </si>
  <si>
    <t xml:space="preserve">cholesterol pills Muscat</t>
  </si>
  <si>
    <t xml:space="preserve">/en/pharmacy/cholesterol-pills</t>
  </si>
  <si>
    <t xml:space="preserve">حبوب الكوليسترول مسقط</t>
  </si>
  <si>
    <t xml:space="preserve">/ar/pharmacy/cholesterol-pills</t>
  </si>
  <si>
    <t xml:space="preserve">antihistamine Muscat</t>
  </si>
  <si>
    <t xml:space="preserve">/en/pharmacy/antihistamine</t>
  </si>
  <si>
    <t xml:space="preserve">مضاد الهيستامين مسقط</t>
  </si>
  <si>
    <t xml:space="preserve">/ar/pharmacy/antihistamine</t>
  </si>
  <si>
    <t xml:space="preserve">Claritin Muscat</t>
  </si>
  <si>
    <t xml:space="preserve">/en/pharmacy/claritin</t>
  </si>
  <si>
    <t xml:space="preserve">كلاريتين مسقط</t>
  </si>
  <si>
    <t xml:space="preserve">/ar/pharmacy/claritin</t>
  </si>
  <si>
    <t xml:space="preserve">Zyrtec Muscat</t>
  </si>
  <si>
    <t xml:space="preserve">/en/pharmacy/zyrtec</t>
  </si>
  <si>
    <t xml:space="preserve">زيرتك مسقط</t>
  </si>
  <si>
    <t xml:space="preserve">/ar/pharmacy/zyrtec</t>
  </si>
  <si>
    <t xml:space="preserve">baby formula Muscat</t>
  </si>
  <si>
    <t xml:space="preserve">Baby</t>
  </si>
  <si>
    <t xml:space="preserve">/en/pharmacy/baby-formula</t>
  </si>
  <si>
    <t xml:space="preserve">حليب أطفال مسقط</t>
  </si>
  <si>
    <t xml:space="preserve">/ar/pharmacy/baby-formula</t>
  </si>
  <si>
    <t xml:space="preserve">teething gel Muscat</t>
  </si>
  <si>
    <t xml:space="preserve">/en/pharmacy/teething-gel</t>
  </si>
  <si>
    <t xml:space="preserve">جل التسنين مسقط</t>
  </si>
  <si>
    <t xml:space="preserve">/ar/pharmacy/teething-gel</t>
  </si>
  <si>
    <t xml:space="preserve">baby vitamins Muscat</t>
  </si>
  <si>
    <t xml:space="preserve">/en/pharmacy/baby-vitamins</t>
  </si>
  <si>
    <t xml:space="preserve">فيتامينات الأطفال مسقط</t>
  </si>
  <si>
    <t xml:space="preserve">/ar/pharmacy/baby-vitamins</t>
  </si>
  <si>
    <t xml:space="preserve">HbA1c test Muscat</t>
  </si>
  <si>
    <t xml:space="preserve">200-450</t>
  </si>
  <si>
    <t xml:space="preserve">Lab Test</t>
  </si>
  <si>
    <t xml:space="preserve">/en/lab/hba1c-test</t>
  </si>
  <si>
    <t xml:space="preserve">تحليل السكر التراكمي مسقط</t>
  </si>
  <si>
    <t xml:space="preserve">180-400</t>
  </si>
  <si>
    <t xml:space="preserve">/ar/lab/hba1c-test</t>
  </si>
  <si>
    <t xml:space="preserve">lipid profile Muscat</t>
  </si>
  <si>
    <t xml:space="preserve">/en/lab/lipid-profile</t>
  </si>
  <si>
    <t xml:space="preserve">تحليل الدهون مسقط</t>
  </si>
  <si>
    <t xml:space="preserve">/ar/lab/lipid-profile</t>
  </si>
  <si>
    <t xml:space="preserve">CBC test Muscat</t>
  </si>
  <si>
    <t xml:space="preserve">/en/lab/cbc-test</t>
  </si>
  <si>
    <t xml:space="preserve">صورة دم كاملة مسقط</t>
  </si>
  <si>
    <t xml:space="preserve">/ar/lab/cbc-test</t>
  </si>
  <si>
    <t xml:space="preserve">thyroid test TSH Muscat</t>
  </si>
  <si>
    <t xml:space="preserve">/en/lab/thyroid-test-tsh</t>
  </si>
  <si>
    <t xml:space="preserve">تحليل الغدة الدرقية مسقط</t>
  </si>
  <si>
    <t xml:space="preserve">/ar/lab/thyroid-test-tsh</t>
  </si>
  <si>
    <t xml:space="preserve">vitamin D blood test Muscat</t>
  </si>
  <si>
    <t xml:space="preserve">400-900</t>
  </si>
  <si>
    <t xml:space="preserve">/en/lab/vitamin-d-blood-test</t>
  </si>
  <si>
    <t xml:space="preserve">فحص فيتامين د مسقط</t>
  </si>
  <si>
    <t xml:space="preserve">/ar/lab/vitamin-d-blood-test</t>
  </si>
  <si>
    <t xml:space="preserve">pregnancy test Muscat</t>
  </si>
  <si>
    <t xml:space="preserve">/en/lab/pregnancy-test</t>
  </si>
  <si>
    <t xml:space="preserve">تحليل حمل مسقط</t>
  </si>
  <si>
    <t xml:space="preserve">/ar/lab/pregnancy-test</t>
  </si>
  <si>
    <t xml:space="preserve">hormone test Muscat</t>
  </si>
  <si>
    <t xml:space="preserve">/en/lab/hormone-test</t>
  </si>
  <si>
    <t xml:space="preserve">تحليل هرمونات مسقط</t>
  </si>
  <si>
    <t xml:space="preserve">/ar/lab/hormone-test</t>
  </si>
  <si>
    <t xml:space="preserve">std test Muscat</t>
  </si>
  <si>
    <t xml:space="preserve">100-250</t>
  </si>
  <si>
    <t xml:space="preserve">/en/lab/std-test</t>
  </si>
  <si>
    <t xml:space="preserve">فحوصات الأمراض الجنسية مسقط</t>
  </si>
  <si>
    <t xml:space="preserve">/ar/lab/std-test</t>
  </si>
  <si>
    <t xml:space="preserve">allergy test Muscat</t>
  </si>
  <si>
    <t xml:space="preserve">/en/lab/allergy-test</t>
  </si>
  <si>
    <t xml:space="preserve">فحص الحساسية مسقط</t>
  </si>
  <si>
    <t xml:space="preserve">/ar/lab/allergy-test</t>
  </si>
  <si>
    <t xml:space="preserve">DNA test Muscat</t>
  </si>
  <si>
    <t xml:space="preserve">/en/lab/dna-test</t>
  </si>
  <si>
    <t xml:space="preserve">فحص الحمض النووي مسقط</t>
  </si>
  <si>
    <t xml:space="preserve">/ar/lab/dna-test</t>
  </si>
  <si>
    <t xml:space="preserve">premarital test Muscat</t>
  </si>
  <si>
    <t xml:space="preserve">/en/lab/premarital-test</t>
  </si>
  <si>
    <t xml:space="preserve">فحص ما قبل الزواج مسقط</t>
  </si>
  <si>
    <t xml:space="preserve">/ar/lab/premarital-test</t>
  </si>
  <si>
    <t xml:space="preserve">visa medical test Muscat</t>
  </si>
  <si>
    <t xml:space="preserve">/en/lab/visa-medical-test</t>
  </si>
  <si>
    <t xml:space="preserve">الفحص الطبي للتأشيرة مسقط</t>
  </si>
  <si>
    <t xml:space="preserve">/ar/lab/visa-medical-test</t>
  </si>
  <si>
    <t xml:space="preserve">MRI brain Muscat</t>
  </si>
  <si>
    <t xml:space="preserve">/en/imaging/mri-brain</t>
  </si>
  <si>
    <t xml:space="preserve">رنين الدماغ مسقط</t>
  </si>
  <si>
    <t xml:space="preserve">/ar/imaging/mri-brain</t>
  </si>
  <si>
    <t xml:space="preserve">MRI knee Muscat</t>
  </si>
  <si>
    <t xml:space="preserve">/en/imaging/mri-knee</t>
  </si>
  <si>
    <t xml:space="preserve">رنين الركبة مسقط</t>
  </si>
  <si>
    <t xml:space="preserve">/ar/imaging/mri-knee</t>
  </si>
  <si>
    <t xml:space="preserve">MRI back Muscat</t>
  </si>
  <si>
    <t xml:space="preserve">/en/imaging/mri-back</t>
  </si>
  <si>
    <t xml:space="preserve">رنين الظهر مسقط</t>
  </si>
  <si>
    <t xml:space="preserve">/ar/imaging/mri-back</t>
  </si>
  <si>
    <t xml:space="preserve">CT chest Muscat</t>
  </si>
  <si>
    <t xml:space="preserve">/en/imaging/ct-chest</t>
  </si>
  <si>
    <t xml:space="preserve">مقطعية الصدر مسقط</t>
  </si>
  <si>
    <t xml:space="preserve">/ar/imaging/ct-chest</t>
  </si>
  <si>
    <t xml:space="preserve">ultrasound abdomen Muscat</t>
  </si>
  <si>
    <t xml:space="preserve">/en/imaging/ultrasound-abdomen</t>
  </si>
  <si>
    <t xml:space="preserve">موجات صوتية للبطن مسقط</t>
  </si>
  <si>
    <t xml:space="preserve">/ar/imaging/ultrasound-abdomen</t>
  </si>
  <si>
    <t xml:space="preserve">ultrasound pregnancy Muscat</t>
  </si>
  <si>
    <t xml:space="preserve">/en/imaging/ultrasound-pregnancy</t>
  </si>
  <si>
    <t xml:space="preserve">موجات صوتية حمل مسقط</t>
  </si>
  <si>
    <t xml:space="preserve">/ar/imaging/ultrasound-pregnancy</t>
  </si>
  <si>
    <t xml:space="preserve">dental x-ray Muscat</t>
  </si>
  <si>
    <t xml:space="preserve">/en/imaging/dental-x-ray</t>
  </si>
  <si>
    <t xml:space="preserve">أشعة أسنان مسقط</t>
  </si>
  <si>
    <t xml:space="preserve">/ar/imaging/dental-x-ray</t>
  </si>
  <si>
    <t xml:space="preserve">chest x-ray Muscat</t>
  </si>
  <si>
    <t xml:space="preserve">/en/imaging/chest-x-ray</t>
  </si>
  <si>
    <t xml:space="preserve">أشعة الصدر مسقط</t>
  </si>
  <si>
    <t xml:space="preserve">/ar/imaging/chest-x-ray</t>
  </si>
  <si>
    <t xml:space="preserve">breast mammography Muscat</t>
  </si>
  <si>
    <t xml:space="preserve">/en/imaging/breast-mammography</t>
  </si>
  <si>
    <t xml:space="preserve">تصوير الثدي مسقط</t>
  </si>
  <si>
    <t xml:space="preserve">/ar/imaging/breast-mammography</t>
  </si>
  <si>
    <t xml:space="preserve">bone density scan Muscat</t>
  </si>
  <si>
    <t xml:space="preserve">/en/imaging/bone-density-scan</t>
  </si>
  <si>
    <t xml:space="preserve">كثافة العظام مسقط</t>
  </si>
  <si>
    <t xml:space="preserve">/ar/imaging/bone-density-scan</t>
  </si>
  <si>
    <t xml:space="preserve">gym Muscat</t>
  </si>
  <si>
    <t xml:space="preserve">Wellness</t>
  </si>
  <si>
    <t xml:space="preserve">/en/fitness/gym-muscat</t>
  </si>
  <si>
    <t xml:space="preserve">صالة رياضية مسقط</t>
  </si>
  <si>
    <t xml:space="preserve">/ar/fitness/gym-muscat</t>
  </si>
  <si>
    <t xml:space="preserve">yoga classes Muscat</t>
  </si>
  <si>
    <t xml:space="preserve">/en/fitness/yoga-classes-muscat</t>
  </si>
  <si>
    <t xml:space="preserve">دروس يوغا مسقط</t>
  </si>
  <si>
    <t xml:space="preserve">/ar/fitness/yoga-classes-muscat</t>
  </si>
  <si>
    <t xml:space="preserve">pilates Muscat</t>
  </si>
  <si>
    <t xml:space="preserve">/en/fitness/pilates-muscat</t>
  </si>
  <si>
    <t xml:space="preserve">بيلاتس مسقط</t>
  </si>
  <si>
    <t xml:space="preserve">/ar/fitness/pilates-muscat</t>
  </si>
  <si>
    <t xml:space="preserve">CrossFit Muscat</t>
  </si>
  <si>
    <t xml:space="preserve">120-300</t>
  </si>
  <si>
    <t xml:space="preserve">/en/fitness/crossfit-muscat</t>
  </si>
  <si>
    <t xml:space="preserve">كروسفت مسقط</t>
  </si>
  <si>
    <t xml:space="preserve">/ar/fitness/crossfit-muscat</t>
  </si>
  <si>
    <t xml:space="preserve">personal trainer Muscat</t>
  </si>
  <si>
    <t xml:space="preserve">/en/fitness/personal-trainer-muscat</t>
  </si>
  <si>
    <t xml:space="preserve">مدرب شخصي مسقط</t>
  </si>
  <si>
    <t xml:space="preserve">/ar/fitness/personal-trainer-muscat</t>
  </si>
  <si>
    <t xml:space="preserve">women only gym Muscat</t>
  </si>
  <si>
    <t xml:space="preserve">/en/fitness/women-only-gym-muscat</t>
  </si>
  <si>
    <t xml:space="preserve">صالة رياضية نسائية مسقط</t>
  </si>
  <si>
    <t xml:space="preserve">/ar/fitness/women-only-gym-muscat</t>
  </si>
  <si>
    <t xml:space="preserve">zumba classes Muscat</t>
  </si>
  <si>
    <t xml:space="preserve">/en/fitness/zumba-classes-muscat</t>
  </si>
  <si>
    <t xml:space="preserve">زومبا مسقط</t>
  </si>
  <si>
    <t xml:space="preserve">/ar/fitness/zumba-classes-muscat</t>
  </si>
  <si>
    <t xml:space="preserve">boxing gym Muscat</t>
  </si>
  <si>
    <t xml:space="preserve">/en/fitness/boxing-gym-muscat</t>
  </si>
  <si>
    <t xml:space="preserve">نادي ملاكمة مسقط</t>
  </si>
  <si>
    <t xml:space="preserve">/ar/fitness/boxing-gym-muscat</t>
  </si>
  <si>
    <t xml:space="preserve">swimming pool Muscat</t>
  </si>
  <si>
    <t xml:space="preserve">/en/fitness/swimming-pool-muscat</t>
  </si>
  <si>
    <t xml:space="preserve">حمام سباحة مسقط</t>
  </si>
  <si>
    <t xml:space="preserve">/ar/fitness/swimming-pool-muscat</t>
  </si>
  <si>
    <t xml:space="preserve">nutritionist Muscat</t>
  </si>
  <si>
    <t xml:space="preserve">/en/nutrition/nutritionist-muscat</t>
  </si>
  <si>
    <t xml:space="preserve">أخصائي تغذية مسقط</t>
  </si>
  <si>
    <t xml:space="preserve">/ar/nutrition/nutritionist-muscat</t>
  </si>
  <si>
    <t xml:space="preserve">weight loss diet Oman</t>
  </si>
  <si>
    <t xml:space="preserve">/en/nutrition/weight-loss-diet-oman</t>
  </si>
  <si>
    <t xml:space="preserve">حمية تخسيس عمان</t>
  </si>
  <si>
    <t xml:space="preserve">/ar/nutrition/weight-loss-diet-oman</t>
  </si>
  <si>
    <t xml:space="preserve">keto diet Oman</t>
  </si>
  <si>
    <t xml:space="preserve">/en/nutrition/keto-diet-oman</t>
  </si>
  <si>
    <t xml:space="preserve">حمية كيتو عمان</t>
  </si>
  <si>
    <t xml:space="preserve">/ar/nutrition/keto-diet-oman</t>
  </si>
  <si>
    <t xml:space="preserve">intermittent fasting Oman</t>
  </si>
  <si>
    <t xml:space="preserve">/en/nutrition/intermittent-fasting-oman</t>
  </si>
  <si>
    <t xml:space="preserve">صيام متقطع</t>
  </si>
  <si>
    <t xml:space="preserve">/ar/nutrition/intermittent-fasting-oman</t>
  </si>
  <si>
    <t xml:space="preserve">Ramadan diet plan</t>
  </si>
  <si>
    <t xml:space="preserve">/en/nutrition/ramadan-diet-plan</t>
  </si>
  <si>
    <t xml:space="preserve">خطة حمية رمضان</t>
  </si>
  <si>
    <t xml:space="preserve">/ar/nutrition/ramadan-diet-plan</t>
  </si>
  <si>
    <t xml:space="preserve">meal prep delivery Muscat</t>
  </si>
  <si>
    <t xml:space="preserve">/en/nutrition/meal-prep-delivery-muscat</t>
  </si>
  <si>
    <t xml:space="preserve">وجبات صحية مسقط</t>
  </si>
  <si>
    <t xml:space="preserve">/ar/nutrition/meal-prep-delivery-muscat</t>
  </si>
  <si>
    <t xml:space="preserve">healthy food Muscat</t>
  </si>
  <si>
    <t xml:space="preserve">/en/nutrition/healthy-food-muscat</t>
  </si>
  <si>
    <t xml:space="preserve">أكل صحي مسقط</t>
  </si>
  <si>
    <t xml:space="preserve">/ar/nutrition/healthy-food-muscat</t>
  </si>
  <si>
    <t xml:space="preserve">diabetic diet</t>
  </si>
  <si>
    <t xml:space="preserve">/en/nutrition/diabetic-diet</t>
  </si>
  <si>
    <t xml:space="preserve">حمية مرضى السكري</t>
  </si>
  <si>
    <t xml:space="preserve">/ar/nutrition/diabetic-diet</t>
  </si>
  <si>
    <t xml:space="preserve">pregnancy diet</t>
  </si>
  <si>
    <t xml:space="preserve">/en/nutrition/pregnancy-diet</t>
  </si>
  <si>
    <t xml:space="preserve">حمية الحامل</t>
  </si>
  <si>
    <t xml:space="preserve">/ar/nutrition/pregnancy-diet</t>
  </si>
  <si>
    <t xml:space="preserve">post workout meal</t>
  </si>
  <si>
    <t xml:space="preserve">/en/nutrition/post-workout-meal</t>
  </si>
  <si>
    <t xml:space="preserve">وجبة بعد التمرين</t>
  </si>
  <si>
    <t xml:space="preserve">/ar/nutrition/post-workout-meal</t>
  </si>
  <si>
    <t xml:space="preserve">vitamin deficiency Oman</t>
  </si>
  <si>
    <t xml:space="preserve">/en/nutrition/vitamin-deficiency-oman</t>
  </si>
  <si>
    <t xml:space="preserve">نقص فيتامين عمان</t>
  </si>
  <si>
    <t xml:space="preserve">/ar/nutrition/vitamin-deficiency-oman</t>
  </si>
  <si>
    <t xml:space="preserve">massage therapy Muscat</t>
  </si>
  <si>
    <t xml:space="preserve">/en/wellness/massage-therapy-muscat</t>
  </si>
  <si>
    <t xml:space="preserve">علاج بالتدليك مسقط</t>
  </si>
  <si>
    <t xml:space="preserve">/ar/wellness/massage-therapy-muscat</t>
  </si>
  <si>
    <t xml:space="preserve">spa wellness Muscat</t>
  </si>
  <si>
    <t xml:space="preserve">/en/wellness/spa-wellness-muscat</t>
  </si>
  <si>
    <t xml:space="preserve">سبا عافية مسقط</t>
  </si>
  <si>
    <t xml:space="preserve">/ar/wellness/spa-wellness-muscat</t>
  </si>
  <si>
    <t xml:space="preserve">meditation classes Muscat</t>
  </si>
  <si>
    <t xml:space="preserve">/en/wellness/meditation-classes-muscat</t>
  </si>
  <si>
    <t xml:space="preserve">تأمل مسقط</t>
  </si>
  <si>
    <t xml:space="preserve">/ar/wellness/meditation-classes-muscat</t>
  </si>
  <si>
    <t xml:space="preserve">cryotherapy Muscat</t>
  </si>
  <si>
    <t xml:space="preserve">/en/wellness/cryotherapy-muscat</t>
  </si>
  <si>
    <t xml:space="preserve">العلاج بالتبريد</t>
  </si>
  <si>
    <t xml:space="preserve">/ar/wellness/cryotherapy-muscat</t>
  </si>
  <si>
    <t xml:space="preserve">IV drip therapy Muscat</t>
  </si>
  <si>
    <t xml:space="preserve">/en/wellness/iv-drip-therapy-muscat</t>
  </si>
  <si>
    <t xml:space="preserve">العلاج بالتنقيط الوريدي</t>
  </si>
  <si>
    <t xml:space="preserve">/ar/wellness/iv-drip-therapy-muscat</t>
  </si>
  <si>
    <t xml:space="preserve">blood pressure monitor Muscat</t>
  </si>
  <si>
    <t xml:space="preserve">Device</t>
  </si>
  <si>
    <t xml:space="preserve">Home Device</t>
  </si>
  <si>
    <t xml:space="preserve">/en/devices/blood-pressure-monitor</t>
  </si>
  <si>
    <t xml:space="preserve">جهاز قياس الضغط مسقط</t>
  </si>
  <si>
    <t xml:space="preserve">/ar/devices/blood-pressure-monitor</t>
  </si>
  <si>
    <t xml:space="preserve">glucose meter Muscat</t>
  </si>
  <si>
    <t xml:space="preserve">/en/devices/glucose-meter</t>
  </si>
  <si>
    <t xml:space="preserve">جهاز قياس السكر مسقط</t>
  </si>
  <si>
    <t xml:space="preserve">/ar/devices/glucose-meter</t>
  </si>
  <si>
    <t xml:space="preserve">pulse oximeter Muscat</t>
  </si>
  <si>
    <t xml:space="preserve">/en/devices/pulse-oximeter</t>
  </si>
  <si>
    <t xml:space="preserve">جهاز قياس الأكسجين مسقط</t>
  </si>
  <si>
    <t xml:space="preserve">/ar/devices/pulse-oximeter</t>
  </si>
  <si>
    <t xml:space="preserve">thermometer Muscat</t>
  </si>
  <si>
    <t xml:space="preserve">/en/devices/thermometer</t>
  </si>
  <si>
    <t xml:space="preserve">ميزان حرارة مسقط</t>
  </si>
  <si>
    <t xml:space="preserve">/ar/devices/thermometer</t>
  </si>
  <si>
    <t xml:space="preserve">nebulizer Muscat</t>
  </si>
  <si>
    <t xml:space="preserve">/en/devices/nebulizer</t>
  </si>
  <si>
    <t xml:space="preserve">جهاز التنفس مسقط</t>
  </si>
  <si>
    <t xml:space="preserve">/ar/devices/nebulizer</t>
  </si>
  <si>
    <t xml:space="preserve">CPAP machine Muscat</t>
  </si>
  <si>
    <t xml:space="preserve">80-200</t>
  </si>
  <si>
    <t xml:space="preserve">/en/devices/cpap-machine</t>
  </si>
  <si>
    <t xml:space="preserve">جهاز سي باب مسقط</t>
  </si>
  <si>
    <t xml:space="preserve">/ar/devices/cpap-machine</t>
  </si>
  <si>
    <t xml:space="preserve">hearing aid Muscat</t>
  </si>
  <si>
    <t xml:space="preserve">Hearing</t>
  </si>
  <si>
    <t xml:space="preserve">/en/devices/hearing-aid</t>
  </si>
  <si>
    <t xml:space="preserve">سماعة طبية مسقط</t>
  </si>
  <si>
    <t xml:space="preserve">/ar/devices/hearing-aid</t>
  </si>
  <si>
    <t xml:space="preserve">wheelchair Muscat</t>
  </si>
  <si>
    <t xml:space="preserve">Mobility</t>
  </si>
  <si>
    <t xml:space="preserve">/en/devices/wheelchair</t>
  </si>
  <si>
    <t xml:space="preserve">كرسي متحرك مسقط</t>
  </si>
  <si>
    <t xml:space="preserve">/ar/devices/wheelchair</t>
  </si>
  <si>
    <t xml:space="preserve">walker Muscat</t>
  </si>
  <si>
    <t xml:space="preserve">/en/devices/walker</t>
  </si>
  <si>
    <t xml:space="preserve">مشاية للمسنين مسقط</t>
  </si>
  <si>
    <t xml:space="preserve">/ar/devices/walker</t>
  </si>
  <si>
    <t xml:space="preserve">crutches Muscat</t>
  </si>
  <si>
    <t xml:space="preserve">/en/devices/crutches</t>
  </si>
  <si>
    <t xml:space="preserve">عكازات طبية مسقط</t>
  </si>
  <si>
    <t xml:space="preserve">/ar/devices/crutches</t>
  </si>
  <si>
    <t xml:space="preserve">orthopedic mattress Muscat</t>
  </si>
  <si>
    <t xml:space="preserve">Comfort</t>
  </si>
  <si>
    <t xml:space="preserve">/en/devices/orthopedic-mattress</t>
  </si>
  <si>
    <t xml:space="preserve">مرتبة طبية مسقط</t>
  </si>
  <si>
    <t xml:space="preserve">/ar/devices/orthopedic-mattress</t>
  </si>
  <si>
    <t xml:space="preserve">cervical pillow Muscat</t>
  </si>
  <si>
    <t xml:space="preserve">/en/devices/cervical-pillow</t>
  </si>
  <si>
    <t xml:space="preserve">وسادة طبية للرقبة مسقط</t>
  </si>
  <si>
    <t xml:space="preserve">/ar/devices/cervical-pillow</t>
  </si>
  <si>
    <t xml:space="preserve">back support belt Muscat</t>
  </si>
  <si>
    <t xml:space="preserve">/en/devices/back-support-belt</t>
  </si>
  <si>
    <t xml:space="preserve">حزام طبي للظهر مسقط</t>
  </si>
  <si>
    <t xml:space="preserve">/ar/devices/back-support-belt</t>
  </si>
  <si>
    <t xml:space="preserve">knee brace Muscat</t>
  </si>
  <si>
    <t xml:space="preserve">/en/devices/knee-brace</t>
  </si>
  <si>
    <t xml:space="preserve">دعامة الركبة مسقط</t>
  </si>
  <si>
    <t xml:space="preserve">/ar/devices/knee-brace</t>
  </si>
  <si>
    <t xml:space="preserve">electric toothbrush Muscat</t>
  </si>
  <si>
    <t xml:space="preserve">Dental Device</t>
  </si>
  <si>
    <t xml:space="preserve">/en/devices/electric-toothbrush</t>
  </si>
  <si>
    <t xml:space="preserve">فرشاة أسنان كهربائية مسقط</t>
  </si>
  <si>
    <t xml:space="preserve">/ar/devices/electric-toothbrush</t>
  </si>
  <si>
    <t xml:space="preserve">water flosser Muscat</t>
  </si>
  <si>
    <t xml:space="preserve">/en/devices/water-flosser</t>
  </si>
  <si>
    <t xml:space="preserve">خيط الأسنان المائي مسقط</t>
  </si>
  <si>
    <t xml:space="preserve">/ar/devices/water-flosser</t>
  </si>
  <si>
    <t xml:space="preserve">LIVA insurance clinics</t>
  </si>
  <si>
    <t xml:space="preserve">Insurance</t>
  </si>
  <si>
    <t xml:space="preserve">/en/insurance/liva-insurance-clinics</t>
  </si>
  <si>
    <t xml:space="preserve">عيادات تأمين LIVA</t>
  </si>
  <si>
    <t xml:space="preserve">300-800</t>
  </si>
  <si>
    <t xml:space="preserve">/ar/insurance/liva-insurance-clinics</t>
  </si>
  <si>
    <t xml:space="preserve">Nextcare insurance providers</t>
  </si>
  <si>
    <t xml:space="preserve">/en/insurance/nextcare-insurance-providers</t>
  </si>
  <si>
    <t xml:space="preserve">مزودي تأمين Nextcare</t>
  </si>
  <si>
    <t xml:space="preserve">/ar/insurance/nextcare-insurance-providers</t>
  </si>
  <si>
    <t xml:space="preserve">MetLife dental coverage Oman</t>
  </si>
  <si>
    <t xml:space="preserve">/en/insurance/metlife-dental-coverage-oman</t>
  </si>
  <si>
    <t xml:space="preserve">تغطية ميتلايف الأسنان</t>
  </si>
  <si>
    <t xml:space="preserve">/ar/insurance/metlife-dental-coverage-oman</t>
  </si>
  <si>
    <t xml:space="preserve">Mednet network clinics</t>
  </si>
  <si>
    <t xml:space="preserve">/en/insurance/mednet-network-clinics</t>
  </si>
  <si>
    <t xml:space="preserve">شبكة عيادات Mednet</t>
  </si>
  <si>
    <t xml:space="preserve">/ar/insurance/mednet-network-clinics</t>
  </si>
  <si>
    <t xml:space="preserve">OQIC insurance providers</t>
  </si>
  <si>
    <t xml:space="preserve">/en/insurance/oqic-insurance-providers</t>
  </si>
  <si>
    <t xml:space="preserve">مزودي تأمين OQIC</t>
  </si>
  <si>
    <t xml:space="preserve">/ar/insurance/oqic-insurance-providers</t>
  </si>
  <si>
    <t xml:space="preserve">Vipul Bettercare clinics</t>
  </si>
  <si>
    <t xml:space="preserve">/en/insurance/vipul-bettercare-clinics</t>
  </si>
  <si>
    <t xml:space="preserve">عيادات Vipul Bettercare</t>
  </si>
  <si>
    <t xml:space="preserve">/ar/insurance/vipul-bettercare-clinics</t>
  </si>
  <si>
    <t xml:space="preserve">best health insurance Oman</t>
  </si>
  <si>
    <t xml:space="preserve">/en/insurance/best-health-insurance-oman</t>
  </si>
  <si>
    <t xml:space="preserve">أفضل تأمين صحي عمان</t>
  </si>
  <si>
    <t xml:space="preserve">/ar/insurance/best-health-insurance-oman</t>
  </si>
  <si>
    <t xml:space="preserve">medical insurance comparison Oman</t>
  </si>
  <si>
    <t xml:space="preserve">/en/insurance/medical-insurance-comparison-oman</t>
  </si>
  <si>
    <t xml:space="preserve">مقارنة التأمين الصحي عمان</t>
  </si>
  <si>
    <t xml:space="preserve">/ar/insurance/medical-insurance-comparison-oman</t>
  </si>
  <si>
    <t xml:space="preserve">dental insurance Oman</t>
  </si>
  <si>
    <t xml:space="preserve">/en/insurance/dental-insurance-oman</t>
  </si>
  <si>
    <t xml:space="preserve">تأمين الأسنان عمان</t>
  </si>
  <si>
    <t xml:space="preserve">/ar/insurance/dental-insurance-oman</t>
  </si>
  <si>
    <t xml:space="preserve">maternity insurance Oman</t>
  </si>
  <si>
    <t xml:space="preserve">/en/insurance/maternity-insurance-oman</t>
  </si>
  <si>
    <t xml:space="preserve">تأمين الولادة عمان</t>
  </si>
  <si>
    <t xml:space="preserve">/ar/insurance/maternity-insurance-oman</t>
  </si>
  <si>
    <t xml:space="preserve">travel insurance Oman</t>
  </si>
  <si>
    <t xml:space="preserve">/en/insurance/travel-insurance-oman</t>
  </si>
  <si>
    <t xml:space="preserve">تأمين سفر عمان</t>
  </si>
  <si>
    <t xml:space="preserve">/ar/insurance/travel-insurance-oman</t>
  </si>
  <si>
    <t xml:space="preserve">Ramadan clinic hours Muscat</t>
  </si>
  <si>
    <t xml:space="preserve">Local</t>
  </si>
  <si>
    <t xml:space="preserve">Cultural</t>
  </si>
  <si>
    <t xml:space="preserve">/en/articles/ramadan-clinic-hours-muscat</t>
  </si>
  <si>
    <t xml:space="preserve">ساعات العيادات في رمضان</t>
  </si>
  <si>
    <t xml:space="preserve">/ar/articles/ramadan-clinic-hours-muscat</t>
  </si>
  <si>
    <t xml:space="preserve">Eid hospital hours Oman</t>
  </si>
  <si>
    <t xml:space="preserve">/en/articles/eid-hospital-hours-oman</t>
  </si>
  <si>
    <t xml:space="preserve">ساعات المستشفيات في العيد</t>
  </si>
  <si>
    <t xml:space="preserve">/ar/articles/eid-hospital-hours-oman</t>
  </si>
  <si>
    <t xml:space="preserve">Hajj health requirements</t>
  </si>
  <si>
    <t xml:space="preserve">/en/articles/hajj-health-requirements</t>
  </si>
  <si>
    <t xml:space="preserve">المتطلبات الصحية للحج</t>
  </si>
  <si>
    <t xml:space="preserve">/ar/articles/hajj-health-requirements</t>
  </si>
  <si>
    <t xml:space="preserve">Hajj vaccinations Oman</t>
  </si>
  <si>
    <t xml:space="preserve">/en/articles/hajj-vaccinations-oman</t>
  </si>
  <si>
    <t xml:space="preserve">تطعيمات الحج</t>
  </si>
  <si>
    <t xml:space="preserve">/ar/articles/hajj-vaccinations-oman</t>
  </si>
  <si>
    <t xml:space="preserve">Ramadan diet for diabetics</t>
  </si>
  <si>
    <t xml:space="preserve">/en/articles/ramadan-diet-for-diabetics</t>
  </si>
  <si>
    <t xml:space="preserve">حمية رمضان لمرضى السكري</t>
  </si>
  <si>
    <t xml:space="preserve">/ar/articles/ramadan-diet-for-diabetics</t>
  </si>
  <si>
    <t xml:space="preserve">fasting during pregnancy</t>
  </si>
  <si>
    <t xml:space="preserve">/en/articles/fasting-during-pregnancy</t>
  </si>
  <si>
    <t xml:space="preserve">الصيام أثناء الحمل</t>
  </si>
  <si>
    <t xml:space="preserve">/ar/articles/fasting-during-pregnancy</t>
  </si>
  <si>
    <t xml:space="preserve">dental care in Ramadan</t>
  </si>
  <si>
    <t xml:space="preserve">/en/articles/dental-care-in-ramadan</t>
  </si>
  <si>
    <t xml:space="preserve">العناية بالأسنان في رمضان</t>
  </si>
  <si>
    <t xml:space="preserve">/ar/articles/dental-care-in-ramadan</t>
  </si>
  <si>
    <t xml:space="preserve">medication during fasting</t>
  </si>
  <si>
    <t xml:space="preserve">/en/articles/medication-during-fasting</t>
  </si>
  <si>
    <t xml:space="preserve">الأدوية أثناء الصيام</t>
  </si>
  <si>
    <t xml:space="preserve">/ar/articles/medication-during-fasting</t>
  </si>
  <si>
    <t xml:space="preserve">heat stroke prevention Oman</t>
  </si>
  <si>
    <t xml:space="preserve">/en/articles/heat-stroke-prevention-oman</t>
  </si>
  <si>
    <t xml:space="preserve">الوقاية من ضربة الشمس</t>
  </si>
  <si>
    <t xml:space="preserve">/ar/articles/heat-stroke-prevention-oman</t>
  </si>
  <si>
    <t xml:space="preserve">dehydration treatment summer Oman</t>
  </si>
  <si>
    <t xml:space="preserve">/en/articles/dehydration-treatment-summer-oman</t>
  </si>
  <si>
    <t xml:space="preserve">علاج الجفاف في الصيف</t>
  </si>
  <si>
    <t xml:space="preserve">/ar/articles/dehydration-treatment-summer-oman</t>
  </si>
  <si>
    <t xml:space="preserve">vitamin D deficiency Oman climate</t>
  </si>
  <si>
    <t xml:space="preserve">/en/articles/vitamin-d-deficiency-oman-climate</t>
  </si>
  <si>
    <t xml:space="preserve">نقص فيتامين د في عمان</t>
  </si>
  <si>
    <t xml:space="preserve">/ar/articles/vitamin-d-deficiency-oman-climate</t>
  </si>
  <si>
    <t xml:space="preserve">skin care hot weather Oman</t>
  </si>
  <si>
    <t xml:space="preserve">/en/articles/skin-care-hot-weather-oman</t>
  </si>
  <si>
    <t xml:space="preserve">العناية بالبشرة في الحر</t>
  </si>
  <si>
    <t xml:space="preserve">/ar/articles/skin-care-hot-weather-oman</t>
  </si>
  <si>
    <t xml:space="preserve">seasonal allergies Oman</t>
  </si>
  <si>
    <t xml:space="preserve">/en/articles/seasonal-allergies-oman</t>
  </si>
  <si>
    <t xml:space="preserve">حساسية موسمية عمان</t>
  </si>
  <si>
    <t xml:space="preserve">/ar/articles/seasonal-allergies-oman</t>
  </si>
  <si>
    <t xml:space="preserve">monsoon health Salalah</t>
  </si>
  <si>
    <t xml:space="preserve">/en/articles/monsoon-health-salalah</t>
  </si>
  <si>
    <t xml:space="preserve">الصحة في خريف صلالة</t>
  </si>
  <si>
    <t xml:space="preserve">/ar/articles/monsoon-health-salalah</t>
  </si>
  <si>
    <t xml:space="preserve">child swimming lessons Muscat</t>
  </si>
  <si>
    <t xml:space="preserve">/en/articles/child-swimming-lessons-muscat</t>
  </si>
  <si>
    <t xml:space="preserve">دروس سباحة للأطفال مسقط</t>
  </si>
  <si>
    <t xml:space="preserve">/ar/articles/child-swimming-lessons-muscat</t>
  </si>
  <si>
    <t xml:space="preserve">home delivery medicine Muscat</t>
  </si>
  <si>
    <t xml:space="preserve">/en/articles/home-delivery-medicine-muscat</t>
  </si>
  <si>
    <t xml:space="preserve">توصيل دواء للمنزل مسقط</t>
  </si>
  <si>
    <t xml:space="preserve">/ar/articles/home-delivery-medicine-muscat</t>
  </si>
  <si>
    <t xml:space="preserve">English Name</t>
  </si>
  <si>
    <t xml:space="preserve">Arabic Name</t>
  </si>
  <si>
    <t xml:space="preserve">Slug</t>
  </si>
  <si>
    <t xml:space="preserve">Intensity</t>
  </si>
  <si>
    <t xml:space="preserve">URL Pattern</t>
  </si>
  <si>
    <t xml:space="preserve">Dentist</t>
  </si>
  <si>
    <t xml:space="preserve">طبيب أسنان</t>
  </si>
  <si>
    <t xml:space="preserve">dentist</t>
  </si>
  <si>
    <t xml:space="preserve">/[lang]/dentist</t>
  </si>
  <si>
    <t xml:space="preserve">Dental Clinic</t>
  </si>
  <si>
    <t xml:space="preserve">عيادة أسنان</t>
  </si>
  <si>
    <t xml:space="preserve">dental-clinic</t>
  </si>
  <si>
    <t xml:space="preserve">/[lang]/dental-clinic</t>
  </si>
  <si>
    <t xml:space="preserve">Orthodontist</t>
  </si>
  <si>
    <t xml:space="preserve">تقويم الأسنان</t>
  </si>
  <si>
    <t xml:space="preserve">orthodontist</t>
  </si>
  <si>
    <t xml:space="preserve">/[lang]/orthodontist</t>
  </si>
  <si>
    <t xml:space="preserve">Endodontist</t>
  </si>
  <si>
    <t xml:space="preserve">علاج جذور الأسنان</t>
  </si>
  <si>
    <t xml:space="preserve">endodontist</t>
  </si>
  <si>
    <t xml:space="preserve">/[lang]/endodontist</t>
  </si>
  <si>
    <t xml:space="preserve">Periodontist</t>
  </si>
  <si>
    <t xml:space="preserve">أمراض اللثة</t>
  </si>
  <si>
    <t xml:space="preserve">periodontist</t>
  </si>
  <si>
    <t xml:space="preserve">/[lang]/periodontist</t>
  </si>
  <si>
    <t xml:space="preserve">Oral Surgeon</t>
  </si>
  <si>
    <t xml:space="preserve">جراحة الفم</t>
  </si>
  <si>
    <t xml:space="preserve">oral-surgeon</t>
  </si>
  <si>
    <t xml:space="preserve">/[lang]/oral-surgeon</t>
  </si>
  <si>
    <t xml:space="preserve">Cosmetic Dentist</t>
  </si>
  <si>
    <t xml:space="preserve">تجميل الأسنان</t>
  </si>
  <si>
    <t xml:space="preserve">cosmetic-dentist</t>
  </si>
  <si>
    <t xml:space="preserve">/[lang]/cosmetic-dentist</t>
  </si>
  <si>
    <t xml:space="preserve">Pediatric Dentist</t>
  </si>
  <si>
    <t xml:space="preserve">طبيب أسنان أطفال</t>
  </si>
  <si>
    <t xml:space="preserve">pediatric-dentist</t>
  </si>
  <si>
    <t xml:space="preserve">/[lang]/pediatric-dentist</t>
  </si>
  <si>
    <t xml:space="preserve">Dental Implant</t>
  </si>
  <si>
    <t xml:space="preserve">زرع الأسنان</t>
  </si>
  <si>
    <t xml:space="preserve">dental-implant</t>
  </si>
  <si>
    <t xml:space="preserve">/[lang]/dental-implant</t>
  </si>
  <si>
    <t xml:space="preserve">Teeth Whitening</t>
  </si>
  <si>
    <t xml:space="preserve">تبييض الأسنان</t>
  </si>
  <si>
    <t xml:space="preserve">teeth-whitening</t>
  </si>
  <si>
    <t xml:space="preserve">/[lang]/teeth-whitening</t>
  </si>
  <si>
    <t xml:space="preserve">Invisalign</t>
  </si>
  <si>
    <t xml:space="preserve">تقويم شفاف</t>
  </si>
  <si>
    <t xml:space="preserve">invisalign</t>
  </si>
  <si>
    <t xml:space="preserve">/[lang]/invisalign</t>
  </si>
  <si>
    <t xml:space="preserve">Veneers</t>
  </si>
  <si>
    <t xml:space="preserve">عدسات الأسنان</t>
  </si>
  <si>
    <t xml:space="preserve">veneers</t>
  </si>
  <si>
    <t xml:space="preserve">/[lang]/veneers</t>
  </si>
  <si>
    <t xml:space="preserve">Dermatologist</t>
  </si>
  <si>
    <t xml:space="preserve">طبيب جلدية</t>
  </si>
  <si>
    <t xml:space="preserve">dermatologist</t>
  </si>
  <si>
    <t xml:space="preserve">/[lang]/dermatologist</t>
  </si>
  <si>
    <t xml:space="preserve">Skin Clinic</t>
  </si>
  <si>
    <t xml:space="preserve">عيادة جلدية</t>
  </si>
  <si>
    <t xml:space="preserve">skin-clinic</t>
  </si>
  <si>
    <t xml:space="preserve">/[lang]/skin-clinic</t>
  </si>
  <si>
    <t xml:space="preserve">Cosmetic Clinic</t>
  </si>
  <si>
    <t xml:space="preserve">عيادة تجميل</t>
  </si>
  <si>
    <t xml:space="preserve">cosmetic-clinic</t>
  </si>
  <si>
    <t xml:space="preserve">/[lang]/cosmetic-clinic</t>
  </si>
  <si>
    <t xml:space="preserve">Plastic Surgeon</t>
  </si>
  <si>
    <t xml:space="preserve">جراحة تجميل</t>
  </si>
  <si>
    <t xml:space="preserve">plastic-surgeon</t>
  </si>
  <si>
    <t xml:space="preserve">/[lang]/plastic-surgeon</t>
  </si>
  <si>
    <t xml:space="preserve">Laser Hair Removal</t>
  </si>
  <si>
    <t xml:space="preserve">ليزر إزالة الشعر</t>
  </si>
  <si>
    <t xml:space="preserve">laser-hair-removal</t>
  </si>
  <si>
    <t xml:space="preserve">/[lang]/laser-hair-removal</t>
  </si>
  <si>
    <t xml:space="preserve">Botox</t>
  </si>
  <si>
    <t xml:space="preserve">بوتوكس</t>
  </si>
  <si>
    <t xml:space="preserve">botox</t>
  </si>
  <si>
    <t xml:space="preserve">/[lang]/botox</t>
  </si>
  <si>
    <t xml:space="preserve">Filler</t>
  </si>
  <si>
    <t xml:space="preserve">فيلر</t>
  </si>
  <si>
    <t xml:space="preserve">filler</t>
  </si>
  <si>
    <t xml:space="preserve">/[lang]/filler</t>
  </si>
  <si>
    <t xml:space="preserve">Hydrafacial</t>
  </si>
  <si>
    <t xml:space="preserve">هيدرافيشل</t>
  </si>
  <si>
    <t xml:space="preserve">hydrafacial</t>
  </si>
  <si>
    <t xml:space="preserve">/[lang]/hydrafacial</t>
  </si>
  <si>
    <t xml:space="preserve">Microneedling</t>
  </si>
  <si>
    <t xml:space="preserve">ميكرونيدلينج</t>
  </si>
  <si>
    <t xml:space="preserve">microneedling</t>
  </si>
  <si>
    <t xml:space="preserve">/[lang]/microneedling</t>
  </si>
  <si>
    <t xml:space="preserve">PRP</t>
  </si>
  <si>
    <t xml:space="preserve">بلازما الوجه</t>
  </si>
  <si>
    <t xml:space="preserve">prp</t>
  </si>
  <si>
    <t xml:space="preserve">/[lang]/prp</t>
  </si>
  <si>
    <t xml:space="preserve">Mesotherapy</t>
  </si>
  <si>
    <t xml:space="preserve">ميزوثيرابي</t>
  </si>
  <si>
    <t xml:space="preserve">mesotherapy</t>
  </si>
  <si>
    <t xml:space="preserve">/[lang]/mesotherapy</t>
  </si>
  <si>
    <t xml:space="preserve">Laser Skin Treatment</t>
  </si>
  <si>
    <t xml:space="preserve">ليزر البشرة</t>
  </si>
  <si>
    <t xml:space="preserve">laser-skin</t>
  </si>
  <si>
    <t xml:space="preserve">/[lang]/laser-skin</t>
  </si>
  <si>
    <t xml:space="preserve">Hair Transplant</t>
  </si>
  <si>
    <t xml:space="preserve">زراعة الشعر</t>
  </si>
  <si>
    <t xml:space="preserve">hair-transplant</t>
  </si>
  <si>
    <t xml:space="preserve">/[lang]/hair-transplant</t>
  </si>
  <si>
    <t xml:space="preserve">Liposuction</t>
  </si>
  <si>
    <t xml:space="preserve">شفط الدهون</t>
  </si>
  <si>
    <t xml:space="preserve">liposuction</t>
  </si>
  <si>
    <t xml:space="preserve">/[lang]/liposuction</t>
  </si>
  <si>
    <t xml:space="preserve">Rhinoplasty</t>
  </si>
  <si>
    <t xml:space="preserve">تجميل الأنف</t>
  </si>
  <si>
    <t xml:space="preserve">rhinoplasty</t>
  </si>
  <si>
    <t xml:space="preserve">/[lang]/rhinoplasty</t>
  </si>
  <si>
    <t xml:space="preserve">Ophthalmologist</t>
  </si>
  <si>
    <t xml:space="preserve">طبيب عيون</t>
  </si>
  <si>
    <t xml:space="preserve">ophthalmologist</t>
  </si>
  <si>
    <t xml:space="preserve">/[lang]/ophthalmologist</t>
  </si>
  <si>
    <t xml:space="preserve">LASIK</t>
  </si>
  <si>
    <t xml:space="preserve">ليزك</t>
  </si>
  <si>
    <t xml:space="preserve">lasik</t>
  </si>
  <si>
    <t xml:space="preserve">/[lang]/lasik</t>
  </si>
  <si>
    <t xml:space="preserve">Eye Clinic</t>
  </si>
  <si>
    <t xml:space="preserve">عيادة عيون</t>
  </si>
  <si>
    <t xml:space="preserve">eye-clinic</t>
  </si>
  <si>
    <t xml:space="preserve">/[lang]/eye-clinic</t>
  </si>
  <si>
    <t xml:space="preserve">Optometrist</t>
  </si>
  <si>
    <t xml:space="preserve">فحص النظر</t>
  </si>
  <si>
    <t xml:space="preserve">optometrist</t>
  </si>
  <si>
    <t xml:space="preserve">/[lang]/optometrist</t>
  </si>
  <si>
    <t xml:space="preserve">Cataract Surgery</t>
  </si>
  <si>
    <t xml:space="preserve">جراحة المياه البيضاء</t>
  </si>
  <si>
    <t xml:space="preserve">cataract-surgery</t>
  </si>
  <si>
    <t xml:space="preserve">/[lang]/cataract-surgery</t>
  </si>
  <si>
    <t xml:space="preserve">ENT Doctor</t>
  </si>
  <si>
    <t xml:space="preserve">طبيب أنف وأذن وحنجرة</t>
  </si>
  <si>
    <t xml:space="preserve">ent-doctor</t>
  </si>
  <si>
    <t xml:space="preserve">/[lang]/ent-doctor</t>
  </si>
  <si>
    <t xml:space="preserve">Hearing Test</t>
  </si>
  <si>
    <t xml:space="preserve">فحص السمع</t>
  </si>
  <si>
    <t xml:space="preserve">hearing-test</t>
  </si>
  <si>
    <t xml:space="preserve">/[lang]/hearing-test</t>
  </si>
  <si>
    <t xml:space="preserve">Hearing Aid</t>
  </si>
  <si>
    <t xml:space="preserve">سماعة طبية</t>
  </si>
  <si>
    <t xml:space="preserve">hearing-aid</t>
  </si>
  <si>
    <t xml:space="preserve">/[lang]/hearing-aid</t>
  </si>
  <si>
    <t xml:space="preserve">Cardiologist</t>
  </si>
  <si>
    <t xml:space="preserve">طبيب قلب</t>
  </si>
  <si>
    <t xml:space="preserve">cardiologist</t>
  </si>
  <si>
    <t xml:space="preserve">/[lang]/cardiologist</t>
  </si>
  <si>
    <t xml:space="preserve">Heart Clinic</t>
  </si>
  <si>
    <t xml:space="preserve">عيادة قلب</t>
  </si>
  <si>
    <t xml:space="preserve">heart-clinic</t>
  </si>
  <si>
    <t xml:space="preserve">/[lang]/heart-clinic</t>
  </si>
  <si>
    <t xml:space="preserve">Echocardiogram</t>
  </si>
  <si>
    <t xml:space="preserve">تخطيط القلب</t>
  </si>
  <si>
    <t xml:space="preserve">echocardiogram</t>
  </si>
  <si>
    <t xml:space="preserve">/[lang]/echocardiogram</t>
  </si>
  <si>
    <t xml:space="preserve">Orthopedic Doctor</t>
  </si>
  <si>
    <t xml:space="preserve">طبيب عظام</t>
  </si>
  <si>
    <t xml:space="preserve">orthopedic</t>
  </si>
  <si>
    <t xml:space="preserve">/[lang]/orthopedic</t>
  </si>
  <si>
    <t xml:space="preserve">Knee Specialist</t>
  </si>
  <si>
    <t xml:space="preserve">أخصائي الركبة</t>
  </si>
  <si>
    <t xml:space="preserve">knee-specialist</t>
  </si>
  <si>
    <t xml:space="preserve">/[lang]/knee-specialist</t>
  </si>
  <si>
    <t xml:space="preserve">Spine Specialist</t>
  </si>
  <si>
    <t xml:space="preserve">أخصائي العمود الفقري</t>
  </si>
  <si>
    <t xml:space="preserve">spine-specialist</t>
  </si>
  <si>
    <t xml:space="preserve">/[lang]/spine-specialist</t>
  </si>
  <si>
    <t xml:space="preserve">Joint Replacement</t>
  </si>
  <si>
    <t xml:space="preserve">تبديل المفاصل</t>
  </si>
  <si>
    <t xml:space="preserve">joint-replacement</t>
  </si>
  <si>
    <t xml:space="preserve">/[lang]/joint-replacement</t>
  </si>
  <si>
    <t xml:space="preserve">Gastroenterologist</t>
  </si>
  <si>
    <t xml:space="preserve">طبيب جهاز هضمي</t>
  </si>
  <si>
    <t xml:space="preserve">gastroenterologist</t>
  </si>
  <si>
    <t xml:space="preserve">/[lang]/gastroenterologist</t>
  </si>
  <si>
    <t xml:space="preserve">Endoscopy</t>
  </si>
  <si>
    <t xml:space="preserve">منظار</t>
  </si>
  <si>
    <t xml:space="preserve">endoscopy</t>
  </si>
  <si>
    <t xml:space="preserve">/[lang]/endoscopy</t>
  </si>
  <si>
    <t xml:space="preserve">Urologist</t>
  </si>
  <si>
    <t xml:space="preserve">طبيب مسالك بولية</t>
  </si>
  <si>
    <t xml:space="preserve">urologist</t>
  </si>
  <si>
    <t xml:space="preserve">/[lang]/urologist</t>
  </si>
  <si>
    <t xml:space="preserve">Kidney Specialist</t>
  </si>
  <si>
    <t xml:space="preserve">أخصائي كلى</t>
  </si>
  <si>
    <t xml:space="preserve">nephrologist</t>
  </si>
  <si>
    <t xml:space="preserve">/[lang]/nephrologist</t>
  </si>
  <si>
    <t xml:space="preserve">Gynecologist</t>
  </si>
  <si>
    <t xml:space="preserve">طبيب نساء</t>
  </si>
  <si>
    <t xml:space="preserve">gynecologist</t>
  </si>
  <si>
    <t xml:space="preserve">/[lang]/gynecologist</t>
  </si>
  <si>
    <t xml:space="preserve">Obstetrician</t>
  </si>
  <si>
    <t xml:space="preserve">طبيب توليد</t>
  </si>
  <si>
    <t xml:space="preserve">obstetrician</t>
  </si>
  <si>
    <t xml:space="preserve">/[lang]/obstetrician</t>
  </si>
  <si>
    <t xml:space="preserve">Pregnancy Care</t>
  </si>
  <si>
    <t xml:space="preserve">رعاية الحمل</t>
  </si>
  <si>
    <t xml:space="preserve">pregnancy-care</t>
  </si>
  <si>
    <t xml:space="preserve">/[lang]/pregnancy-care</t>
  </si>
  <si>
    <t xml:space="preserve">IVF Clinic</t>
  </si>
  <si>
    <t xml:space="preserve">أطفال أنابيب</t>
  </si>
  <si>
    <t xml:space="preserve">ivf-clinic</t>
  </si>
  <si>
    <t xml:space="preserve">/[lang]/ivf-clinic</t>
  </si>
  <si>
    <t xml:space="preserve">Fertility Clinic</t>
  </si>
  <si>
    <t xml:space="preserve">علاج العقم</t>
  </si>
  <si>
    <t xml:space="preserve">fertility-clinic</t>
  </si>
  <si>
    <t xml:space="preserve">/[lang]/fertility-clinic</t>
  </si>
  <si>
    <t xml:space="preserve">Pediatrician</t>
  </si>
  <si>
    <t xml:space="preserve">طبيب أطفال</t>
  </si>
  <si>
    <t xml:space="preserve">pediatrician</t>
  </si>
  <si>
    <t xml:space="preserve">/[lang]/pediatrician</t>
  </si>
  <si>
    <t xml:space="preserve">Vaccination</t>
  </si>
  <si>
    <t xml:space="preserve">تطعيمات</t>
  </si>
  <si>
    <t xml:space="preserve">vaccination</t>
  </si>
  <si>
    <t xml:space="preserve">/[lang]/vaccination</t>
  </si>
  <si>
    <t xml:space="preserve">Child Dentist</t>
  </si>
  <si>
    <t xml:space="preserve">child-dentist</t>
  </si>
  <si>
    <t xml:space="preserve">/[lang]/child-dentist</t>
  </si>
  <si>
    <t xml:space="preserve">Psychiatrist</t>
  </si>
  <si>
    <t xml:space="preserve">طبيب نفسي</t>
  </si>
  <si>
    <t xml:space="preserve">psychiatrist</t>
  </si>
  <si>
    <t xml:space="preserve">/[lang]/psychiatrist</t>
  </si>
  <si>
    <t xml:space="preserve">Psychologist</t>
  </si>
  <si>
    <t xml:space="preserve">أخصائي نفسي</t>
  </si>
  <si>
    <t xml:space="preserve">psychologist</t>
  </si>
  <si>
    <t xml:space="preserve">/[lang]/psychologist</t>
  </si>
  <si>
    <t xml:space="preserve">Therapy</t>
  </si>
  <si>
    <t xml:space="preserve">العلاج النفسي</t>
  </si>
  <si>
    <t xml:space="preserve">therapy</t>
  </si>
  <si>
    <t xml:space="preserve">/[lang]/therapy</t>
  </si>
  <si>
    <t xml:space="preserve">Counselor</t>
  </si>
  <si>
    <t xml:space="preserve">مرشد نفسي</t>
  </si>
  <si>
    <t xml:space="preserve">counselor</t>
  </si>
  <si>
    <t xml:space="preserve">/[lang]/counselor</t>
  </si>
  <si>
    <t xml:space="preserve">Couples Therapy</t>
  </si>
  <si>
    <t xml:space="preserve">علاج الأزواج</t>
  </si>
  <si>
    <t xml:space="preserve">couples-therapy</t>
  </si>
  <si>
    <t xml:space="preserve">/[lang]/couples-therapy</t>
  </si>
  <si>
    <t xml:space="preserve">Child Psychologist</t>
  </si>
  <si>
    <t xml:space="preserve">نفسي أطفال</t>
  </si>
  <si>
    <t xml:space="preserve">child-psychologist</t>
  </si>
  <si>
    <t xml:space="preserve">/[lang]/child-psychologist</t>
  </si>
  <si>
    <t xml:space="preserve">Endocrinologist</t>
  </si>
  <si>
    <t xml:space="preserve">طبيب غدد</t>
  </si>
  <si>
    <t xml:space="preserve">endocrinologist</t>
  </si>
  <si>
    <t xml:space="preserve">/[lang]/endocrinologist</t>
  </si>
  <si>
    <t xml:space="preserve">Diabetes Doctor</t>
  </si>
  <si>
    <t xml:space="preserve">طبيب سكري</t>
  </si>
  <si>
    <t xml:space="preserve">diabetes-doctor</t>
  </si>
  <si>
    <t xml:space="preserve">/[lang]/diabetes-doctor</t>
  </si>
  <si>
    <t xml:space="preserve">Thyroid Specialist</t>
  </si>
  <si>
    <t xml:space="preserve">أخصائي الغدة الدرقية</t>
  </si>
  <si>
    <t xml:space="preserve">thyroid-specialist</t>
  </si>
  <si>
    <t xml:space="preserve">/[lang]/thyroid-specialist</t>
  </si>
  <si>
    <t xml:space="preserve">Oncologist</t>
  </si>
  <si>
    <t xml:space="preserve">طبيب أورام</t>
  </si>
  <si>
    <t xml:space="preserve">oncologist</t>
  </si>
  <si>
    <t xml:space="preserve">/[lang]/oncologist</t>
  </si>
  <si>
    <t xml:space="preserve">Cancer Center</t>
  </si>
  <si>
    <t xml:space="preserve">مركز أورام</t>
  </si>
  <si>
    <t xml:space="preserve">cancer-center</t>
  </si>
  <si>
    <t xml:space="preserve">/[lang]/cancer-center</t>
  </si>
  <si>
    <t xml:space="preserve">Family Doctor</t>
  </si>
  <si>
    <t xml:space="preserve">طبيب عائلة</t>
  </si>
  <si>
    <t xml:space="preserve">family-doctor</t>
  </si>
  <si>
    <t xml:space="preserve">/[lang]/family-doctor</t>
  </si>
  <si>
    <t xml:space="preserve">Internal Medicine</t>
  </si>
  <si>
    <t xml:space="preserve">الطب الباطني</t>
  </si>
  <si>
    <t xml:space="preserve">internal-medicine</t>
  </si>
  <si>
    <t xml:space="preserve">/[lang]/internal-medicine</t>
  </si>
  <si>
    <t xml:space="preserve">General Practitioner</t>
  </si>
  <si>
    <t xml:space="preserve">طبيب عام</t>
  </si>
  <si>
    <t xml:space="preserve">gp</t>
  </si>
  <si>
    <t xml:space="preserve">/[lang]/gp</t>
  </si>
  <si>
    <t xml:space="preserve">Emergency Room</t>
  </si>
  <si>
    <t xml:space="preserve">طوارئ</t>
  </si>
  <si>
    <t xml:space="preserve">emergency</t>
  </si>
  <si>
    <t xml:space="preserve">/[lang]/emergency</t>
  </si>
  <si>
    <t xml:space="preserve">Urgent Care</t>
  </si>
  <si>
    <t xml:space="preserve">رعاية عاجلة</t>
  </si>
  <si>
    <t xml:space="preserve">urgent-care</t>
  </si>
  <si>
    <t xml:space="preserve">/[lang]/urgent-care</t>
  </si>
  <si>
    <t xml:space="preserve">Neurologist</t>
  </si>
  <si>
    <t xml:space="preserve">طبيب أعصاب</t>
  </si>
  <si>
    <t xml:space="preserve">neurologist</t>
  </si>
  <si>
    <t xml:space="preserve">/[lang]/neurologist</t>
  </si>
  <si>
    <t xml:space="preserve">Headache Clinic</t>
  </si>
  <si>
    <t xml:space="preserve">عيادة صداع</t>
  </si>
  <si>
    <t xml:space="preserve">headache-clinic</t>
  </si>
  <si>
    <t xml:space="preserve">/[lang]/headache-clinic</t>
  </si>
  <si>
    <t xml:space="preserve">Pulmonologist</t>
  </si>
  <si>
    <t xml:space="preserve">طبيب رئة</t>
  </si>
  <si>
    <t xml:space="preserve">pulmonologist</t>
  </si>
  <si>
    <t xml:space="preserve">/[lang]/pulmonologist</t>
  </si>
  <si>
    <t xml:space="preserve">Asthma Doctor</t>
  </si>
  <si>
    <t xml:space="preserve">طبيب الربو</t>
  </si>
  <si>
    <t xml:space="preserve">asthma-doctor</t>
  </si>
  <si>
    <t xml:space="preserve">/[lang]/asthma-doctor</t>
  </si>
  <si>
    <t xml:space="preserve">Rheumatologist</t>
  </si>
  <si>
    <t xml:space="preserve">طبيب الروماتيزم</t>
  </si>
  <si>
    <t xml:space="preserve">rheumatologist</t>
  </si>
  <si>
    <t xml:space="preserve">Rheuma</t>
  </si>
  <si>
    <t xml:space="preserve">/[lang]/rheumatologist</t>
  </si>
  <si>
    <t xml:space="preserve">Allergist</t>
  </si>
  <si>
    <t xml:space="preserve">طبيب الحساسية</t>
  </si>
  <si>
    <t xml:space="preserve">allergist</t>
  </si>
  <si>
    <t xml:space="preserve">/[lang]/allergist</t>
  </si>
  <si>
    <t xml:space="preserve">Hematologist</t>
  </si>
  <si>
    <t xml:space="preserve">طبيب أمراض الدم</t>
  </si>
  <si>
    <t xml:space="preserve">hematologist</t>
  </si>
  <si>
    <t xml:space="preserve">Hematology</t>
  </si>
  <si>
    <t xml:space="preserve">/[lang]/hematologist</t>
  </si>
  <si>
    <t xml:space="preserve">Sleep Specialist</t>
  </si>
  <si>
    <t xml:space="preserve">طبيب اضطرابات النوم</t>
  </si>
  <si>
    <t xml:space="preserve">sleep-specialist</t>
  </si>
  <si>
    <t xml:space="preserve">/[lang]/sleep-specialist</t>
  </si>
  <si>
    <t xml:space="preserve">Pain Management</t>
  </si>
  <si>
    <t xml:space="preserve">علاج الألم</t>
  </si>
  <si>
    <t xml:space="preserve">pain-management</t>
  </si>
  <si>
    <t xml:space="preserve">/[lang]/pain-management</t>
  </si>
  <si>
    <t xml:space="preserve">Sports Medicine</t>
  </si>
  <si>
    <t xml:space="preserve">طب رياضي</t>
  </si>
  <si>
    <t xml:space="preserve">sports-medicine</t>
  </si>
  <si>
    <t xml:space="preserve">Sports</t>
  </si>
  <si>
    <t xml:space="preserve">/[lang]/sports-medicine</t>
  </si>
  <si>
    <t xml:space="preserve">Physiotherapy</t>
  </si>
  <si>
    <t xml:space="preserve">علاج طبيعي</t>
  </si>
  <si>
    <t xml:space="preserve">physiotherapy</t>
  </si>
  <si>
    <t xml:space="preserve">/[lang]/physiotherapy</t>
  </si>
  <si>
    <t xml:space="preserve">Chiropractor</t>
  </si>
  <si>
    <t xml:space="preserve">تقويم العمود الفقري</t>
  </si>
  <si>
    <t xml:space="preserve">chiropractor</t>
  </si>
  <si>
    <t xml:space="preserve">/[lang]/chiropractor</t>
  </si>
  <si>
    <t xml:space="preserve">Speech Therapy</t>
  </si>
  <si>
    <t xml:space="preserve">علاج النطق</t>
  </si>
  <si>
    <t xml:space="preserve">speech-therapy</t>
  </si>
  <si>
    <t xml:space="preserve">/[lang]/speech-therapy</t>
  </si>
  <si>
    <t xml:space="preserve">Occupational Therapy</t>
  </si>
  <si>
    <t xml:space="preserve">علاج وظيفي</t>
  </si>
  <si>
    <t xml:space="preserve">occupational-therapy</t>
  </si>
  <si>
    <t xml:space="preserve">/[lang]/occupational-therapy</t>
  </si>
  <si>
    <t xml:space="preserve">Nutritionist</t>
  </si>
  <si>
    <t xml:space="preserve">أخصائي تغذية</t>
  </si>
  <si>
    <t xml:space="preserve">nutritionist</t>
  </si>
  <si>
    <t xml:space="preserve">/[lang]/nutritionist</t>
  </si>
  <si>
    <t xml:space="preserve">Dietitian</t>
  </si>
  <si>
    <t xml:space="preserve">اختصاصي حمية</t>
  </si>
  <si>
    <t xml:space="preserve">dietitian</t>
  </si>
  <si>
    <t xml:space="preserve">/[lang]/dietitian</t>
  </si>
  <si>
    <t xml:space="preserve">Weight Loss Clinic</t>
  </si>
  <si>
    <t xml:space="preserve">عيادة تخسيس</t>
  </si>
  <si>
    <t xml:space="preserve">weight-loss</t>
  </si>
  <si>
    <t xml:space="preserve">/[lang]/weight-loss</t>
  </si>
  <si>
    <t xml:space="preserve">Gym</t>
  </si>
  <si>
    <t xml:space="preserve">صالة رياضية</t>
  </si>
  <si>
    <t xml:space="preserve">gym</t>
  </si>
  <si>
    <t xml:space="preserve">/[lang]/gym</t>
  </si>
  <si>
    <t xml:space="preserve">Yoga Studio</t>
  </si>
  <si>
    <t xml:space="preserve">استوديو يوغا</t>
  </si>
  <si>
    <t xml:space="preserve">yoga-studio</t>
  </si>
  <si>
    <t xml:space="preserve">/[lang]/yoga-studio</t>
  </si>
  <si>
    <t xml:space="preserve">Pilates Studio</t>
  </si>
  <si>
    <t xml:space="preserve">استوديو بيلاتس</t>
  </si>
  <si>
    <t xml:space="preserve">pilates-studio</t>
  </si>
  <si>
    <t xml:space="preserve">/[lang]/pilates-studio</t>
  </si>
  <si>
    <t xml:space="preserve">Personal Trainer</t>
  </si>
  <si>
    <t xml:space="preserve">مدرب شخصي</t>
  </si>
  <si>
    <t xml:space="preserve">personal-trainer</t>
  </si>
  <si>
    <t xml:space="preserve">/[lang]/personal-trainer</t>
  </si>
  <si>
    <t xml:space="preserve">CrossFit</t>
  </si>
  <si>
    <t xml:space="preserve">كروسفت</t>
  </si>
  <si>
    <t xml:space="preserve">crossfit</t>
  </si>
  <si>
    <t xml:space="preserve">/[lang]/crossfit</t>
  </si>
  <si>
    <t xml:space="preserve">Wellness Center</t>
  </si>
  <si>
    <t xml:space="preserve">مركز عافية</t>
  </si>
  <si>
    <t xml:space="preserve">wellness-center</t>
  </si>
  <si>
    <t xml:space="preserve">/[lang]/wellness-center</t>
  </si>
  <si>
    <t xml:space="preserve">صيدلية</t>
  </si>
  <si>
    <t xml:space="preserve">pharmacy</t>
  </si>
  <si>
    <t xml:space="preserve">/[lang]/pharmacy</t>
  </si>
  <si>
    <t xml:space="preserve">24 Hour Pharmacy</t>
  </si>
  <si>
    <t xml:space="preserve">صيدلية ٢٤ ساعة</t>
  </si>
  <si>
    <t xml:space="preserve">24h-pharmacy</t>
  </si>
  <si>
    <t xml:space="preserve">/[lang]/24h-pharmacy</t>
  </si>
  <si>
    <t xml:space="preserve">Online Pharmacy</t>
  </si>
  <si>
    <t xml:space="preserve">صيدلية إلكترونية</t>
  </si>
  <si>
    <t xml:space="preserve">online-pharmacy</t>
  </si>
  <si>
    <t xml:space="preserve">/[lang]/online-pharmacy</t>
  </si>
  <si>
    <t xml:space="preserve">Medical Lab</t>
  </si>
  <si>
    <t xml:space="preserve">مختبر طبي</t>
  </si>
  <si>
    <t xml:space="preserve">medical-lab</t>
  </si>
  <si>
    <t xml:space="preserve">/[lang]/medical-lab</t>
  </si>
  <si>
    <t xml:space="preserve">Blood Test</t>
  </si>
  <si>
    <t xml:space="preserve">تحليل دم</t>
  </si>
  <si>
    <t xml:space="preserve">blood-test</t>
  </si>
  <si>
    <t xml:space="preserve">/[lang]/blood-test</t>
  </si>
  <si>
    <t xml:space="preserve">MRI Scan</t>
  </si>
  <si>
    <t xml:space="preserve">أشعة رنين</t>
  </si>
  <si>
    <t xml:space="preserve">mri-scan</t>
  </si>
  <si>
    <t xml:space="preserve">/[lang]/mri-scan</t>
  </si>
  <si>
    <t xml:space="preserve">CT Scan</t>
  </si>
  <si>
    <t xml:space="preserve">أشعة مقطعية</t>
  </si>
  <si>
    <t xml:space="preserve">ct-scan</t>
  </si>
  <si>
    <t xml:space="preserve">/[lang]/ct-scan</t>
  </si>
  <si>
    <t xml:space="preserve">X-Ray</t>
  </si>
  <si>
    <t xml:space="preserve">أشعة سينية</t>
  </si>
  <si>
    <t xml:space="preserve">x-ray</t>
  </si>
  <si>
    <t xml:space="preserve">/[lang]/x-ray</t>
  </si>
  <si>
    <t xml:space="preserve">Ultrasound</t>
  </si>
  <si>
    <t xml:space="preserve">موجات صوتية</t>
  </si>
  <si>
    <t xml:space="preserve">ultrasound</t>
  </si>
  <si>
    <t xml:space="preserve">/[lang]/ultrasound</t>
  </si>
  <si>
    <t xml:space="preserve">Mammography</t>
  </si>
  <si>
    <t xml:space="preserve">تصوير الثدي</t>
  </si>
  <si>
    <t xml:space="preserve">mammography</t>
  </si>
  <si>
    <t xml:space="preserve">/[lang]/mammography</t>
  </si>
  <si>
    <t xml:space="preserve">Veterinary</t>
  </si>
  <si>
    <t xml:space="preserve">طب بيطري</t>
  </si>
  <si>
    <t xml:space="preserve">veterinary</t>
  </si>
  <si>
    <t xml:space="preserve">Vet</t>
  </si>
  <si>
    <t xml:space="preserve">/[lang]/veterinary</t>
  </si>
  <si>
    <t xml:space="preserve">Home Healthcare</t>
  </si>
  <si>
    <t xml:space="preserve">رعاية منزلية</t>
  </si>
  <si>
    <t xml:space="preserve">home-healthcare</t>
  </si>
  <si>
    <t xml:space="preserve">/[lang]/home-healthcare</t>
  </si>
  <si>
    <t xml:space="preserve">Telemedicine</t>
  </si>
  <si>
    <t xml:space="preserve">طب عن بعد</t>
  </si>
  <si>
    <t xml:space="preserve">telemedicine</t>
  </si>
  <si>
    <t xml:space="preserve">Telehealth</t>
  </si>
  <si>
    <t xml:space="preserve">/[lang]/telemedicine</t>
  </si>
  <si>
    <t xml:space="preserve">City/Region</t>
  </si>
  <si>
    <t xml:space="preserve">URL Slug</t>
  </si>
  <si>
    <t xml:space="preserve">Al Mouj</t>
  </si>
  <si>
    <t xml:space="preserve">الموج</t>
  </si>
  <si>
    <t xml:space="preserve">Muscat</t>
  </si>
  <si>
    <t xml:space="preserve">al-mouj</t>
  </si>
  <si>
    <t xml:space="preserve">Al Qurum</t>
  </si>
  <si>
    <t xml:space="preserve">القرم</t>
  </si>
  <si>
    <t xml:space="preserve">al-qurum</t>
  </si>
  <si>
    <t xml:space="preserve">Al Khuwair</t>
  </si>
  <si>
    <t xml:space="preserve">الخوير</t>
  </si>
  <si>
    <t xml:space="preserve">al-khuwair</t>
  </si>
  <si>
    <t xml:space="preserve">Madinat Sultan Qaboos</t>
  </si>
  <si>
    <t xml:space="preserve">مدينة السلطان قابوس</t>
  </si>
  <si>
    <t xml:space="preserve">madinat-sultan-qaboos</t>
  </si>
  <si>
    <t xml:space="preserve">Al Ghubra</t>
  </si>
  <si>
    <t xml:space="preserve">الغبرة</t>
  </si>
  <si>
    <t xml:space="preserve">al-ghubra</t>
  </si>
  <si>
    <t xml:space="preserve">Ruwi</t>
  </si>
  <si>
    <t xml:space="preserve">روي</t>
  </si>
  <si>
    <t xml:space="preserve">ruwi</t>
  </si>
  <si>
    <t xml:space="preserve">Bawshar</t>
  </si>
  <si>
    <t xml:space="preserve">بوشر</t>
  </si>
  <si>
    <t xml:space="preserve">bawshar</t>
  </si>
  <si>
    <t xml:space="preserve">Al Khoud</t>
  </si>
  <si>
    <t xml:space="preserve">الخوض</t>
  </si>
  <si>
    <t xml:space="preserve">al-khoud</t>
  </si>
  <si>
    <t xml:space="preserve">Al Seeb</t>
  </si>
  <si>
    <t xml:space="preserve">السيب</t>
  </si>
  <si>
    <t xml:space="preserve">al-seeb</t>
  </si>
  <si>
    <t xml:space="preserve">Mawaleh</t>
  </si>
  <si>
    <t xml:space="preserve">الموالح</t>
  </si>
  <si>
    <t xml:space="preserve">mawaleh</t>
  </si>
  <si>
    <t xml:space="preserve">Al Hail</t>
  </si>
  <si>
    <t xml:space="preserve">الحيل</t>
  </si>
  <si>
    <t xml:space="preserve">al-hail</t>
  </si>
  <si>
    <t xml:space="preserve">Al Amerat</t>
  </si>
  <si>
    <t xml:space="preserve">العامرات</t>
  </si>
  <si>
    <t xml:space="preserve">al-amerat</t>
  </si>
  <si>
    <t xml:space="preserve">Mabela</t>
  </si>
  <si>
    <t xml:space="preserve">المعبيلة</t>
  </si>
  <si>
    <t xml:space="preserve">mabela</t>
  </si>
  <si>
    <t xml:space="preserve">Al Wadi Al Kabir</t>
  </si>
  <si>
    <t xml:space="preserve">الوادي الكبير</t>
  </si>
  <si>
    <t xml:space="preserve">al-wadi-al-kabir</t>
  </si>
  <si>
    <t xml:space="preserve">Mutrah</t>
  </si>
  <si>
    <t xml:space="preserve">مطرح</t>
  </si>
  <si>
    <t xml:space="preserve">mutrah</t>
  </si>
  <si>
    <t xml:space="preserve">Al Azaiba</t>
  </si>
  <si>
    <t xml:space="preserve">العذيبة</t>
  </si>
  <si>
    <t xml:space="preserve">al-azaiba</t>
  </si>
  <si>
    <t xml:space="preserve">Salalah</t>
  </si>
  <si>
    <t xml:space="preserve">صلالة</t>
  </si>
  <si>
    <t xml:space="preserve">Dhofar</t>
  </si>
  <si>
    <t xml:space="preserve">salalah</t>
  </si>
  <si>
    <t xml:space="preserve">Sohar</t>
  </si>
  <si>
    <t xml:space="preserve">صحار</t>
  </si>
  <si>
    <t xml:space="preserve">Al Batinah</t>
  </si>
  <si>
    <t xml:space="preserve">sohar</t>
  </si>
  <si>
    <t xml:space="preserve">Nizwa</t>
  </si>
  <si>
    <t xml:space="preserve">نزوى</t>
  </si>
  <si>
    <t xml:space="preserve">Ad Dakhiliyah</t>
  </si>
  <si>
    <t xml:space="preserve">nizwa</t>
  </si>
  <si>
    <t xml:space="preserve">Sur</t>
  </si>
  <si>
    <t xml:space="preserve">صور</t>
  </si>
  <si>
    <t xml:space="preserve">Ash Sharqiyah</t>
  </si>
  <si>
    <t xml:space="preserve">sur</t>
  </si>
  <si>
    <t xml:space="preserve">Ibri</t>
  </si>
  <si>
    <t xml:space="preserve">عبري</t>
  </si>
  <si>
    <t xml:space="preserve">Adh Dhahirah</t>
  </si>
  <si>
    <t xml:space="preserve">ibri</t>
  </si>
  <si>
    <t xml:space="preserve">Buraimi</t>
  </si>
  <si>
    <t xml:space="preserve">البريمي</t>
  </si>
  <si>
    <t xml:space="preserve">Al Buraimi</t>
  </si>
  <si>
    <t xml:space="preserve">buraimi</t>
  </si>
  <si>
    <t xml:space="preserve">Rustaq</t>
  </si>
  <si>
    <t xml:space="preserve">الرستاق</t>
  </si>
  <si>
    <t xml:space="preserve">rustaq</t>
  </si>
  <si>
    <t xml:space="preserve">M1 Rank</t>
  </si>
  <si>
    <t xml:space="preserve">M2 Rank</t>
  </si>
  <si>
    <t xml:space="preserve">M3 Rank</t>
  </si>
  <si>
    <t xml:space="preserve">M4 Rank</t>
  </si>
  <si>
    <t xml:space="preserve">M5 Rank</t>
  </si>
  <si>
    <t xml:space="preserve">M6 Rank</t>
  </si>
  <si>
    <t xml:space="preserve">Best</t>
  </si>
  <si>
    <t xml:space="preserve">Trend</t>
  </si>
  <si>
    <t xml:space="preserve">📊 Dashboard — DrMuscat SEO Master</t>
  </si>
  <si>
    <t xml:space="preserve">📌</t>
  </si>
  <si>
    <t xml:space="preserve">Section</t>
  </si>
  <si>
    <t xml:space="preserve">Value</t>
  </si>
  <si>
    <t xml:space="preserve">Note</t>
  </si>
  <si>
    <t xml:space="preserve">TOTALS</t>
  </si>
  <si>
    <t xml:space="preserve">Total Keywords</t>
  </si>
  <si>
    <t xml:space="preserve">تعداد کل کلیدواژه‌ها</t>
  </si>
  <si>
    <t xml:space="preserve">English Keywords</t>
  </si>
  <si>
    <t xml:space="preserve">زبان انگلیسی</t>
  </si>
  <si>
    <t xml:space="preserve">Arabic Keywords</t>
  </si>
  <si>
    <t xml:space="preserve">زبان عربی</t>
  </si>
  <si>
    <t xml:space="preserve">BY TIER</t>
  </si>
  <si>
    <t xml:space="preserve">Tier 1 — Money Keywords</t>
  </si>
  <si>
    <t xml:space="preserve">پولساز</t>
  </si>
  <si>
    <t xml:space="preserve">Tier 2 — Programmatic</t>
  </si>
  <si>
    <t xml:space="preserve">ترکیب تخصص × منطقه</t>
  </si>
  <si>
    <t xml:space="preserve">Tier 3 — Costs</t>
  </si>
  <si>
    <t xml:space="preserve">هزینه و قیمت</t>
  </si>
  <si>
    <t xml:space="preserve">Tier 4 — Symptoms</t>
  </si>
  <si>
    <t xml:space="preserve">علائم و درمان</t>
  </si>
  <si>
    <t xml:space="preserve">Tier 5 — Drugs</t>
  </si>
  <si>
    <t xml:space="preserve">داروها و ویتامین</t>
  </si>
  <si>
    <t xml:space="preserve">Tier 6 — Lab &amp; Imaging</t>
  </si>
  <si>
    <t xml:space="preserve">آزمایش و تصویربرداری</t>
  </si>
  <si>
    <t xml:space="preserve">Tier 7 — Wellness</t>
  </si>
  <si>
    <t xml:space="preserve">تندرستی و تغذیه</t>
  </si>
  <si>
    <t xml:space="preserve">Tier 8 — Devices</t>
  </si>
  <si>
    <t xml:space="preserve">تجهیزات پزشکی</t>
  </si>
  <si>
    <t xml:space="preserve">Tier 9 — Insurance</t>
  </si>
  <si>
    <t xml:space="preserve">بیمه</t>
  </si>
  <si>
    <t xml:space="preserve">Tier 10 — Local</t>
  </si>
  <si>
    <t xml:space="preserve">فرهنگی و فصلی</t>
  </si>
  <si>
    <t xml:space="preserve">BY INTENT</t>
  </si>
  <si>
    <t xml:space="preserve">بالاترین intent خرید</t>
  </si>
  <si>
    <t xml:space="preserve">آماده مقایسه</t>
  </si>
  <si>
    <t xml:space="preserve">آموزشی</t>
  </si>
  <si>
    <t xml:space="preserve">📈</t>
  </si>
  <si>
    <t xml:space="preserve">PROGRESS</t>
  </si>
  <si>
    <t xml:space="preserve">In Progress</t>
  </si>
  <si>
    <t xml:space="preserve">Page Live</t>
  </si>
  <si>
    <t xml:space="preserve">صفحه ساخته شده</t>
  </si>
  <si>
    <t xml:space="preserve">Indexed</t>
  </si>
  <si>
    <t xml:space="preserve">در گوگل index شده</t>
  </si>
  <si>
    <t xml:space="preserve">Ranking</t>
  </si>
  <si>
    <t xml:space="preserve">رتبه گرفته</t>
  </si>
  <si>
    <t xml:space="preserve">Page 1</t>
  </si>
  <si>
    <t xml:space="preserve">🏆 صفحه اول گوگل</t>
  </si>
  <si>
    <t xml:space="preserve">Top 3</t>
  </si>
  <si>
    <t xml:space="preserve">🥇 سه نتیجه اول</t>
  </si>
  <si>
    <t xml:space="preserve">💯</t>
  </si>
  <si>
    <t xml:space="preserve">COMPLETION %</t>
  </si>
  <si>
    <t xml:space="preserve">% Pages Live</t>
  </si>
  <si>
    <t xml:space="preserve">درصد صفحات منتشرشده</t>
  </si>
  <si>
    <t xml:space="preserve">% Ranking</t>
  </si>
  <si>
    <t xml:space="preserve">درصد رتبه‌گرفته</t>
  </si>
  <si>
    <t xml:space="preserve">% Page 1</t>
  </si>
  <si>
    <t xml:space="preserve">🏆 درصد صفحه اول</t>
  </si>
  <si>
    <t xml:space="preserve">Week</t>
  </si>
  <si>
    <t xml:space="preserve">Month</t>
  </si>
  <si>
    <t xml:space="preserve">Topic Cluster</t>
  </si>
  <si>
    <t xml:space="preserve">Title (EN)</t>
  </si>
  <si>
    <t xml:space="preserve">Title (AR)</t>
  </si>
  <si>
    <t xml:space="preserve">Target Keyword</t>
  </si>
  <si>
    <t xml:space="preserve">Type</t>
  </si>
  <si>
    <t xml:space="preserve">Words</t>
  </si>
  <si>
    <t xml:space="preserve">Month 1</t>
  </si>
  <si>
    <t xml:space="preserve">Best Dentists in Muscat 2026 — Complete Guide</t>
  </si>
  <si>
    <t xml:space="preserve">أفضل أطباء الأسنان في مسقط ٢٠٢٦</t>
  </si>
  <si>
    <t xml:space="preserve">best dentist Muscat</t>
  </si>
  <si>
    <t xml:space="preserve">Hub</t>
  </si>
  <si>
    <t xml:space="preserve">P0</t>
  </si>
  <si>
    <t xml:space="preserve">Tooth Pain: When to See a Dentist in Muscat</t>
  </si>
  <si>
    <t xml:space="preserve">ألم الأسنان: متى تذهب لطبيب الأسنان في مسقط</t>
  </si>
  <si>
    <t xml:space="preserve">Article</t>
  </si>
  <si>
    <t xml:space="preserve">Dental Implant Cost in Muscat 2026 — Full Breakdown</t>
  </si>
  <si>
    <t xml:space="preserve">تكلفة زرع الأسنان في مسقط ٢٠٢٦</t>
  </si>
  <si>
    <t xml:space="preserve">Best Skin Clinics in Muscat — Editor's Pick 2026</t>
  </si>
  <si>
    <t xml:space="preserve">أفضل عيادات جلدية في مسقط ٢٠٢٦</t>
  </si>
  <si>
    <t xml:space="preserve">skin clinic Muscat</t>
  </si>
  <si>
    <t xml:space="preserve">Acne Treatment in Oman: Complete Guide</t>
  </si>
  <si>
    <t xml:space="preserve">علاج حب الشباب في عمان</t>
  </si>
  <si>
    <t xml:space="preserve">Hair Loss Treatment: What Works in Muscat</t>
  </si>
  <si>
    <t xml:space="preserve">Laser Hair Removal Cost Muscat 2026</t>
  </si>
  <si>
    <t xml:space="preserve">تكلفة ليزر إزالة الشعر مسقط</t>
  </si>
  <si>
    <t xml:space="preserve">Best Eye Doctors in Muscat — Ophthalmology Guide</t>
  </si>
  <si>
    <t xml:space="preserve">أفضل أطباء العيون في مسقط</t>
  </si>
  <si>
    <t xml:space="preserve">best eye doctor Muscat</t>
  </si>
  <si>
    <t xml:space="preserve">P1</t>
  </si>
  <si>
    <t xml:space="preserve">Vitamin D Deficiency in Oman — Symptoms &amp; Sources</t>
  </si>
  <si>
    <t xml:space="preserve">Iron Supplements Guide for Omani Women</t>
  </si>
  <si>
    <t xml:space="preserve">حبوب الحديد للنساء</t>
  </si>
  <si>
    <t xml:space="preserve">Anxiety Treatment in Muscat — A Complete Guide</t>
  </si>
  <si>
    <t xml:space="preserve">Finding a Psychologist in Oman — Without Stigma</t>
  </si>
  <si>
    <t xml:space="preserve">العثور على معالج نفسي في عمان</t>
  </si>
  <si>
    <t xml:space="preserve">psychologist Muscat</t>
  </si>
  <si>
    <t xml:space="preserve">24-Hour Pharmacies in Muscat — Updated 2026</t>
  </si>
  <si>
    <t xml:space="preserve">صيدليات ٢٤ ساعة في مسقط</t>
  </si>
  <si>
    <t xml:space="preserve">24 hour pharmacy Muscat</t>
  </si>
  <si>
    <t xml:space="preserve">List</t>
  </si>
  <si>
    <t xml:space="preserve">Back Pain Treatment in Muscat — When to See Doctor</t>
  </si>
  <si>
    <t xml:space="preserve">Gynecologist Visit in Oman — What to Expect</t>
  </si>
  <si>
    <t xml:space="preserve">زيارة طبيب النساء في عمان</t>
  </si>
  <si>
    <t xml:space="preserve">best gynecologist Muscat</t>
  </si>
  <si>
    <t xml:space="preserve">Diabetes Management in Oman: Complete Guide</t>
  </si>
  <si>
    <t xml:space="preserve">إدارة السكري في عمان</t>
  </si>
  <si>
    <t xml:space="preserve">diabetes Muscat</t>
  </si>
  <si>
    <t xml:space="preserve">Month 2</t>
  </si>
  <si>
    <t xml:space="preserve">Programmatic</t>
  </si>
  <si>
    <t xml:space="preserve">[Auto] Dentists in Al Mouj — Listings + Reviews</t>
  </si>
  <si>
    <t xml:space="preserve">[تلقائي] أطباء الأسنان في الموج</t>
  </si>
  <si>
    <t xml:space="preserve">dentist Al Mouj</t>
  </si>
  <si>
    <t xml:space="preserve">[Auto] Skin Clinics in Al Qurum</t>
  </si>
  <si>
    <t xml:space="preserve">[تلقائي] عيادات جلدية القرم</t>
  </si>
  <si>
    <t xml:space="preserve">skin clinic Al Qurum</t>
  </si>
  <si>
    <t xml:space="preserve">Blood Test Costs in Muscat — Complete Price Guide</t>
  </si>
  <si>
    <t xml:space="preserve">تكلفة تحاليل الدم في مسقط</t>
  </si>
  <si>
    <t xml:space="preserve">HbA1c Test in Oman — Where &amp; How Much</t>
  </si>
  <si>
    <t xml:space="preserve">تحليل السكر التراكمي في عمان</t>
  </si>
  <si>
    <t xml:space="preserve">MRI Scan in Muscat — Cost, Types, Where</t>
  </si>
  <si>
    <t xml:space="preserve">أشعة الرنين في مسقط</t>
  </si>
  <si>
    <t xml:space="preserve">MRI Muscat</t>
  </si>
  <si>
    <t xml:space="preserve">Vitamin D Blood Test — Why Every Omani Needs It</t>
  </si>
  <si>
    <t xml:space="preserve">فحص فيتامين د — لماذا يحتاجه كل عماني</t>
  </si>
  <si>
    <t xml:space="preserve">vitamin D test Muscat</t>
  </si>
  <si>
    <t xml:space="preserve">Botox Cost in Muscat — Full Price Guide 2026</t>
  </si>
  <si>
    <t xml:space="preserve">تكلفة البوتوكس في مسقط ٢٠٢٦</t>
  </si>
  <si>
    <t xml:space="preserve">Hair Transplant in Oman — Cost &amp; Best Clinics</t>
  </si>
  <si>
    <t xml:space="preserve">زراعة الشعر في عمان</t>
  </si>
  <si>
    <t xml:space="preserve">hair transplant Muscat</t>
  </si>
  <si>
    <t xml:space="preserve">Sinus Treatment in Muscat — Allergies &amp; Solutions</t>
  </si>
  <si>
    <t xml:space="preserve">Vaccinations Schedule for Children in Oman</t>
  </si>
  <si>
    <t xml:space="preserve">جدول تطعيمات الأطفال في عمان</t>
  </si>
  <si>
    <t xml:space="preserve">vaccinations Oman</t>
  </si>
  <si>
    <t xml:space="preserve">Best Pediatricians in Muscat — Parents' Guide</t>
  </si>
  <si>
    <t xml:space="preserve">أفضل أطباء أطفال في مسقط</t>
  </si>
  <si>
    <t xml:space="preserve">best pediatrician Muscat</t>
  </si>
  <si>
    <t xml:space="preserve">PCOS Treatment in Muscat — What You Need to Know</t>
  </si>
  <si>
    <t xml:space="preserve">PCOS treatment Muscat</t>
  </si>
  <si>
    <t xml:space="preserve">LASIK Cost in Muscat — Is It Worth It in 2026?</t>
  </si>
  <si>
    <t xml:space="preserve">تكلفة الليزك في مسقط ٢٠٢٦</t>
  </si>
  <si>
    <t xml:space="preserve">Seasonal Allergies in Oman — Treatment Guide</t>
  </si>
  <si>
    <t xml:space="preserve">الحساسية الموسمية في عمان</t>
  </si>
  <si>
    <t xml:space="preserve">Sunscreen for Omani Climate — Best SPF 50 Picks</t>
  </si>
  <si>
    <t xml:space="preserve">واقي الشمس لمناخ عمان</t>
  </si>
  <si>
    <t xml:space="preserve">sunscreen Muscat</t>
  </si>
  <si>
    <t xml:space="preserve">Beauty</t>
  </si>
  <si>
    <t xml:space="preserve">Collagen Supplements — Do They Work?</t>
  </si>
  <si>
    <t xml:space="preserve">مكملات الكولاجين — هل تعمل؟</t>
  </si>
  <si>
    <t xml:space="preserve">Month 3</t>
  </si>
  <si>
    <t xml:space="preserve">Best Gyms in Muscat 2026 — Complete Comparison</t>
  </si>
  <si>
    <t xml:space="preserve">أفضل صالات رياضية في مسقط</t>
  </si>
  <si>
    <t xml:space="preserve">Women-Only Gyms in Muscat — Privacy &amp; Quality</t>
  </si>
  <si>
    <t xml:space="preserve">صالات رياضية نسائية في مسقط</t>
  </si>
  <si>
    <t xml:space="preserve">Top Nutritionists in Muscat — Find Yours</t>
  </si>
  <si>
    <t xml:space="preserve">أفضل أخصائيي تغذية في مسقط</t>
  </si>
  <si>
    <t xml:space="preserve">Weight Loss Clinics in Muscat — What Works</t>
  </si>
  <si>
    <t xml:space="preserve">عيادات تخسيس في مسقط</t>
  </si>
  <si>
    <t xml:space="preserve">weight loss clinic Muscat</t>
  </si>
  <si>
    <t xml:space="preserve">Yoga Classes in Muscat — Studios &amp; Schedules</t>
  </si>
  <si>
    <t xml:space="preserve">دروس يوغا في مسقط</t>
  </si>
  <si>
    <t xml:space="preserve">yoga Muscat</t>
  </si>
  <si>
    <t xml:space="preserve">Keto Diet in Oman — Foods to Buy &amp; Avoid</t>
  </si>
  <si>
    <t xml:space="preserve">حمية الكيتو في عمان</t>
  </si>
  <si>
    <t xml:space="preserve">Best Blood Pressure Monitors in Muscat</t>
  </si>
  <si>
    <t xml:space="preserve">أفضل أجهزة قياس الضغط في مسقط</t>
  </si>
  <si>
    <t xml:space="preserve">Glucose Meters Guide — Which to Buy in Oman</t>
  </si>
  <si>
    <t xml:space="preserve">دليل أجهزة قياس السكر في عمان</t>
  </si>
  <si>
    <t xml:space="preserve">Best Health Insurance in Oman — 2026 Comparison</t>
  </si>
  <si>
    <t xml:space="preserve">أفضل تأمين صحي في عمان ٢٠٢٦</t>
  </si>
  <si>
    <t xml:space="preserve">LIVA Insurance Clinics — Complete Network List</t>
  </si>
  <si>
    <t xml:space="preserve">عيادات تأمين LIVA — قائمة الشبكة</t>
  </si>
  <si>
    <t xml:space="preserve">Dental Insurance in Oman — What's Covered?</t>
  </si>
  <si>
    <t xml:space="preserve">تأمين الأسنان في عمان</t>
  </si>
  <si>
    <t xml:space="preserve">Kidney Stones Treatment in Muscat</t>
  </si>
  <si>
    <t xml:space="preserve">Augmentin Use in Oman — Pharmacy Guide</t>
  </si>
  <si>
    <t xml:space="preserve">استخدام أوجمنتين في عمان</t>
  </si>
  <si>
    <t xml:space="preserve">P2</t>
  </si>
  <si>
    <t xml:space="preserve">Eczema Treatment in Hot Oman Climate</t>
  </si>
  <si>
    <t xml:space="preserve">علاج الإكزيما في مناخ عمان الحار</t>
  </si>
  <si>
    <t xml:space="preserve">eczema treatment Oman</t>
  </si>
  <si>
    <t xml:space="preserve">Hypertension Management in Oman</t>
  </si>
  <si>
    <t xml:space="preserve">إدارة ضغط الدم في عمان</t>
  </si>
  <si>
    <t xml:space="preserve">IBS Treatment Guide — Specialists in Muscat</t>
  </si>
  <si>
    <t xml:space="preserve">IBS treatment Muscat</t>
  </si>
  <si>
    <t xml:space="preserve">Month 4</t>
  </si>
  <si>
    <t xml:space="preserve">Ramadan Clinic Hours in Muscat — Updated 2026</t>
  </si>
  <si>
    <t xml:space="preserve">ساعات العيادات في رمضان مسقط ٢٠٢٦</t>
  </si>
  <si>
    <t xml:space="preserve">Diabetes Management During Ramadan in Oman</t>
  </si>
  <si>
    <t xml:space="preserve">إدارة السكري في رمضان</t>
  </si>
  <si>
    <t xml:space="preserve">Ramadan diet diabetics</t>
  </si>
  <si>
    <t xml:space="preserve">Dental Care During Ramadan Fasting</t>
  </si>
  <si>
    <t xml:space="preserve">dental care Ramadan</t>
  </si>
  <si>
    <t xml:space="preserve">Hajj Vaccinations in Oman — Required Shots</t>
  </si>
  <si>
    <t xml:space="preserve">تطعيمات الحج في عمان</t>
  </si>
  <si>
    <t xml:space="preserve">Heat Stroke Prevention in Omani Summer</t>
  </si>
  <si>
    <t xml:space="preserve">الوقاية من ضربة الشمس في الصيف</t>
  </si>
  <si>
    <t xml:space="preserve">heat stroke Oman</t>
  </si>
  <si>
    <t xml:space="preserve">Skin Care in Oman's Hot Climate</t>
  </si>
  <si>
    <t xml:space="preserve">العناية بالبشرة في مناخ عمان</t>
  </si>
  <si>
    <t xml:space="preserve">skin care Oman climate</t>
  </si>
  <si>
    <t xml:space="preserve">Monsoon Season Health Tips for Salalah</t>
  </si>
  <si>
    <t xml:space="preserve">نصائح صحية لخريف صلالة</t>
  </si>
  <si>
    <t xml:space="preserve">Medicine Home Delivery in Muscat — Best Services</t>
  </si>
  <si>
    <t xml:space="preserve">توصيل الدواء للمنزل في مسقط</t>
  </si>
  <si>
    <t xml:space="preserve">medicine home delivery Muscat</t>
  </si>
  <si>
    <t xml:space="preserve">Healthy Iftar Meals — Nutritionist-Approved</t>
  </si>
  <si>
    <t xml:space="preserve">وجبات إفطار صحية</t>
  </si>
  <si>
    <t xml:space="preserve">healthy iftar meals</t>
  </si>
  <si>
    <t xml:space="preserve">Child Swimming Lessons in Muscat — Safety First</t>
  </si>
  <si>
    <t xml:space="preserve">دروس سباحة للأطفال في مسقط</t>
  </si>
  <si>
    <t xml:space="preserve">child swimming Muscat</t>
  </si>
  <si>
    <t xml:space="preserve">Depression Awareness in Oman — Breaking Stigma</t>
  </si>
  <si>
    <t xml:space="preserve">الوعي بالاكتئاب في عمان</t>
  </si>
  <si>
    <t xml:space="preserve">depression awareness Oman</t>
  </si>
  <si>
    <t xml:space="preserve">Insomnia: When to See a Doctor in Muscat</t>
  </si>
  <si>
    <t xml:space="preserve">الأرق: متى تذهب لطبيب في مسقط</t>
  </si>
  <si>
    <t xml:space="preserve">Pregnancy Care in Muscat — Trimester Guide</t>
  </si>
  <si>
    <t xml:space="preserve">رعاية الحمل في مسقط</t>
  </si>
  <si>
    <t xml:space="preserve">pregnancy care Muscat</t>
  </si>
  <si>
    <t xml:space="preserve">IVF in Oman — Cost, Success Rates, Best Clinics</t>
  </si>
  <si>
    <t xml:space="preserve">أطفال الأنابيب في عمان</t>
  </si>
  <si>
    <t xml:space="preserve">IVF Oman</t>
  </si>
  <si>
    <t xml:space="preserve">Best Veterinary Clinics in Muscat</t>
  </si>
  <si>
    <t xml:space="preserve">أفضل عيادات بيطرية في مسقط</t>
  </si>
  <si>
    <t xml:space="preserve">veterinary Muscat</t>
  </si>
  <si>
    <t xml:space="preserve">Telemedicine in Oman — Online Doctor Consultations</t>
  </si>
  <si>
    <t xml:space="preserve">الطب عن بعد في عمان</t>
  </si>
  <si>
    <t xml:space="preserve">telemedicine Oman</t>
  </si>
  <si>
    <t xml:space="preserve">Pattern Type</t>
  </si>
  <si>
    <t xml:space="preserve">Example EN</t>
  </si>
  <si>
    <t xml:space="preserve">Example AR</t>
  </si>
  <si>
    <t xml:space="preserve">Schema Type</t>
  </si>
  <si>
    <t xml:space="preserve">Volume Source</t>
  </si>
  <si>
    <t xml:space="preserve">Hub - Specialty</t>
  </si>
  <si>
    <t xml:space="preserve">/en/dentists</t>
  </si>
  <si>
    <t xml:space="preserve">/ar/أطباء-أسنان</t>
  </si>
  <si>
    <t xml:space="preserve">MedicalBusiness</t>
  </si>
  <si>
    <t xml:space="preserve">Tier 1 + 2</t>
  </si>
  <si>
    <t xml:space="preserve">Hub - Area</t>
  </si>
  <si>
    <t xml:space="preserve">/en/areas/al-mouj</t>
  </si>
  <si>
    <t xml:space="preserve">/ar/المناطق/الموج</t>
  </si>
  <si>
    <t xml:space="preserve">Place + ItemList</t>
  </si>
  <si>
    <t xml:space="preserve">Tier 2</t>
  </si>
  <si>
    <t xml:space="preserve">Programmatic - Cat × Area</t>
  </si>
  <si>
    <t xml:space="preserve">/en/dentists/al-mouj</t>
  </si>
  <si>
    <t xml:space="preserve">/ar/أطباء-أسنان/الموج</t>
  </si>
  <si>
    <t xml:space="preserve">ItemList + LocalBusiness</t>
  </si>
  <si>
    <t xml:space="preserve">Center Profile</t>
  </si>
  <si>
    <t xml:space="preserve">/en/centers/noora-dental-clinic</t>
  </si>
  <si>
    <t xml:space="preserve">/ar/centers/noora-dental-clinic</t>
  </si>
  <si>
    <t xml:space="preserve">MedicalBusiness + Reviews</t>
  </si>
  <si>
    <t xml:space="preserve">Direct</t>
  </si>
  <si>
    <t xml:space="preserve">Doctor Profile</t>
  </si>
  <si>
    <t xml:space="preserve">/en/doctors/dr-hassan-balushi</t>
  </si>
  <si>
    <t xml:space="preserve">/ar/doctors/dr-hassan-balushi</t>
  </si>
  <si>
    <t xml:space="preserve">Physician</t>
  </si>
  <si>
    <t xml:space="preserve">Article - Cost</t>
  </si>
  <si>
    <t xml:space="preserve">/ar/مقالات/تكلفة-زرع-الأسنان-مسقط</t>
  </si>
  <si>
    <t xml:space="preserve">MedicalWebPage + FAQ</t>
  </si>
  <si>
    <t xml:space="preserve">Tier 3</t>
  </si>
  <si>
    <t xml:space="preserve">Article - Symptom</t>
  </si>
  <si>
    <t xml:space="preserve">/ar/مقالات/علاج-ألم-الأسنان-مسقط</t>
  </si>
  <si>
    <t xml:space="preserve">MedicalWebPage</t>
  </si>
  <si>
    <t xml:space="preserve">Tier 4</t>
  </si>
  <si>
    <t xml:space="preserve">Article - How-to</t>
  </si>
  <si>
    <t xml:space="preserve">/en/articles/how-to-choose-dentist-muscat</t>
  </si>
  <si>
    <t xml:space="preserve">/ar/مقالات/اختيار-طبيب-أسنان</t>
  </si>
  <si>
    <t xml:space="preserve">HowTo + Article</t>
  </si>
  <si>
    <t xml:space="preserve">Article - Cluster Pillar</t>
  </si>
  <si>
    <t xml:space="preserve">/en/guides/dental-implants-complete-guide</t>
  </si>
  <si>
    <t xml:space="preserve">/ar/أدلة/دليل-زرع-الأسنان-الشامل</t>
  </si>
  <si>
    <t xml:space="preserve">Tier 3 + 4</t>
  </si>
  <si>
    <t xml:space="preserve">Drug Page</t>
  </si>
  <si>
    <t xml:space="preserve">Drug + Product</t>
  </si>
  <si>
    <t xml:space="preserve">Tier 5</t>
  </si>
  <si>
    <t xml:space="preserve">Lab Test Page</t>
  </si>
  <si>
    <t xml:space="preserve">/en/lab/vitamin-d-test</t>
  </si>
  <si>
    <t xml:space="preserve">/ar/lab/vitamin-d-test</t>
  </si>
  <si>
    <t xml:space="preserve">MedicalTest</t>
  </si>
  <si>
    <t xml:space="preserve">Tier 6</t>
  </si>
  <si>
    <t xml:space="preserve">Imaging Page</t>
  </si>
  <si>
    <t xml:space="preserve">MedicalProcedure</t>
  </si>
  <si>
    <t xml:space="preserve">Wellness Service</t>
  </si>
  <si>
    <t xml:space="preserve">/en/fitness/gym/al-mouj</t>
  </si>
  <si>
    <t xml:space="preserve">/ar/fitness/gym/al-mouj</t>
  </si>
  <si>
    <t xml:space="preserve">ExerciseGym</t>
  </si>
  <si>
    <t xml:space="preserve">Tier 7</t>
  </si>
  <si>
    <t xml:space="preserve">Device Product</t>
  </si>
  <si>
    <t xml:space="preserve">Product</t>
  </si>
  <si>
    <t xml:space="preserve">Tier 8</t>
  </si>
  <si>
    <t xml:space="preserve">Insurance Network</t>
  </si>
  <si>
    <t xml:space="preserve">/en/insurance/liva</t>
  </si>
  <si>
    <t xml:space="preserve">/ar/insurance/liva</t>
  </si>
  <si>
    <t xml:space="preserve">ItemList + Organization</t>
  </si>
  <si>
    <t xml:space="preserve">Tier 9</t>
  </si>
  <si>
    <t xml:space="preserve">Local/Seasonal</t>
  </si>
  <si>
    <t xml:space="preserve">/ar/مقالات/ساعات-العيادات-رمضان</t>
  </si>
  <si>
    <t xml:space="preserve">Tier 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</si>
</sst>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2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15E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2"/>
      <color rgb="FF0F766E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115E59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15E59"/>
        <bgColor rgb="FF0F766E"/>
      </patternFill>
    </fill>
    <fill>
      <patternFill patternType="solid">
        <fgColor rgb="FFF0FDFA"/>
        <bgColor rgb="FFFFFFFF"/>
      </patternFill>
    </fill>
    <fill>
      <patternFill patternType="solid">
        <fgColor rgb="FF0F766E"/>
        <bgColor rgb="FF115E59"/>
      </patternFill>
    </fill>
    <fill>
      <patternFill patternType="solid">
        <fgColor rgb="FFFFF3C4"/>
        <bgColor rgb="FFFEF3C7"/>
      </patternFill>
    </fill>
    <fill>
      <patternFill patternType="solid">
        <fgColor rgb="FFCCFBF1"/>
        <bgColor rgb="FFBBF7D0"/>
      </patternFill>
    </fill>
    <fill>
      <patternFill patternType="solid">
        <fgColor rgb="FFFECDD3"/>
        <bgColor rgb="FFF5D0FE"/>
      </patternFill>
    </fill>
    <fill>
      <patternFill patternType="solid">
        <fgColor rgb="FFDDD6FE"/>
        <bgColor rgb="FFF5D0FE"/>
      </patternFill>
    </fill>
    <fill>
      <patternFill patternType="solid">
        <fgColor rgb="FFBFDBFE"/>
        <bgColor rgb="FFDDD6FE"/>
      </patternFill>
    </fill>
    <fill>
      <patternFill patternType="solid">
        <fgColor rgb="FFBBF7D0"/>
        <bgColor rgb="FFCCFBF1"/>
      </patternFill>
    </fill>
    <fill>
      <patternFill patternType="solid">
        <fgColor rgb="FFFED7AA"/>
        <bgColor rgb="FFFECDD3"/>
      </patternFill>
    </fill>
    <fill>
      <patternFill patternType="solid">
        <fgColor rgb="FFE5E7EB"/>
        <bgColor rgb="FFDDD6FE"/>
      </patternFill>
    </fill>
    <fill>
      <patternFill patternType="solid">
        <fgColor rgb="FFF5D0FE"/>
        <bgColor rgb="FFDDD6FE"/>
      </patternFill>
    </fill>
    <fill>
      <patternFill patternType="solid">
        <fgColor rgb="FFFEF3C7"/>
        <bgColor rgb="FFFFF3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FECDD3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DDD6FE"/>
      <rgbColor rgb="FF000080"/>
      <rgbColor rgb="FFFF00FF"/>
      <rgbColor rgb="FFFFFF00"/>
      <rgbColor rgb="FF00FFFF"/>
      <rgbColor rgb="FF800080"/>
      <rgbColor rgb="FF800000"/>
      <rgbColor rgb="FF115E59"/>
      <rgbColor rgb="FF0000FF"/>
      <rgbColor rgb="FF00CCFF"/>
      <rgbColor rgb="FFF0FDFA"/>
      <rgbColor rgb="FFBBF7D0"/>
      <rgbColor rgb="FFFFF3C4"/>
      <rgbColor rgb="FFBFDBFE"/>
      <rgbColor rgb="FFF5D0FE"/>
      <rgbColor rgb="FFE5E7EB"/>
      <rgbColor rgb="FFFED7A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0"/>
  </cols>
  <sheetData>
    <row r="1" customFormat="false" ht="49.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/>
      <c r="B2" s="3"/>
    </row>
    <row r="3" customFormat="false" ht="25.5" hidden="false" customHeight="true" outlineLevel="0" collapsed="false">
      <c r="A3" s="2" t="s">
        <v>1</v>
      </c>
      <c r="B3" s="4" t="s">
        <v>2</v>
      </c>
    </row>
    <row r="4" customFormat="false" ht="19.5" hidden="false" customHeight="true" outlineLevel="0" collapsed="false">
      <c r="A4" s="2"/>
      <c r="B4" s="3" t="s">
        <v>3</v>
      </c>
    </row>
    <row r="5" customFormat="false" ht="19.5" hidden="false" customHeight="true" outlineLevel="0" collapsed="false">
      <c r="A5" s="2"/>
      <c r="B5" s="3"/>
    </row>
    <row r="6" customFormat="false" ht="25.5" hidden="false" customHeight="true" outlineLevel="0" collapsed="false">
      <c r="A6" s="2" t="s">
        <v>4</v>
      </c>
      <c r="B6" s="4" t="s">
        <v>5</v>
      </c>
    </row>
    <row r="7" customFormat="false" ht="19.5" hidden="false" customHeight="true" outlineLevel="0" collapsed="false">
      <c r="A7" s="2"/>
      <c r="B7" s="3" t="s">
        <v>6</v>
      </c>
    </row>
    <row r="8" customFormat="false" ht="19.5" hidden="false" customHeight="true" outlineLevel="0" collapsed="false">
      <c r="A8" s="2"/>
      <c r="B8" s="3" t="s">
        <v>7</v>
      </c>
    </row>
    <row r="9" customFormat="false" ht="19.5" hidden="false" customHeight="true" outlineLevel="0" collapsed="false">
      <c r="A9" s="2"/>
      <c r="B9" s="3" t="s">
        <v>8</v>
      </c>
    </row>
    <row r="10" customFormat="false" ht="19.5" hidden="false" customHeight="true" outlineLevel="0" collapsed="false">
      <c r="A10" s="2"/>
      <c r="B10" s="3" t="s">
        <v>9</v>
      </c>
    </row>
    <row r="11" customFormat="false" ht="19.5" hidden="false" customHeight="true" outlineLevel="0" collapsed="false">
      <c r="A11" s="2"/>
      <c r="B11" s="3" t="s">
        <v>10</v>
      </c>
    </row>
    <row r="12" customFormat="false" ht="19.5" hidden="false" customHeight="true" outlineLevel="0" collapsed="false">
      <c r="A12" s="2"/>
      <c r="B12" s="3" t="s">
        <v>11</v>
      </c>
    </row>
    <row r="13" customFormat="false" ht="19.5" hidden="false" customHeight="true" outlineLevel="0" collapsed="false">
      <c r="A13" s="2"/>
      <c r="B13" s="3" t="s">
        <v>12</v>
      </c>
    </row>
    <row r="14" customFormat="false" ht="19.5" hidden="false" customHeight="true" outlineLevel="0" collapsed="false">
      <c r="A14" s="2"/>
      <c r="B14" s="3" t="s">
        <v>13</v>
      </c>
    </row>
    <row r="15" customFormat="false" ht="19.5" hidden="false" customHeight="true" outlineLevel="0" collapsed="false">
      <c r="A15" s="2"/>
      <c r="B15" s="3" t="s">
        <v>14</v>
      </c>
    </row>
    <row r="16" customFormat="false" ht="19.5" hidden="false" customHeight="true" outlineLevel="0" collapsed="false">
      <c r="A16" s="2"/>
      <c r="B16" s="3" t="s">
        <v>15</v>
      </c>
    </row>
    <row r="17" customFormat="false" ht="19.5" hidden="false" customHeight="true" outlineLevel="0" collapsed="false">
      <c r="A17" s="2"/>
      <c r="B17" s="3" t="s">
        <v>16</v>
      </c>
    </row>
    <row r="18" customFormat="false" ht="19.5" hidden="false" customHeight="true" outlineLevel="0" collapsed="false">
      <c r="A18" s="2"/>
      <c r="B18" s="3" t="s">
        <v>17</v>
      </c>
    </row>
    <row r="19" customFormat="false" ht="19.5" hidden="false" customHeight="true" outlineLevel="0" collapsed="false">
      <c r="A19" s="2"/>
      <c r="B19" s="3" t="s">
        <v>18</v>
      </c>
    </row>
    <row r="20" customFormat="false" ht="19.5" hidden="false" customHeight="true" outlineLevel="0" collapsed="false">
      <c r="A20" s="2"/>
      <c r="B20" s="3" t="s">
        <v>19</v>
      </c>
    </row>
    <row r="21" customFormat="false" ht="19.5" hidden="false" customHeight="true" outlineLevel="0" collapsed="false">
      <c r="A21" s="2"/>
      <c r="B21" s="3" t="s">
        <v>20</v>
      </c>
    </row>
    <row r="22" customFormat="false" ht="19.5" hidden="false" customHeight="true" outlineLevel="0" collapsed="false">
      <c r="A22" s="2"/>
      <c r="B22" s="3" t="s">
        <v>21</v>
      </c>
    </row>
    <row r="23" customFormat="false" ht="19.5" hidden="false" customHeight="true" outlineLevel="0" collapsed="false">
      <c r="A23" s="2"/>
      <c r="B23" s="3" t="s">
        <v>22</v>
      </c>
    </row>
    <row r="24" customFormat="false" ht="19.5" hidden="false" customHeight="true" outlineLevel="0" collapsed="false">
      <c r="A24" s="2"/>
      <c r="B24" s="3" t="s">
        <v>23</v>
      </c>
    </row>
    <row r="25" customFormat="false" ht="19.5" hidden="false" customHeight="true" outlineLevel="0" collapsed="false">
      <c r="A25" s="2"/>
      <c r="B25" s="3"/>
    </row>
    <row r="26" customFormat="false" ht="25.5" hidden="false" customHeight="true" outlineLevel="0" collapsed="false">
      <c r="A26" s="2" t="s">
        <v>24</v>
      </c>
      <c r="B26" s="4" t="s">
        <v>25</v>
      </c>
    </row>
    <row r="27" customFormat="false" ht="19.5" hidden="false" customHeight="true" outlineLevel="0" collapsed="false">
      <c r="A27" s="2"/>
      <c r="B27" s="3" t="s">
        <v>26</v>
      </c>
    </row>
    <row r="28" customFormat="false" ht="19.5" hidden="false" customHeight="true" outlineLevel="0" collapsed="false">
      <c r="A28" s="2"/>
      <c r="B28" s="3" t="s">
        <v>27</v>
      </c>
    </row>
    <row r="29" customFormat="false" ht="19.5" hidden="false" customHeight="true" outlineLevel="0" collapsed="false">
      <c r="A29" s="2"/>
      <c r="B29" s="3" t="s">
        <v>28</v>
      </c>
    </row>
    <row r="30" customFormat="false" ht="19.5" hidden="false" customHeight="true" outlineLevel="0" collapsed="false">
      <c r="A30" s="2"/>
      <c r="B30" s="3" t="s">
        <v>29</v>
      </c>
    </row>
    <row r="31" customFormat="false" ht="19.5" hidden="false" customHeight="true" outlineLevel="0" collapsed="false">
      <c r="A31" s="2"/>
      <c r="B31" s="3" t="s">
        <v>30</v>
      </c>
    </row>
    <row r="32" customFormat="false" ht="19.5" hidden="false" customHeight="true" outlineLevel="0" collapsed="false">
      <c r="A32" s="2"/>
      <c r="B32" s="3" t="s">
        <v>31</v>
      </c>
    </row>
    <row r="33" customFormat="false" ht="19.5" hidden="false" customHeight="true" outlineLevel="0" collapsed="false">
      <c r="A33" s="2"/>
      <c r="B33" s="3" t="s">
        <v>32</v>
      </c>
    </row>
    <row r="34" customFormat="false" ht="19.5" hidden="false" customHeight="true" outlineLevel="0" collapsed="false">
      <c r="A34" s="2"/>
      <c r="B34" s="3" t="s">
        <v>33</v>
      </c>
    </row>
    <row r="35" customFormat="false" ht="19.5" hidden="false" customHeight="true" outlineLevel="0" collapsed="false">
      <c r="A35" s="2"/>
      <c r="B35" s="3" t="s">
        <v>34</v>
      </c>
    </row>
    <row r="36" customFormat="false" ht="19.5" hidden="false" customHeight="true" outlineLevel="0" collapsed="false">
      <c r="A36" s="2"/>
      <c r="B36" s="3" t="s">
        <v>35</v>
      </c>
    </row>
    <row r="37" customFormat="false" ht="19.5" hidden="false" customHeight="true" outlineLevel="0" collapsed="false">
      <c r="A37" s="2"/>
      <c r="B37" s="3"/>
    </row>
    <row r="38" customFormat="false" ht="25.5" hidden="false" customHeight="true" outlineLevel="0" collapsed="false">
      <c r="A38" s="2" t="s">
        <v>36</v>
      </c>
      <c r="B38" s="4" t="s">
        <v>37</v>
      </c>
    </row>
    <row r="39" customFormat="false" ht="19.5" hidden="false" customHeight="true" outlineLevel="0" collapsed="false">
      <c r="A39" s="2"/>
      <c r="B39" s="3" t="s">
        <v>38</v>
      </c>
    </row>
    <row r="40" customFormat="false" ht="19.5" hidden="false" customHeight="true" outlineLevel="0" collapsed="false">
      <c r="A40" s="2"/>
      <c r="B40" s="3" t="s">
        <v>39</v>
      </c>
    </row>
    <row r="41" customFormat="false" ht="19.5" hidden="false" customHeight="true" outlineLevel="0" collapsed="false">
      <c r="A41" s="2"/>
      <c r="B41" s="3" t="s">
        <v>40</v>
      </c>
    </row>
    <row r="42" customFormat="false" ht="19.5" hidden="false" customHeight="true" outlineLevel="0" collapsed="false">
      <c r="A42" s="2"/>
      <c r="B42" s="3" t="s">
        <v>41</v>
      </c>
    </row>
    <row r="43" customFormat="false" ht="19.5" hidden="false" customHeight="true" outlineLevel="0" collapsed="false">
      <c r="A43" s="2"/>
      <c r="B43" s="3" t="s">
        <v>42</v>
      </c>
    </row>
    <row r="44" customFormat="false" ht="19.5" hidden="false" customHeight="true" outlineLevel="0" collapsed="false">
      <c r="A44" s="2"/>
      <c r="B44" s="3"/>
    </row>
    <row r="45" customFormat="false" ht="25.5" hidden="false" customHeight="true" outlineLevel="0" collapsed="false">
      <c r="A45" s="2" t="s">
        <v>43</v>
      </c>
      <c r="B45" s="4" t="s">
        <v>44</v>
      </c>
    </row>
    <row r="46" customFormat="false" ht="19.5" hidden="false" customHeight="true" outlineLevel="0" collapsed="false">
      <c r="A46" s="2"/>
      <c r="B46" s="3" t="s">
        <v>45</v>
      </c>
    </row>
    <row r="47" customFormat="false" ht="19.5" hidden="false" customHeight="true" outlineLevel="0" collapsed="false">
      <c r="A47" s="2"/>
      <c r="B47" s="3" t="s">
        <v>46</v>
      </c>
    </row>
    <row r="48" customFormat="false" ht="19.5" hidden="false" customHeight="true" outlineLevel="0" collapsed="false">
      <c r="A48" s="2"/>
      <c r="B48" s="3" t="s">
        <v>47</v>
      </c>
    </row>
    <row r="49" customFormat="false" ht="19.5" hidden="false" customHeight="true" outlineLevel="0" collapsed="false">
      <c r="A49" s="2"/>
      <c r="B49" s="3" t="s">
        <v>48</v>
      </c>
    </row>
    <row r="50" customFormat="false" ht="19.5" hidden="false" customHeight="true" outlineLevel="0" collapsed="false">
      <c r="A50" s="2"/>
      <c r="B50" s="3" t="s">
        <v>49</v>
      </c>
    </row>
    <row r="51" customFormat="false" ht="19.5" hidden="false" customHeight="true" outlineLevel="0" collapsed="false">
      <c r="A51" s="2"/>
      <c r="B51" s="3"/>
    </row>
    <row r="52" customFormat="false" ht="25.5" hidden="false" customHeight="true" outlineLevel="0" collapsed="false">
      <c r="A52" s="2" t="s">
        <v>50</v>
      </c>
      <c r="B52" s="4" t="s">
        <v>51</v>
      </c>
    </row>
    <row r="53" customFormat="false" ht="19.5" hidden="false" customHeight="true" outlineLevel="0" collapsed="false">
      <c r="A53" s="2"/>
      <c r="B53" s="3" t="s">
        <v>52</v>
      </c>
    </row>
    <row r="54" customFormat="false" ht="19.5" hidden="false" customHeight="true" outlineLevel="0" collapsed="false">
      <c r="A54" s="2"/>
      <c r="B54" s="3" t="s">
        <v>53</v>
      </c>
    </row>
    <row r="55" customFormat="false" ht="19.5" hidden="false" customHeight="true" outlineLevel="0" collapsed="false">
      <c r="A55" s="2"/>
      <c r="B55" s="3" t="s">
        <v>54</v>
      </c>
    </row>
    <row r="56" customFormat="false" ht="19.5" hidden="false" customHeight="true" outlineLevel="0" collapsed="false">
      <c r="A56" s="2"/>
      <c r="B56" s="3" t="s">
        <v>55</v>
      </c>
    </row>
    <row r="57" customFormat="false" ht="19.5" hidden="false" customHeight="true" outlineLevel="0" collapsed="false">
      <c r="A57" s="2"/>
      <c r="B57" s="3"/>
    </row>
    <row r="58" customFormat="false" ht="19.5" hidden="false" customHeight="true" outlineLevel="0" collapsed="false">
      <c r="A58" s="2"/>
      <c r="B58" s="3" t="s">
        <v>56</v>
      </c>
    </row>
    <row r="59" customFormat="false" ht="19.5" hidden="false" customHeight="true" outlineLevel="0" collapsed="false">
      <c r="A59" s="2"/>
      <c r="B59" s="3" t="s">
        <v>57</v>
      </c>
    </row>
    <row r="60" customFormat="false" ht="19.5" hidden="false" customHeight="true" outlineLevel="0" collapsed="false">
      <c r="A60" s="2"/>
      <c r="B60" s="3" t="s">
        <v>58</v>
      </c>
    </row>
    <row r="61" customFormat="false" ht="19.5" hidden="false" customHeight="true" outlineLevel="0" collapsed="false">
      <c r="A61" s="2"/>
      <c r="B61" s="3" t="s">
        <v>59</v>
      </c>
    </row>
    <row r="62" customFormat="false" ht="19.5" hidden="false" customHeight="true" outlineLevel="0" collapsed="false">
      <c r="A62" s="2"/>
      <c r="B62" s="3"/>
    </row>
    <row r="63" customFormat="false" ht="19.5" hidden="false" customHeight="true" outlineLevel="0" collapsed="false">
      <c r="A63" s="2"/>
      <c r="B63" s="3" t="s">
        <v>60</v>
      </c>
    </row>
    <row r="64" customFormat="false" ht="19.5" hidden="false" customHeight="true" outlineLevel="0" collapsed="false">
      <c r="A64" s="2"/>
      <c r="B64" s="3" t="s">
        <v>61</v>
      </c>
    </row>
    <row r="65" customFormat="false" ht="19.5" hidden="false" customHeight="true" outlineLevel="0" collapsed="false">
      <c r="A65" s="2"/>
      <c r="B65" s="3" t="s">
        <v>62</v>
      </c>
    </row>
    <row r="66" customFormat="false" ht="19.5" hidden="false" customHeight="true" outlineLevel="0" collapsed="false">
      <c r="A66" s="2"/>
      <c r="B66" s="3" t="s">
        <v>63</v>
      </c>
    </row>
    <row r="67" customFormat="false" ht="19.5" hidden="false" customHeight="true" outlineLevel="0" collapsed="false">
      <c r="A67" s="2"/>
      <c r="B67" s="3"/>
    </row>
    <row r="68" customFormat="false" ht="19.5" hidden="false" customHeight="true" outlineLevel="0" collapsed="false">
      <c r="A68" s="2"/>
      <c r="B68" s="3" t="s">
        <v>64</v>
      </c>
    </row>
    <row r="69" customFormat="false" ht="19.5" hidden="false" customHeight="true" outlineLevel="0" collapsed="false">
      <c r="A69" s="2"/>
      <c r="B69" s="3" t="s">
        <v>65</v>
      </c>
    </row>
    <row r="70" customFormat="false" ht="19.5" hidden="false" customHeight="true" outlineLevel="0" collapsed="false">
      <c r="A70" s="2"/>
      <c r="B70" s="3" t="s">
        <v>66</v>
      </c>
    </row>
    <row r="71" customFormat="false" ht="19.5" hidden="false" customHeight="true" outlineLevel="0" collapsed="false">
      <c r="A71" s="2"/>
      <c r="B71" s="3" t="s">
        <v>67</v>
      </c>
    </row>
    <row r="72" customFormat="false" ht="19.5" hidden="false" customHeight="true" outlineLevel="0" collapsed="false">
      <c r="A72" s="2"/>
      <c r="B72" s="3"/>
    </row>
    <row r="73" customFormat="false" ht="25.5" hidden="false" customHeight="true" outlineLevel="0" collapsed="false">
      <c r="A73" s="2" t="s">
        <v>68</v>
      </c>
      <c r="B73" s="4" t="s">
        <v>69</v>
      </c>
    </row>
    <row r="74" customFormat="false" ht="19.5" hidden="false" customHeight="true" outlineLevel="0" collapsed="false">
      <c r="A74" s="2"/>
      <c r="B74" s="3" t="s">
        <v>70</v>
      </c>
    </row>
    <row r="75" customFormat="false" ht="19.5" hidden="false" customHeight="true" outlineLevel="0" collapsed="false">
      <c r="A75" s="2"/>
      <c r="B75" s="3" t="s">
        <v>71</v>
      </c>
    </row>
    <row r="76" customFormat="false" ht="19.5" hidden="false" customHeight="true" outlineLevel="0" collapsed="false">
      <c r="A76" s="2"/>
      <c r="B76" s="3" t="s">
        <v>72</v>
      </c>
    </row>
    <row r="77" customFormat="false" ht="19.5" hidden="false" customHeight="true" outlineLevel="0" collapsed="false">
      <c r="A77" s="2"/>
      <c r="B77" s="3" t="s">
        <v>73</v>
      </c>
    </row>
    <row r="78" customFormat="false" ht="19.5" hidden="false" customHeight="true" outlineLevel="0" collapsed="false">
      <c r="A78" s="2"/>
      <c r="B78" s="3"/>
    </row>
    <row r="79" customFormat="false" ht="25.5" hidden="false" customHeight="true" outlineLevel="0" collapsed="false">
      <c r="A79" s="2" t="s">
        <v>74</v>
      </c>
      <c r="B79" s="4" t="s">
        <v>75</v>
      </c>
    </row>
    <row r="80" customFormat="false" ht="19.5" hidden="false" customHeight="true" outlineLevel="0" collapsed="false">
      <c r="A80" s="2"/>
      <c r="B80" s="3" t="s">
        <v>76</v>
      </c>
    </row>
    <row r="81" customFormat="false" ht="19.5" hidden="false" customHeight="true" outlineLevel="0" collapsed="false">
      <c r="A81" s="2"/>
      <c r="B81" s="3" t="s">
        <v>77</v>
      </c>
    </row>
    <row r="82" customFormat="false" ht="19.5" hidden="false" customHeight="true" outlineLevel="0" collapsed="false">
      <c r="A82" s="2"/>
      <c r="B82" s="3" t="s">
        <v>78</v>
      </c>
    </row>
    <row r="83" customFormat="false" ht="19.5" hidden="false" customHeight="true" outlineLevel="0" collapsed="false">
      <c r="A83" s="2"/>
      <c r="B83" s="3"/>
    </row>
    <row r="84" customFormat="false" ht="19.5" hidden="false" customHeight="true" outlineLevel="0" collapsed="false">
      <c r="A84" s="2"/>
      <c r="B84" s="3" t="s">
        <v>79</v>
      </c>
    </row>
    <row r="85" customFormat="false" ht="19.5" hidden="false" customHeight="true" outlineLevel="0" collapsed="false">
      <c r="A85" s="2"/>
      <c r="B85" s="3" t="s">
        <v>80</v>
      </c>
    </row>
    <row r="86" customFormat="false" ht="19.5" hidden="false" customHeight="true" outlineLevel="0" collapsed="false">
      <c r="A86" s="2"/>
      <c r="B86" s="3"/>
    </row>
    <row r="87" customFormat="false" ht="19.5" hidden="false" customHeight="true" outlineLevel="0" collapsed="false">
      <c r="A87" s="2"/>
      <c r="B87" s="3" t="s">
        <v>81</v>
      </c>
    </row>
    <row r="88" customFormat="false" ht="19.5" hidden="false" customHeight="true" outlineLevel="0" collapsed="false">
      <c r="A88" s="2"/>
      <c r="B88" s="3" t="s">
        <v>82</v>
      </c>
    </row>
    <row r="89" customFormat="false" ht="19.5" hidden="false" customHeight="true" outlineLevel="0" collapsed="false">
      <c r="A89" s="2"/>
      <c r="B89" s="3"/>
    </row>
    <row r="90" customFormat="false" ht="25.5" hidden="false" customHeight="true" outlineLevel="0" collapsed="false">
      <c r="A90" s="2" t="s">
        <v>83</v>
      </c>
      <c r="B90" s="4" t="s">
        <v>84</v>
      </c>
    </row>
    <row r="91" customFormat="false" ht="19.5" hidden="false" customHeight="true" outlineLevel="0" collapsed="false">
      <c r="A91" s="2"/>
      <c r="B91" s="3" t="s">
        <v>85</v>
      </c>
    </row>
    <row r="92" customFormat="false" ht="19.5" hidden="false" customHeight="true" outlineLevel="0" collapsed="false">
      <c r="A92" s="2"/>
      <c r="B92" s="3" t="s">
        <v>86</v>
      </c>
    </row>
    <row r="93" customFormat="false" ht="19.5" hidden="false" customHeight="true" outlineLevel="0" collapsed="false">
      <c r="A93" s="2"/>
      <c r="B93" s="3" t="s">
        <v>87</v>
      </c>
    </row>
    <row r="94" customFormat="false" ht="19.5" hidden="false" customHeight="true" outlineLevel="0" collapsed="false">
      <c r="A94" s="2"/>
      <c r="B94" s="3" t="s">
        <v>88</v>
      </c>
    </row>
    <row r="95" customFormat="false" ht="19.5" hidden="false" customHeight="true" outlineLevel="0" collapsed="false">
      <c r="A95" s="2"/>
      <c r="B95" s="3" t="s">
        <v>89</v>
      </c>
    </row>
    <row r="96" customFormat="false" ht="19.5" hidden="false" customHeight="true" outlineLevel="0" collapsed="false">
      <c r="A96" s="2"/>
      <c r="B96" s="3"/>
    </row>
    <row r="97" customFormat="false" ht="25.5" hidden="false" customHeight="true" outlineLevel="0" collapsed="false">
      <c r="A97" s="2" t="s">
        <v>90</v>
      </c>
      <c r="B97" s="4" t="s">
        <v>91</v>
      </c>
    </row>
    <row r="98" customFormat="false" ht="19.5" hidden="false" customHeight="true" outlineLevel="0" collapsed="false">
      <c r="A98" s="2"/>
      <c r="B98" s="3" t="s">
        <v>92</v>
      </c>
    </row>
    <row r="99" customFormat="false" ht="19.5" hidden="false" customHeight="true" outlineLevel="0" collapsed="false">
      <c r="A99" s="2"/>
      <c r="B99" s="3" t="s">
        <v>93</v>
      </c>
    </row>
    <row r="100" customFormat="false" ht="19.5" hidden="false" customHeight="true" outlineLevel="0" collapsed="false">
      <c r="A100" s="2"/>
      <c r="B100" s="3" t="s">
        <v>94</v>
      </c>
    </row>
    <row r="101" customFormat="false" ht="19.5" hidden="false" customHeight="true" outlineLevel="0" collapsed="false">
      <c r="A101" s="2"/>
      <c r="B101" s="3" t="s">
        <v>95</v>
      </c>
    </row>
    <row r="102" customFormat="false" ht="19.5" hidden="false" customHeight="true" outlineLevel="0" collapsed="false">
      <c r="A102" s="2"/>
      <c r="B102" s="3"/>
    </row>
    <row r="103" customFormat="false" ht="25.5" hidden="false" customHeight="true" outlineLevel="0" collapsed="false">
      <c r="A103" s="2" t="s">
        <v>96</v>
      </c>
      <c r="B103" s="4" t="s">
        <v>97</v>
      </c>
    </row>
    <row r="104" customFormat="false" ht="19.5" hidden="false" customHeight="true" outlineLevel="0" collapsed="false">
      <c r="A104" s="2"/>
      <c r="B104" s="3" t="s">
        <v>98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6" t="n">
        <v>1</v>
      </c>
      <c r="B2" s="6" t="n">
        <v>1</v>
      </c>
      <c r="C2" s="6" t="s">
        <v>115</v>
      </c>
      <c r="D2" s="7" t="s">
        <v>116</v>
      </c>
      <c r="E2" s="6" t="s">
        <v>117</v>
      </c>
      <c r="F2" s="7" t="s">
        <v>118</v>
      </c>
      <c r="G2" s="6" t="s">
        <v>119</v>
      </c>
      <c r="H2" s="6" t="s">
        <v>120</v>
      </c>
      <c r="I2" s="7" t="s">
        <v>121</v>
      </c>
      <c r="J2" s="7" t="s">
        <v>122</v>
      </c>
      <c r="K2" s="8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2.4</v>
      </c>
      <c r="L2" s="6"/>
      <c r="M2" s="6"/>
      <c r="N2" s="6"/>
      <c r="O2" s="6" t="s">
        <v>123</v>
      </c>
      <c r="P2" s="7" t="s">
        <v>124</v>
      </c>
    </row>
    <row r="3" customFormat="false" ht="25.5" hidden="false" customHeight="true" outlineLevel="0" collapsed="false">
      <c r="A3" s="6" t="n">
        <v>2</v>
      </c>
      <c r="B3" s="6" t="n">
        <v>1</v>
      </c>
      <c r="C3" s="6" t="s">
        <v>125</v>
      </c>
      <c r="D3" s="9" t="s">
        <v>126</v>
      </c>
      <c r="E3" s="6" t="s">
        <v>117</v>
      </c>
      <c r="F3" s="7" t="s">
        <v>127</v>
      </c>
      <c r="G3" s="6" t="s">
        <v>119</v>
      </c>
      <c r="H3" s="6" t="s">
        <v>120</v>
      </c>
      <c r="I3" s="7" t="s">
        <v>121</v>
      </c>
      <c r="J3" s="9" t="s">
        <v>128</v>
      </c>
      <c r="K3" s="8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2.32</v>
      </c>
      <c r="L3" s="6"/>
      <c r="M3" s="6"/>
      <c r="N3" s="6"/>
      <c r="O3" s="6" t="s">
        <v>123</v>
      </c>
      <c r="P3" s="7" t="s">
        <v>129</v>
      </c>
    </row>
    <row r="4" customFormat="false" ht="25.5" hidden="false" customHeight="true" outlineLevel="0" collapsed="false">
      <c r="A4" s="6" t="n">
        <v>3</v>
      </c>
      <c r="B4" s="6" t="n">
        <v>1</v>
      </c>
      <c r="C4" s="6" t="s">
        <v>115</v>
      </c>
      <c r="D4" s="7" t="s">
        <v>130</v>
      </c>
      <c r="E4" s="6" t="s">
        <v>117</v>
      </c>
      <c r="F4" s="7" t="s">
        <v>118</v>
      </c>
      <c r="G4" s="6" t="s">
        <v>119</v>
      </c>
      <c r="H4" s="6" t="s">
        <v>120</v>
      </c>
      <c r="I4" s="7" t="s">
        <v>121</v>
      </c>
      <c r="J4" s="7" t="s">
        <v>131</v>
      </c>
      <c r="K4" s="8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2.4</v>
      </c>
      <c r="L4" s="6"/>
      <c r="M4" s="6"/>
      <c r="N4" s="6"/>
      <c r="O4" s="6" t="s">
        <v>123</v>
      </c>
      <c r="P4" s="7" t="s">
        <v>132</v>
      </c>
    </row>
    <row r="5" customFormat="false" ht="25.5" hidden="false" customHeight="true" outlineLevel="0" collapsed="false">
      <c r="A5" s="6" t="n">
        <v>4</v>
      </c>
      <c r="B5" s="6" t="n">
        <v>1</v>
      </c>
      <c r="C5" s="6" t="s">
        <v>125</v>
      </c>
      <c r="D5" s="9" t="s">
        <v>133</v>
      </c>
      <c r="E5" s="6" t="s">
        <v>117</v>
      </c>
      <c r="F5" s="7" t="s">
        <v>127</v>
      </c>
      <c r="G5" s="6" t="s">
        <v>119</v>
      </c>
      <c r="H5" s="6" t="s">
        <v>120</v>
      </c>
      <c r="I5" s="7" t="s">
        <v>121</v>
      </c>
      <c r="J5" s="9" t="s">
        <v>134</v>
      </c>
      <c r="K5" s="8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2.32</v>
      </c>
      <c r="L5" s="6"/>
      <c r="M5" s="6"/>
      <c r="N5" s="6"/>
      <c r="O5" s="6" t="s">
        <v>123</v>
      </c>
      <c r="P5" s="7" t="s">
        <v>129</v>
      </c>
    </row>
    <row r="6" customFormat="false" ht="25.5" hidden="false" customHeight="true" outlineLevel="0" collapsed="false">
      <c r="A6" s="6" t="n">
        <v>5</v>
      </c>
      <c r="B6" s="6" t="n">
        <v>1</v>
      </c>
      <c r="C6" s="6" t="s">
        <v>115</v>
      </c>
      <c r="D6" s="7" t="s">
        <v>135</v>
      </c>
      <c r="E6" s="6" t="s">
        <v>117</v>
      </c>
      <c r="F6" s="7" t="s">
        <v>136</v>
      </c>
      <c r="G6" s="6" t="s">
        <v>137</v>
      </c>
      <c r="H6" s="6" t="s">
        <v>120</v>
      </c>
      <c r="I6" s="7" t="s">
        <v>121</v>
      </c>
      <c r="J6" s="7" t="s">
        <v>138</v>
      </c>
      <c r="K6" s="8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3.47</v>
      </c>
      <c r="L6" s="6"/>
      <c r="M6" s="6"/>
      <c r="N6" s="6"/>
      <c r="O6" s="6" t="s">
        <v>123</v>
      </c>
      <c r="P6" s="7" t="s">
        <v>139</v>
      </c>
    </row>
    <row r="7" customFormat="false" ht="25.5" hidden="false" customHeight="true" outlineLevel="0" collapsed="false">
      <c r="A7" s="6" t="n">
        <v>6</v>
      </c>
      <c r="B7" s="6" t="n">
        <v>1</v>
      </c>
      <c r="C7" s="6" t="s">
        <v>125</v>
      </c>
      <c r="D7" s="9" t="s">
        <v>140</v>
      </c>
      <c r="E7" s="6" t="s">
        <v>117</v>
      </c>
      <c r="F7" s="7" t="s">
        <v>141</v>
      </c>
      <c r="G7" s="6" t="s">
        <v>137</v>
      </c>
      <c r="H7" s="6" t="s">
        <v>120</v>
      </c>
      <c r="I7" s="7" t="s">
        <v>121</v>
      </c>
      <c r="J7" s="9" t="s">
        <v>142</v>
      </c>
      <c r="K7" s="8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3.39</v>
      </c>
      <c r="L7" s="6"/>
      <c r="M7" s="6"/>
      <c r="N7" s="6"/>
      <c r="O7" s="6" t="s">
        <v>123</v>
      </c>
      <c r="P7" s="7" t="s">
        <v>129</v>
      </c>
    </row>
    <row r="8" customFormat="false" ht="25.5" hidden="false" customHeight="true" outlineLevel="0" collapsed="false">
      <c r="A8" s="6" t="n">
        <v>7</v>
      </c>
      <c r="B8" s="6" t="n">
        <v>1</v>
      </c>
      <c r="C8" s="6" t="s">
        <v>115</v>
      </c>
      <c r="D8" s="7" t="s">
        <v>143</v>
      </c>
      <c r="E8" s="6" t="s">
        <v>117</v>
      </c>
      <c r="F8" s="7" t="s">
        <v>136</v>
      </c>
      <c r="G8" s="6" t="s">
        <v>137</v>
      </c>
      <c r="H8" s="6" t="s">
        <v>120</v>
      </c>
      <c r="I8" s="7" t="s">
        <v>121</v>
      </c>
      <c r="J8" s="7" t="s">
        <v>144</v>
      </c>
      <c r="K8" s="8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3.47</v>
      </c>
      <c r="L8" s="6"/>
      <c r="M8" s="6"/>
      <c r="N8" s="6"/>
      <c r="O8" s="6" t="s">
        <v>123</v>
      </c>
      <c r="P8" s="7" t="s">
        <v>145</v>
      </c>
    </row>
    <row r="9" customFormat="false" ht="25.5" hidden="false" customHeight="true" outlineLevel="0" collapsed="false">
      <c r="A9" s="6" t="n">
        <v>8</v>
      </c>
      <c r="B9" s="6" t="n">
        <v>1</v>
      </c>
      <c r="C9" s="6" t="s">
        <v>125</v>
      </c>
      <c r="D9" s="9" t="s">
        <v>146</v>
      </c>
      <c r="E9" s="6" t="s">
        <v>117</v>
      </c>
      <c r="F9" s="7" t="s">
        <v>141</v>
      </c>
      <c r="G9" s="6" t="s">
        <v>137</v>
      </c>
      <c r="H9" s="6" t="s">
        <v>120</v>
      </c>
      <c r="I9" s="7" t="s">
        <v>121</v>
      </c>
      <c r="J9" s="9" t="s">
        <v>147</v>
      </c>
      <c r="K9" s="8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3.39</v>
      </c>
      <c r="L9" s="6"/>
      <c r="M9" s="6"/>
      <c r="N9" s="6"/>
      <c r="O9" s="6" t="s">
        <v>123</v>
      </c>
      <c r="P9" s="7" t="s">
        <v>129</v>
      </c>
    </row>
    <row r="10" customFormat="false" ht="25.5" hidden="false" customHeight="true" outlineLevel="0" collapsed="false">
      <c r="A10" s="6" t="n">
        <v>9</v>
      </c>
      <c r="B10" s="6" t="n">
        <v>1</v>
      </c>
      <c r="C10" s="6" t="s">
        <v>115</v>
      </c>
      <c r="D10" s="7" t="s">
        <v>148</v>
      </c>
      <c r="E10" s="6" t="s">
        <v>117</v>
      </c>
      <c r="F10" s="7" t="s">
        <v>136</v>
      </c>
      <c r="G10" s="6" t="s">
        <v>137</v>
      </c>
      <c r="H10" s="6" t="s">
        <v>120</v>
      </c>
      <c r="I10" s="7" t="s">
        <v>121</v>
      </c>
      <c r="J10" s="7" t="s">
        <v>149</v>
      </c>
      <c r="K10" s="8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3.47</v>
      </c>
      <c r="L10" s="6"/>
      <c r="M10" s="6"/>
      <c r="N10" s="6"/>
      <c r="O10" s="6" t="s">
        <v>123</v>
      </c>
      <c r="P10" s="7" t="s">
        <v>150</v>
      </c>
    </row>
    <row r="11" customFormat="false" ht="25.5" hidden="false" customHeight="true" outlineLevel="0" collapsed="false">
      <c r="A11" s="6" t="n">
        <v>10</v>
      </c>
      <c r="B11" s="6" t="n">
        <v>1</v>
      </c>
      <c r="C11" s="6" t="s">
        <v>125</v>
      </c>
      <c r="D11" s="9" t="s">
        <v>151</v>
      </c>
      <c r="E11" s="6" t="s">
        <v>117</v>
      </c>
      <c r="F11" s="7" t="s">
        <v>141</v>
      </c>
      <c r="G11" s="6" t="s">
        <v>137</v>
      </c>
      <c r="H11" s="6" t="s">
        <v>120</v>
      </c>
      <c r="I11" s="7" t="s">
        <v>121</v>
      </c>
      <c r="J11" s="9" t="s">
        <v>152</v>
      </c>
      <c r="K11" s="8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3.39</v>
      </c>
      <c r="L11" s="6"/>
      <c r="M11" s="6"/>
      <c r="N11" s="6"/>
      <c r="O11" s="6" t="s">
        <v>123</v>
      </c>
      <c r="P11" s="7" t="s">
        <v>129</v>
      </c>
    </row>
    <row r="12" customFormat="false" ht="25.5" hidden="false" customHeight="true" outlineLevel="0" collapsed="false">
      <c r="A12" s="6" t="n">
        <v>11</v>
      </c>
      <c r="B12" s="6" t="n">
        <v>1</v>
      </c>
      <c r="C12" s="6" t="s">
        <v>115</v>
      </c>
      <c r="D12" s="7" t="s">
        <v>153</v>
      </c>
      <c r="E12" s="6" t="s">
        <v>117</v>
      </c>
      <c r="F12" s="7" t="s">
        <v>118</v>
      </c>
      <c r="G12" s="6" t="s">
        <v>119</v>
      </c>
      <c r="H12" s="6" t="s">
        <v>120</v>
      </c>
      <c r="I12" s="7" t="s">
        <v>121</v>
      </c>
      <c r="J12" s="7" t="s">
        <v>154</v>
      </c>
      <c r="K12" s="8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2.4</v>
      </c>
      <c r="L12" s="6"/>
      <c r="M12" s="6"/>
      <c r="N12" s="6"/>
      <c r="O12" s="6" t="s">
        <v>123</v>
      </c>
      <c r="P12" s="7" t="s">
        <v>155</v>
      </c>
    </row>
    <row r="13" customFormat="false" ht="25.5" hidden="false" customHeight="true" outlineLevel="0" collapsed="false">
      <c r="A13" s="6" t="n">
        <v>12</v>
      </c>
      <c r="B13" s="6" t="n">
        <v>1</v>
      </c>
      <c r="C13" s="6" t="s">
        <v>125</v>
      </c>
      <c r="D13" s="9" t="s">
        <v>156</v>
      </c>
      <c r="E13" s="6" t="s">
        <v>117</v>
      </c>
      <c r="F13" s="7" t="s">
        <v>127</v>
      </c>
      <c r="G13" s="6" t="s">
        <v>119</v>
      </c>
      <c r="H13" s="6" t="s">
        <v>120</v>
      </c>
      <c r="I13" s="7" t="s">
        <v>121</v>
      </c>
      <c r="J13" s="9" t="s">
        <v>157</v>
      </c>
      <c r="K13" s="8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2.32</v>
      </c>
      <c r="L13" s="6"/>
      <c r="M13" s="6"/>
      <c r="N13" s="6"/>
      <c r="O13" s="6" t="s">
        <v>123</v>
      </c>
      <c r="P13" s="7" t="s">
        <v>129</v>
      </c>
    </row>
    <row r="14" customFormat="false" ht="25.5" hidden="false" customHeight="true" outlineLevel="0" collapsed="false">
      <c r="A14" s="6" t="n">
        <v>13</v>
      </c>
      <c r="B14" s="6" t="n">
        <v>1</v>
      </c>
      <c r="C14" s="6" t="s">
        <v>115</v>
      </c>
      <c r="D14" s="7" t="s">
        <v>158</v>
      </c>
      <c r="E14" s="6" t="s">
        <v>117</v>
      </c>
      <c r="F14" s="7" t="s">
        <v>136</v>
      </c>
      <c r="G14" s="6" t="s">
        <v>137</v>
      </c>
      <c r="H14" s="6" t="s">
        <v>120</v>
      </c>
      <c r="I14" s="7" t="s">
        <v>121</v>
      </c>
      <c r="J14" s="7" t="s">
        <v>159</v>
      </c>
      <c r="K14" s="8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3.47</v>
      </c>
      <c r="L14" s="6"/>
      <c r="M14" s="6"/>
      <c r="N14" s="6"/>
      <c r="O14" s="6" t="s">
        <v>123</v>
      </c>
      <c r="P14" s="7" t="s">
        <v>160</v>
      </c>
    </row>
    <row r="15" customFormat="false" ht="25.5" hidden="false" customHeight="true" outlineLevel="0" collapsed="false">
      <c r="A15" s="6" t="n">
        <v>14</v>
      </c>
      <c r="B15" s="6" t="n">
        <v>1</v>
      </c>
      <c r="C15" s="6" t="s">
        <v>125</v>
      </c>
      <c r="D15" s="9" t="s">
        <v>161</v>
      </c>
      <c r="E15" s="6" t="s">
        <v>117</v>
      </c>
      <c r="F15" s="7" t="s">
        <v>141</v>
      </c>
      <c r="G15" s="6" t="s">
        <v>137</v>
      </c>
      <c r="H15" s="6" t="s">
        <v>120</v>
      </c>
      <c r="I15" s="7" t="s">
        <v>121</v>
      </c>
      <c r="J15" s="9" t="s">
        <v>162</v>
      </c>
      <c r="K15" s="8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3.39</v>
      </c>
      <c r="L15" s="6"/>
      <c r="M15" s="6"/>
      <c r="N15" s="6"/>
      <c r="O15" s="6" t="s">
        <v>123</v>
      </c>
      <c r="P15" s="7" t="s">
        <v>129</v>
      </c>
    </row>
    <row r="16" customFormat="false" ht="25.5" hidden="false" customHeight="true" outlineLevel="0" collapsed="false">
      <c r="A16" s="6" t="n">
        <v>15</v>
      </c>
      <c r="B16" s="6" t="n">
        <v>1</v>
      </c>
      <c r="C16" s="6" t="s">
        <v>115</v>
      </c>
      <c r="D16" s="7" t="s">
        <v>163</v>
      </c>
      <c r="E16" s="6" t="s">
        <v>117</v>
      </c>
      <c r="F16" s="7" t="s">
        <v>136</v>
      </c>
      <c r="G16" s="6" t="s">
        <v>137</v>
      </c>
      <c r="H16" s="6" t="s">
        <v>120</v>
      </c>
      <c r="I16" s="7" t="s">
        <v>121</v>
      </c>
      <c r="J16" s="7" t="s">
        <v>164</v>
      </c>
      <c r="K16" s="8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3.47</v>
      </c>
      <c r="L16" s="6"/>
      <c r="M16" s="6"/>
      <c r="N16" s="6"/>
      <c r="O16" s="6" t="s">
        <v>123</v>
      </c>
      <c r="P16" s="7" t="s">
        <v>165</v>
      </c>
    </row>
    <row r="17" customFormat="false" ht="25.5" hidden="false" customHeight="true" outlineLevel="0" collapsed="false">
      <c r="A17" s="6" t="n">
        <v>16</v>
      </c>
      <c r="B17" s="6" t="n">
        <v>1</v>
      </c>
      <c r="C17" s="6" t="s">
        <v>125</v>
      </c>
      <c r="D17" s="9" t="s">
        <v>166</v>
      </c>
      <c r="E17" s="6" t="s">
        <v>117</v>
      </c>
      <c r="F17" s="7" t="s">
        <v>141</v>
      </c>
      <c r="G17" s="6" t="s">
        <v>137</v>
      </c>
      <c r="H17" s="6" t="s">
        <v>120</v>
      </c>
      <c r="I17" s="7" t="s">
        <v>121</v>
      </c>
      <c r="J17" s="9" t="s">
        <v>167</v>
      </c>
      <c r="K17" s="8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3.39</v>
      </c>
      <c r="L17" s="6"/>
      <c r="M17" s="6"/>
      <c r="N17" s="6"/>
      <c r="O17" s="6" t="s">
        <v>123</v>
      </c>
      <c r="P17" s="7" t="s">
        <v>129</v>
      </c>
    </row>
    <row r="18" customFormat="false" ht="25.5" hidden="false" customHeight="true" outlineLevel="0" collapsed="false">
      <c r="A18" s="6" t="n">
        <v>17</v>
      </c>
      <c r="B18" s="6" t="n">
        <v>1</v>
      </c>
      <c r="C18" s="6" t="s">
        <v>115</v>
      </c>
      <c r="D18" s="7" t="s">
        <v>168</v>
      </c>
      <c r="E18" s="6" t="s">
        <v>117</v>
      </c>
      <c r="F18" s="7" t="s">
        <v>136</v>
      </c>
      <c r="G18" s="6" t="s">
        <v>137</v>
      </c>
      <c r="H18" s="6" t="s">
        <v>120</v>
      </c>
      <c r="I18" s="7" t="s">
        <v>121</v>
      </c>
      <c r="J18" s="7" t="s">
        <v>169</v>
      </c>
      <c r="K18" s="8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3.47</v>
      </c>
      <c r="L18" s="6"/>
      <c r="M18" s="6"/>
      <c r="N18" s="6"/>
      <c r="O18" s="6" t="s">
        <v>123</v>
      </c>
      <c r="P18" s="7" t="s">
        <v>170</v>
      </c>
    </row>
    <row r="19" customFormat="false" ht="25.5" hidden="false" customHeight="true" outlineLevel="0" collapsed="false">
      <c r="A19" s="6" t="n">
        <v>18</v>
      </c>
      <c r="B19" s="6" t="n">
        <v>1</v>
      </c>
      <c r="C19" s="6" t="s">
        <v>125</v>
      </c>
      <c r="D19" s="9" t="s">
        <v>171</v>
      </c>
      <c r="E19" s="6" t="s">
        <v>117</v>
      </c>
      <c r="F19" s="7" t="s">
        <v>141</v>
      </c>
      <c r="G19" s="6" t="s">
        <v>137</v>
      </c>
      <c r="H19" s="6" t="s">
        <v>120</v>
      </c>
      <c r="I19" s="7" t="s">
        <v>121</v>
      </c>
      <c r="J19" s="9" t="s">
        <v>172</v>
      </c>
      <c r="K19" s="8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3.39</v>
      </c>
      <c r="L19" s="6"/>
      <c r="M19" s="6"/>
      <c r="N19" s="6"/>
      <c r="O19" s="6" t="s">
        <v>123</v>
      </c>
      <c r="P19" s="7" t="s">
        <v>129</v>
      </c>
    </row>
    <row r="20" customFormat="false" ht="25.5" hidden="false" customHeight="true" outlineLevel="0" collapsed="false">
      <c r="A20" s="6" t="n">
        <v>19</v>
      </c>
      <c r="B20" s="6" t="n">
        <v>1</v>
      </c>
      <c r="C20" s="6" t="s">
        <v>115</v>
      </c>
      <c r="D20" s="7" t="s">
        <v>173</v>
      </c>
      <c r="E20" s="6" t="s">
        <v>117</v>
      </c>
      <c r="F20" s="7" t="s">
        <v>118</v>
      </c>
      <c r="G20" s="6" t="s">
        <v>119</v>
      </c>
      <c r="H20" s="6" t="s">
        <v>120</v>
      </c>
      <c r="I20" s="7" t="s">
        <v>174</v>
      </c>
      <c r="J20" s="7" t="s">
        <v>175</v>
      </c>
      <c r="K20" s="8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2.4</v>
      </c>
      <c r="L20" s="6"/>
      <c r="M20" s="6"/>
      <c r="N20" s="6"/>
      <c r="O20" s="6" t="s">
        <v>123</v>
      </c>
      <c r="P20" s="7" t="s">
        <v>176</v>
      </c>
    </row>
    <row r="21" customFormat="false" ht="25.5" hidden="false" customHeight="true" outlineLevel="0" collapsed="false">
      <c r="A21" s="6" t="n">
        <v>20</v>
      </c>
      <c r="B21" s="6" t="n">
        <v>1</v>
      </c>
      <c r="C21" s="6" t="s">
        <v>125</v>
      </c>
      <c r="D21" s="9" t="s">
        <v>177</v>
      </c>
      <c r="E21" s="6" t="s">
        <v>117</v>
      </c>
      <c r="F21" s="7" t="s">
        <v>127</v>
      </c>
      <c r="G21" s="6" t="s">
        <v>119</v>
      </c>
      <c r="H21" s="6" t="s">
        <v>120</v>
      </c>
      <c r="I21" s="7" t="s">
        <v>174</v>
      </c>
      <c r="J21" s="9" t="s">
        <v>178</v>
      </c>
      <c r="K21" s="8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2.32</v>
      </c>
      <c r="L21" s="6"/>
      <c r="M21" s="6"/>
      <c r="N21" s="6"/>
      <c r="O21" s="6" t="s">
        <v>123</v>
      </c>
      <c r="P21" s="7" t="s">
        <v>129</v>
      </c>
    </row>
    <row r="22" customFormat="false" ht="25.5" hidden="false" customHeight="true" outlineLevel="0" collapsed="false">
      <c r="A22" s="6" t="n">
        <v>21</v>
      </c>
      <c r="B22" s="6" t="n">
        <v>1</v>
      </c>
      <c r="C22" s="6" t="s">
        <v>115</v>
      </c>
      <c r="D22" s="7" t="s">
        <v>179</v>
      </c>
      <c r="E22" s="6" t="s">
        <v>117</v>
      </c>
      <c r="F22" s="7" t="s">
        <v>118</v>
      </c>
      <c r="G22" s="6" t="s">
        <v>119</v>
      </c>
      <c r="H22" s="6" t="s">
        <v>120</v>
      </c>
      <c r="I22" s="7" t="s">
        <v>174</v>
      </c>
      <c r="J22" s="7" t="s">
        <v>180</v>
      </c>
      <c r="K22" s="8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2.4</v>
      </c>
      <c r="L22" s="6"/>
      <c r="M22" s="6"/>
      <c r="N22" s="6"/>
      <c r="O22" s="6" t="s">
        <v>123</v>
      </c>
      <c r="P22" s="7" t="s">
        <v>181</v>
      </c>
    </row>
    <row r="23" customFormat="false" ht="25.5" hidden="false" customHeight="true" outlineLevel="0" collapsed="false">
      <c r="A23" s="6" t="n">
        <v>22</v>
      </c>
      <c r="B23" s="6" t="n">
        <v>1</v>
      </c>
      <c r="C23" s="6" t="s">
        <v>125</v>
      </c>
      <c r="D23" s="9" t="s">
        <v>182</v>
      </c>
      <c r="E23" s="6" t="s">
        <v>117</v>
      </c>
      <c r="F23" s="7" t="s">
        <v>127</v>
      </c>
      <c r="G23" s="6" t="s">
        <v>119</v>
      </c>
      <c r="H23" s="6" t="s">
        <v>120</v>
      </c>
      <c r="I23" s="7" t="s">
        <v>174</v>
      </c>
      <c r="J23" s="9" t="s">
        <v>183</v>
      </c>
      <c r="K23" s="8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2.32</v>
      </c>
      <c r="L23" s="6"/>
      <c r="M23" s="6"/>
      <c r="N23" s="6"/>
      <c r="O23" s="6" t="s">
        <v>123</v>
      </c>
      <c r="P23" s="7" t="s">
        <v>129</v>
      </c>
    </row>
    <row r="24" customFormat="false" ht="25.5" hidden="false" customHeight="true" outlineLevel="0" collapsed="false">
      <c r="A24" s="6" t="n">
        <v>23</v>
      </c>
      <c r="B24" s="6" t="n">
        <v>1</v>
      </c>
      <c r="C24" s="6" t="s">
        <v>115</v>
      </c>
      <c r="D24" s="7" t="s">
        <v>184</v>
      </c>
      <c r="E24" s="6" t="s">
        <v>117</v>
      </c>
      <c r="F24" s="7" t="s">
        <v>118</v>
      </c>
      <c r="G24" s="6" t="s">
        <v>119</v>
      </c>
      <c r="H24" s="6" t="s">
        <v>120</v>
      </c>
      <c r="I24" s="7" t="s">
        <v>185</v>
      </c>
      <c r="J24" s="7" t="s">
        <v>186</v>
      </c>
      <c r="K24" s="8" t="n">
        <f aca="false">ROUND((IF(E24="Transactional",5,IF(E24="Commercial",4,IF(E24="Comparison",3,IF(E24="Informational",2,3))))*LOG10(IF(ISNUMBER(L24),L24,IFERROR(VALUE(LEFT(F24,FIND("-",F24)-1)),100))+1))/IF(IF(ISBLANK(M24),G24,M24)="High",5,IF(IF(ISBLANK(M24),G24,M24)="Medium",3,1)),2)</f>
        <v>2.4</v>
      </c>
      <c r="L24" s="6"/>
      <c r="M24" s="6"/>
      <c r="N24" s="6"/>
      <c r="O24" s="6" t="s">
        <v>123</v>
      </c>
      <c r="P24" s="7" t="s">
        <v>187</v>
      </c>
    </row>
    <row r="25" customFormat="false" ht="25.5" hidden="false" customHeight="true" outlineLevel="0" collapsed="false">
      <c r="A25" s="6" t="n">
        <v>24</v>
      </c>
      <c r="B25" s="6" t="n">
        <v>1</v>
      </c>
      <c r="C25" s="6" t="s">
        <v>125</v>
      </c>
      <c r="D25" s="9" t="s">
        <v>188</v>
      </c>
      <c r="E25" s="6" t="s">
        <v>117</v>
      </c>
      <c r="F25" s="7" t="s">
        <v>127</v>
      </c>
      <c r="G25" s="6" t="s">
        <v>119</v>
      </c>
      <c r="H25" s="6" t="s">
        <v>120</v>
      </c>
      <c r="I25" s="7" t="s">
        <v>185</v>
      </c>
      <c r="J25" s="9" t="s">
        <v>189</v>
      </c>
      <c r="K25" s="8" t="n">
        <f aca="false">ROUND((IF(E25="Transactional",5,IF(E25="Commercial",4,IF(E25="Comparison",3,IF(E25="Informational",2,3))))*LOG10(IF(ISNUMBER(L25),L25,IFERROR(VALUE(LEFT(F25,FIND("-",F25)-1)),100))+1))/IF(IF(ISBLANK(M25),G25,M25)="High",5,IF(IF(ISBLANK(M25),G25,M25)="Medium",3,1)),2)</f>
        <v>2.32</v>
      </c>
      <c r="L25" s="6"/>
      <c r="M25" s="6"/>
      <c r="N25" s="6"/>
      <c r="O25" s="6" t="s">
        <v>123</v>
      </c>
      <c r="P25" s="7" t="s">
        <v>129</v>
      </c>
    </row>
    <row r="26" customFormat="false" ht="25.5" hidden="false" customHeight="true" outlineLevel="0" collapsed="false">
      <c r="A26" s="6" t="n">
        <v>25</v>
      </c>
      <c r="B26" s="6" t="n">
        <v>1</v>
      </c>
      <c r="C26" s="6" t="s">
        <v>115</v>
      </c>
      <c r="D26" s="7" t="s">
        <v>190</v>
      </c>
      <c r="E26" s="6" t="s">
        <v>117</v>
      </c>
      <c r="F26" s="7" t="s">
        <v>136</v>
      </c>
      <c r="G26" s="6" t="s">
        <v>137</v>
      </c>
      <c r="H26" s="6" t="s">
        <v>120</v>
      </c>
      <c r="I26" s="7" t="s">
        <v>185</v>
      </c>
      <c r="J26" s="7" t="s">
        <v>191</v>
      </c>
      <c r="K26" s="8" t="n">
        <f aca="false">ROUND((IF(E26="Transactional",5,IF(E26="Commercial",4,IF(E26="Comparison",3,IF(E26="Informational",2,3))))*LOG10(IF(ISNUMBER(L26),L26,IFERROR(VALUE(LEFT(F26,FIND("-",F26)-1)),100))+1))/IF(IF(ISBLANK(M26),G26,M26)="High",5,IF(IF(ISBLANK(M26),G26,M26)="Medium",3,1)),2)</f>
        <v>3.47</v>
      </c>
      <c r="L26" s="6"/>
      <c r="M26" s="6"/>
      <c r="N26" s="6"/>
      <c r="O26" s="6" t="s">
        <v>123</v>
      </c>
      <c r="P26" s="7" t="s">
        <v>192</v>
      </c>
    </row>
    <row r="27" customFormat="false" ht="25.5" hidden="false" customHeight="true" outlineLevel="0" collapsed="false">
      <c r="A27" s="6" t="n">
        <v>26</v>
      </c>
      <c r="B27" s="6" t="n">
        <v>1</v>
      </c>
      <c r="C27" s="6" t="s">
        <v>125</v>
      </c>
      <c r="D27" s="9" t="s">
        <v>193</v>
      </c>
      <c r="E27" s="6" t="s">
        <v>117</v>
      </c>
      <c r="F27" s="7" t="s">
        <v>141</v>
      </c>
      <c r="G27" s="6" t="s">
        <v>137</v>
      </c>
      <c r="H27" s="6" t="s">
        <v>120</v>
      </c>
      <c r="I27" s="7" t="s">
        <v>185</v>
      </c>
      <c r="J27" s="9" t="s">
        <v>194</v>
      </c>
      <c r="K27" s="8" t="n">
        <f aca="false">ROUND((IF(E27="Transactional",5,IF(E27="Commercial",4,IF(E27="Comparison",3,IF(E27="Informational",2,3))))*LOG10(IF(ISNUMBER(L27),L27,IFERROR(VALUE(LEFT(F27,FIND("-",F27)-1)),100))+1))/IF(IF(ISBLANK(M27),G27,M27)="High",5,IF(IF(ISBLANK(M27),G27,M27)="Medium",3,1)),2)</f>
        <v>3.39</v>
      </c>
      <c r="L27" s="6"/>
      <c r="M27" s="6"/>
      <c r="N27" s="6"/>
      <c r="O27" s="6" t="s">
        <v>123</v>
      </c>
      <c r="P27" s="7" t="s">
        <v>129</v>
      </c>
    </row>
    <row r="28" customFormat="false" ht="25.5" hidden="false" customHeight="true" outlineLevel="0" collapsed="false">
      <c r="A28" s="6" t="n">
        <v>27</v>
      </c>
      <c r="B28" s="6" t="n">
        <v>1</v>
      </c>
      <c r="C28" s="6" t="s">
        <v>115</v>
      </c>
      <c r="D28" s="7" t="s">
        <v>195</v>
      </c>
      <c r="E28" s="6" t="s">
        <v>117</v>
      </c>
      <c r="F28" s="7" t="s">
        <v>118</v>
      </c>
      <c r="G28" s="6" t="s">
        <v>119</v>
      </c>
      <c r="H28" s="6" t="s">
        <v>120</v>
      </c>
      <c r="I28" s="7" t="s">
        <v>185</v>
      </c>
      <c r="J28" s="7" t="s">
        <v>196</v>
      </c>
      <c r="K28" s="8" t="n">
        <f aca="false">ROUND((IF(E28="Transactional",5,IF(E28="Commercial",4,IF(E28="Comparison",3,IF(E28="Informational",2,3))))*LOG10(IF(ISNUMBER(L28),L28,IFERROR(VALUE(LEFT(F28,FIND("-",F28)-1)),100))+1))/IF(IF(ISBLANK(M28),G28,M28)="High",5,IF(IF(ISBLANK(M28),G28,M28)="Medium",3,1)),2)</f>
        <v>2.4</v>
      </c>
      <c r="L28" s="6"/>
      <c r="M28" s="6"/>
      <c r="N28" s="6"/>
      <c r="O28" s="6" t="s">
        <v>123</v>
      </c>
      <c r="P28" s="7" t="s">
        <v>197</v>
      </c>
    </row>
    <row r="29" customFormat="false" ht="25.5" hidden="false" customHeight="true" outlineLevel="0" collapsed="false">
      <c r="A29" s="6" t="n">
        <v>28</v>
      </c>
      <c r="B29" s="6" t="n">
        <v>1</v>
      </c>
      <c r="C29" s="6" t="s">
        <v>125</v>
      </c>
      <c r="D29" s="9" t="s">
        <v>198</v>
      </c>
      <c r="E29" s="6" t="s">
        <v>117</v>
      </c>
      <c r="F29" s="7" t="s">
        <v>127</v>
      </c>
      <c r="G29" s="6" t="s">
        <v>119</v>
      </c>
      <c r="H29" s="6" t="s">
        <v>120</v>
      </c>
      <c r="I29" s="7" t="s">
        <v>185</v>
      </c>
      <c r="J29" s="9" t="s">
        <v>199</v>
      </c>
      <c r="K29" s="8" t="n">
        <f aca="false">ROUND((IF(E29="Transactional",5,IF(E29="Commercial",4,IF(E29="Comparison",3,IF(E29="Informational",2,3))))*LOG10(IF(ISNUMBER(L29),L29,IFERROR(VALUE(LEFT(F29,FIND("-",F29)-1)),100))+1))/IF(IF(ISBLANK(M29),G29,M29)="High",5,IF(IF(ISBLANK(M29),G29,M29)="Medium",3,1)),2)</f>
        <v>2.32</v>
      </c>
      <c r="L29" s="6"/>
      <c r="M29" s="6"/>
      <c r="N29" s="6"/>
      <c r="O29" s="6" t="s">
        <v>123</v>
      </c>
      <c r="P29" s="7" t="s">
        <v>129</v>
      </c>
    </row>
    <row r="30" customFormat="false" ht="25.5" hidden="false" customHeight="true" outlineLevel="0" collapsed="false">
      <c r="A30" s="6" t="n">
        <v>29</v>
      </c>
      <c r="B30" s="6" t="n">
        <v>1</v>
      </c>
      <c r="C30" s="6" t="s">
        <v>115</v>
      </c>
      <c r="D30" s="7" t="s">
        <v>200</v>
      </c>
      <c r="E30" s="6" t="s">
        <v>117</v>
      </c>
      <c r="F30" s="7" t="s">
        <v>118</v>
      </c>
      <c r="G30" s="6" t="s">
        <v>119</v>
      </c>
      <c r="H30" s="6" t="s">
        <v>120</v>
      </c>
      <c r="I30" s="7" t="s">
        <v>185</v>
      </c>
      <c r="J30" s="7" t="s">
        <v>201</v>
      </c>
      <c r="K30" s="8" t="n">
        <f aca="false">ROUND((IF(E30="Transactional",5,IF(E30="Commercial",4,IF(E30="Comparison",3,IF(E30="Informational",2,3))))*LOG10(IF(ISNUMBER(L30),L30,IFERROR(VALUE(LEFT(F30,FIND("-",F30)-1)),100))+1))/IF(IF(ISBLANK(M30),G30,M30)="High",5,IF(IF(ISBLANK(M30),G30,M30)="Medium",3,1)),2)</f>
        <v>2.4</v>
      </c>
      <c r="L30" s="6"/>
      <c r="M30" s="6"/>
      <c r="N30" s="6"/>
      <c r="O30" s="6" t="s">
        <v>123</v>
      </c>
      <c r="P30" s="7" t="s">
        <v>202</v>
      </c>
    </row>
    <row r="31" customFormat="false" ht="25.5" hidden="false" customHeight="true" outlineLevel="0" collapsed="false">
      <c r="A31" s="6" t="n">
        <v>30</v>
      </c>
      <c r="B31" s="6" t="n">
        <v>1</v>
      </c>
      <c r="C31" s="6" t="s">
        <v>125</v>
      </c>
      <c r="D31" s="9" t="s">
        <v>203</v>
      </c>
      <c r="E31" s="6" t="s">
        <v>117</v>
      </c>
      <c r="F31" s="7" t="s">
        <v>127</v>
      </c>
      <c r="G31" s="6" t="s">
        <v>119</v>
      </c>
      <c r="H31" s="6" t="s">
        <v>120</v>
      </c>
      <c r="I31" s="7" t="s">
        <v>185</v>
      </c>
      <c r="J31" s="9" t="s">
        <v>204</v>
      </c>
      <c r="K31" s="8" t="n">
        <f aca="false">ROUND((IF(E31="Transactional",5,IF(E31="Commercial",4,IF(E31="Comparison",3,IF(E31="Informational",2,3))))*LOG10(IF(ISNUMBER(L31),L31,IFERROR(VALUE(LEFT(F31,FIND("-",F31)-1)),100))+1))/IF(IF(ISBLANK(M31),G31,M31)="High",5,IF(IF(ISBLANK(M31),G31,M31)="Medium",3,1)),2)</f>
        <v>2.32</v>
      </c>
      <c r="L31" s="6"/>
      <c r="M31" s="6"/>
      <c r="N31" s="6"/>
      <c r="O31" s="6" t="s">
        <v>123</v>
      </c>
      <c r="P31" s="7" t="s">
        <v>129</v>
      </c>
    </row>
    <row r="32" customFormat="false" ht="25.5" hidden="false" customHeight="true" outlineLevel="0" collapsed="false">
      <c r="A32" s="6" t="n">
        <v>31</v>
      </c>
      <c r="B32" s="6" t="n">
        <v>1</v>
      </c>
      <c r="C32" s="6" t="s">
        <v>115</v>
      </c>
      <c r="D32" s="7" t="s">
        <v>205</v>
      </c>
      <c r="E32" s="6" t="s">
        <v>117</v>
      </c>
      <c r="F32" s="7" t="s">
        <v>118</v>
      </c>
      <c r="G32" s="6" t="s">
        <v>119</v>
      </c>
      <c r="H32" s="6" t="s">
        <v>120</v>
      </c>
      <c r="I32" s="7" t="s">
        <v>185</v>
      </c>
      <c r="J32" s="7" t="s">
        <v>206</v>
      </c>
      <c r="K32" s="8" t="n">
        <f aca="false">ROUND((IF(E32="Transactional",5,IF(E32="Commercial",4,IF(E32="Comparison",3,IF(E32="Informational",2,3))))*LOG10(IF(ISNUMBER(L32),L32,IFERROR(VALUE(LEFT(F32,FIND("-",F32)-1)),100))+1))/IF(IF(ISBLANK(M32),G32,M32)="High",5,IF(IF(ISBLANK(M32),G32,M32)="Medium",3,1)),2)</f>
        <v>2.4</v>
      </c>
      <c r="L32" s="6"/>
      <c r="M32" s="6"/>
      <c r="N32" s="6"/>
      <c r="O32" s="6" t="s">
        <v>123</v>
      </c>
      <c r="P32" s="7" t="s">
        <v>207</v>
      </c>
    </row>
    <row r="33" customFormat="false" ht="25.5" hidden="false" customHeight="true" outlineLevel="0" collapsed="false">
      <c r="A33" s="6" t="n">
        <v>32</v>
      </c>
      <c r="B33" s="6" t="n">
        <v>1</v>
      </c>
      <c r="C33" s="6" t="s">
        <v>125</v>
      </c>
      <c r="D33" s="9" t="s">
        <v>208</v>
      </c>
      <c r="E33" s="6" t="s">
        <v>117</v>
      </c>
      <c r="F33" s="7" t="s">
        <v>127</v>
      </c>
      <c r="G33" s="6" t="s">
        <v>119</v>
      </c>
      <c r="H33" s="6" t="s">
        <v>120</v>
      </c>
      <c r="I33" s="7" t="s">
        <v>185</v>
      </c>
      <c r="J33" s="9" t="s">
        <v>209</v>
      </c>
      <c r="K33" s="8" t="n">
        <f aca="false">ROUND((IF(E33="Transactional",5,IF(E33="Commercial",4,IF(E33="Comparison",3,IF(E33="Informational",2,3))))*LOG10(IF(ISNUMBER(L33),L33,IFERROR(VALUE(LEFT(F33,FIND("-",F33)-1)),100))+1))/IF(IF(ISBLANK(M33),G33,M33)="High",5,IF(IF(ISBLANK(M33),G33,M33)="Medium",3,1)),2)</f>
        <v>2.32</v>
      </c>
      <c r="L33" s="6"/>
      <c r="M33" s="6"/>
      <c r="N33" s="6"/>
      <c r="O33" s="6" t="s">
        <v>123</v>
      </c>
      <c r="P33" s="7" t="s">
        <v>129</v>
      </c>
    </row>
    <row r="34" customFormat="false" ht="25.5" hidden="false" customHeight="true" outlineLevel="0" collapsed="false">
      <c r="A34" s="6" t="n">
        <v>33</v>
      </c>
      <c r="B34" s="6" t="n">
        <v>1</v>
      </c>
      <c r="C34" s="6" t="s">
        <v>115</v>
      </c>
      <c r="D34" s="7" t="s">
        <v>210</v>
      </c>
      <c r="E34" s="6" t="s">
        <v>117</v>
      </c>
      <c r="F34" s="7" t="s">
        <v>136</v>
      </c>
      <c r="G34" s="6" t="s">
        <v>137</v>
      </c>
      <c r="H34" s="6" t="s">
        <v>120</v>
      </c>
      <c r="I34" s="7" t="s">
        <v>185</v>
      </c>
      <c r="J34" s="7" t="s">
        <v>211</v>
      </c>
      <c r="K34" s="8" t="n">
        <f aca="false">ROUND((IF(E34="Transactional",5,IF(E34="Commercial",4,IF(E34="Comparison",3,IF(E34="Informational",2,3))))*LOG10(IF(ISNUMBER(L34),L34,IFERROR(VALUE(LEFT(F34,FIND("-",F34)-1)),100))+1))/IF(IF(ISBLANK(M34),G34,M34)="High",5,IF(IF(ISBLANK(M34),G34,M34)="Medium",3,1)),2)</f>
        <v>3.47</v>
      </c>
      <c r="L34" s="6"/>
      <c r="M34" s="6"/>
      <c r="N34" s="6"/>
      <c r="O34" s="6" t="s">
        <v>123</v>
      </c>
      <c r="P34" s="7" t="s">
        <v>212</v>
      </c>
    </row>
    <row r="35" customFormat="false" ht="25.5" hidden="false" customHeight="true" outlineLevel="0" collapsed="false">
      <c r="A35" s="6" t="n">
        <v>34</v>
      </c>
      <c r="B35" s="6" t="n">
        <v>1</v>
      </c>
      <c r="C35" s="6" t="s">
        <v>125</v>
      </c>
      <c r="D35" s="9" t="s">
        <v>213</v>
      </c>
      <c r="E35" s="6" t="s">
        <v>117</v>
      </c>
      <c r="F35" s="7" t="s">
        <v>141</v>
      </c>
      <c r="G35" s="6" t="s">
        <v>137</v>
      </c>
      <c r="H35" s="6" t="s">
        <v>120</v>
      </c>
      <c r="I35" s="7" t="s">
        <v>185</v>
      </c>
      <c r="J35" s="9" t="s">
        <v>214</v>
      </c>
      <c r="K35" s="8" t="n">
        <f aca="false">ROUND((IF(E35="Transactional",5,IF(E35="Commercial",4,IF(E35="Comparison",3,IF(E35="Informational",2,3))))*LOG10(IF(ISNUMBER(L35),L35,IFERROR(VALUE(LEFT(F35,FIND("-",F35)-1)),100))+1))/IF(IF(ISBLANK(M35),G35,M35)="High",5,IF(IF(ISBLANK(M35),G35,M35)="Medium",3,1)),2)</f>
        <v>3.39</v>
      </c>
      <c r="L35" s="6"/>
      <c r="M35" s="6"/>
      <c r="N35" s="6"/>
      <c r="O35" s="6" t="s">
        <v>123</v>
      </c>
      <c r="P35" s="7" t="s">
        <v>129</v>
      </c>
    </row>
    <row r="36" customFormat="false" ht="25.5" hidden="false" customHeight="true" outlineLevel="0" collapsed="false">
      <c r="A36" s="6" t="n">
        <v>35</v>
      </c>
      <c r="B36" s="6" t="n">
        <v>1</v>
      </c>
      <c r="C36" s="6" t="s">
        <v>115</v>
      </c>
      <c r="D36" s="7" t="s">
        <v>215</v>
      </c>
      <c r="E36" s="6" t="s">
        <v>117</v>
      </c>
      <c r="F36" s="7" t="s">
        <v>136</v>
      </c>
      <c r="G36" s="6" t="s">
        <v>137</v>
      </c>
      <c r="H36" s="6" t="s">
        <v>120</v>
      </c>
      <c r="I36" s="7" t="s">
        <v>185</v>
      </c>
      <c r="J36" s="7" t="s">
        <v>216</v>
      </c>
      <c r="K36" s="8" t="n">
        <f aca="false">ROUND((IF(E36="Transactional",5,IF(E36="Commercial",4,IF(E36="Comparison",3,IF(E36="Informational",2,3))))*LOG10(IF(ISNUMBER(L36),L36,IFERROR(VALUE(LEFT(F36,FIND("-",F36)-1)),100))+1))/IF(IF(ISBLANK(M36),G36,M36)="High",5,IF(IF(ISBLANK(M36),G36,M36)="Medium",3,1)),2)</f>
        <v>3.47</v>
      </c>
      <c r="L36" s="6"/>
      <c r="M36" s="6"/>
      <c r="N36" s="6"/>
      <c r="O36" s="6" t="s">
        <v>123</v>
      </c>
      <c r="P36" s="7" t="s">
        <v>217</v>
      </c>
    </row>
    <row r="37" customFormat="false" ht="25.5" hidden="false" customHeight="true" outlineLevel="0" collapsed="false">
      <c r="A37" s="6" t="n">
        <v>36</v>
      </c>
      <c r="B37" s="6" t="n">
        <v>1</v>
      </c>
      <c r="C37" s="6" t="s">
        <v>125</v>
      </c>
      <c r="D37" s="9" t="s">
        <v>218</v>
      </c>
      <c r="E37" s="6" t="s">
        <v>117</v>
      </c>
      <c r="F37" s="7" t="s">
        <v>141</v>
      </c>
      <c r="G37" s="6" t="s">
        <v>137</v>
      </c>
      <c r="H37" s="6" t="s">
        <v>120</v>
      </c>
      <c r="I37" s="7" t="s">
        <v>185</v>
      </c>
      <c r="J37" s="9" t="s">
        <v>219</v>
      </c>
      <c r="K37" s="8" t="n">
        <f aca="false">ROUND((IF(E37="Transactional",5,IF(E37="Commercial",4,IF(E37="Comparison",3,IF(E37="Informational",2,3))))*LOG10(IF(ISNUMBER(L37),L37,IFERROR(VALUE(LEFT(F37,FIND("-",F37)-1)),100))+1))/IF(IF(ISBLANK(M37),G37,M37)="High",5,IF(IF(ISBLANK(M37),G37,M37)="Medium",3,1)),2)</f>
        <v>3.39</v>
      </c>
      <c r="L37" s="6"/>
      <c r="M37" s="6"/>
      <c r="N37" s="6"/>
      <c r="O37" s="6" t="s">
        <v>123</v>
      </c>
      <c r="P37" s="7" t="s">
        <v>129</v>
      </c>
    </row>
    <row r="38" customFormat="false" ht="25.5" hidden="false" customHeight="true" outlineLevel="0" collapsed="false">
      <c r="A38" s="6" t="n">
        <v>37</v>
      </c>
      <c r="B38" s="6" t="n">
        <v>1</v>
      </c>
      <c r="C38" s="6" t="s">
        <v>115</v>
      </c>
      <c r="D38" s="7" t="s">
        <v>220</v>
      </c>
      <c r="E38" s="6" t="s">
        <v>117</v>
      </c>
      <c r="F38" s="7" t="s">
        <v>136</v>
      </c>
      <c r="G38" s="6" t="s">
        <v>137</v>
      </c>
      <c r="H38" s="6" t="s">
        <v>120</v>
      </c>
      <c r="I38" s="7" t="s">
        <v>185</v>
      </c>
      <c r="J38" s="7" t="s">
        <v>221</v>
      </c>
      <c r="K38" s="8" t="n">
        <f aca="false">ROUND((IF(E38="Transactional",5,IF(E38="Commercial",4,IF(E38="Comparison",3,IF(E38="Informational",2,3))))*LOG10(IF(ISNUMBER(L38),L38,IFERROR(VALUE(LEFT(F38,FIND("-",F38)-1)),100))+1))/IF(IF(ISBLANK(M38),G38,M38)="High",5,IF(IF(ISBLANK(M38),G38,M38)="Medium",3,1)),2)</f>
        <v>3.47</v>
      </c>
      <c r="L38" s="6"/>
      <c r="M38" s="6"/>
      <c r="N38" s="6"/>
      <c r="O38" s="6" t="s">
        <v>123</v>
      </c>
      <c r="P38" s="7" t="s">
        <v>222</v>
      </c>
    </row>
    <row r="39" customFormat="false" ht="25.5" hidden="false" customHeight="true" outlineLevel="0" collapsed="false">
      <c r="A39" s="6" t="n">
        <v>38</v>
      </c>
      <c r="B39" s="6" t="n">
        <v>1</v>
      </c>
      <c r="C39" s="6" t="s">
        <v>125</v>
      </c>
      <c r="D39" s="9" t="s">
        <v>223</v>
      </c>
      <c r="E39" s="6" t="s">
        <v>117</v>
      </c>
      <c r="F39" s="7" t="s">
        <v>141</v>
      </c>
      <c r="G39" s="6" t="s">
        <v>137</v>
      </c>
      <c r="H39" s="6" t="s">
        <v>120</v>
      </c>
      <c r="I39" s="7" t="s">
        <v>185</v>
      </c>
      <c r="J39" s="9" t="s">
        <v>224</v>
      </c>
      <c r="K39" s="8" t="n">
        <f aca="false">ROUND((IF(E39="Transactional",5,IF(E39="Commercial",4,IF(E39="Comparison",3,IF(E39="Informational",2,3))))*LOG10(IF(ISNUMBER(L39),L39,IFERROR(VALUE(LEFT(F39,FIND("-",F39)-1)),100))+1))/IF(IF(ISBLANK(M39),G39,M39)="High",5,IF(IF(ISBLANK(M39),G39,M39)="Medium",3,1)),2)</f>
        <v>3.39</v>
      </c>
      <c r="L39" s="6"/>
      <c r="M39" s="6"/>
      <c r="N39" s="6"/>
      <c r="O39" s="6" t="s">
        <v>123</v>
      </c>
      <c r="P39" s="7" t="s">
        <v>129</v>
      </c>
    </row>
    <row r="40" customFormat="false" ht="25.5" hidden="false" customHeight="true" outlineLevel="0" collapsed="false">
      <c r="A40" s="6" t="n">
        <v>39</v>
      </c>
      <c r="B40" s="6" t="n">
        <v>1</v>
      </c>
      <c r="C40" s="6" t="s">
        <v>115</v>
      </c>
      <c r="D40" s="7" t="s">
        <v>225</v>
      </c>
      <c r="E40" s="6" t="s">
        <v>117</v>
      </c>
      <c r="F40" s="7" t="s">
        <v>118</v>
      </c>
      <c r="G40" s="6" t="s">
        <v>119</v>
      </c>
      <c r="H40" s="6" t="s">
        <v>120</v>
      </c>
      <c r="I40" s="7" t="s">
        <v>226</v>
      </c>
      <c r="J40" s="7" t="s">
        <v>227</v>
      </c>
      <c r="K40" s="8" t="n">
        <f aca="false">ROUND((IF(E40="Transactional",5,IF(E40="Commercial",4,IF(E40="Comparison",3,IF(E40="Informational",2,3))))*LOG10(IF(ISNUMBER(L40),L40,IFERROR(VALUE(LEFT(F40,FIND("-",F40)-1)),100))+1))/IF(IF(ISBLANK(M40),G40,M40)="High",5,IF(IF(ISBLANK(M40),G40,M40)="Medium",3,1)),2)</f>
        <v>2.4</v>
      </c>
      <c r="L40" s="6"/>
      <c r="M40" s="6"/>
      <c r="N40" s="6"/>
      <c r="O40" s="6" t="s">
        <v>123</v>
      </c>
      <c r="P40" s="7" t="s">
        <v>228</v>
      </c>
    </row>
    <row r="41" customFormat="false" ht="25.5" hidden="false" customHeight="true" outlineLevel="0" collapsed="false">
      <c r="A41" s="6" t="n">
        <v>40</v>
      </c>
      <c r="B41" s="6" t="n">
        <v>1</v>
      </c>
      <c r="C41" s="6" t="s">
        <v>125</v>
      </c>
      <c r="D41" s="9" t="s">
        <v>229</v>
      </c>
      <c r="E41" s="6" t="s">
        <v>117</v>
      </c>
      <c r="F41" s="7" t="s">
        <v>127</v>
      </c>
      <c r="G41" s="6" t="s">
        <v>119</v>
      </c>
      <c r="H41" s="6" t="s">
        <v>120</v>
      </c>
      <c r="I41" s="7" t="s">
        <v>226</v>
      </c>
      <c r="J41" s="9" t="s">
        <v>230</v>
      </c>
      <c r="K41" s="8" t="n">
        <f aca="false">ROUND((IF(E41="Transactional",5,IF(E41="Commercial",4,IF(E41="Comparison",3,IF(E41="Informational",2,3))))*LOG10(IF(ISNUMBER(L41),L41,IFERROR(VALUE(LEFT(F41,FIND("-",F41)-1)),100))+1))/IF(IF(ISBLANK(M41),G41,M41)="High",5,IF(IF(ISBLANK(M41),G41,M41)="Medium",3,1)),2)</f>
        <v>2.32</v>
      </c>
      <c r="L41" s="6"/>
      <c r="M41" s="6"/>
      <c r="N41" s="6"/>
      <c r="O41" s="6" t="s">
        <v>123</v>
      </c>
      <c r="P41" s="7" t="s">
        <v>129</v>
      </c>
    </row>
    <row r="42" customFormat="false" ht="25.5" hidden="false" customHeight="true" outlineLevel="0" collapsed="false">
      <c r="A42" s="6" t="n">
        <v>41</v>
      </c>
      <c r="B42" s="6" t="n">
        <v>1</v>
      </c>
      <c r="C42" s="6" t="s">
        <v>115</v>
      </c>
      <c r="D42" s="7" t="s">
        <v>231</v>
      </c>
      <c r="E42" s="6" t="s">
        <v>117</v>
      </c>
      <c r="F42" s="7" t="s">
        <v>136</v>
      </c>
      <c r="G42" s="6" t="s">
        <v>137</v>
      </c>
      <c r="H42" s="6" t="s">
        <v>120</v>
      </c>
      <c r="I42" s="7" t="s">
        <v>226</v>
      </c>
      <c r="J42" s="7" t="s">
        <v>232</v>
      </c>
      <c r="K42" s="8" t="n">
        <f aca="false">ROUND((IF(E42="Transactional",5,IF(E42="Commercial",4,IF(E42="Comparison",3,IF(E42="Informational",2,3))))*LOG10(IF(ISNUMBER(L42),L42,IFERROR(VALUE(LEFT(F42,FIND("-",F42)-1)),100))+1))/IF(IF(ISBLANK(M42),G42,M42)="High",5,IF(IF(ISBLANK(M42),G42,M42)="Medium",3,1)),2)</f>
        <v>3.47</v>
      </c>
      <c r="L42" s="6"/>
      <c r="M42" s="6"/>
      <c r="N42" s="6"/>
      <c r="O42" s="6" t="s">
        <v>123</v>
      </c>
      <c r="P42" s="7" t="s">
        <v>233</v>
      </c>
    </row>
    <row r="43" customFormat="false" ht="25.5" hidden="false" customHeight="true" outlineLevel="0" collapsed="false">
      <c r="A43" s="6" t="n">
        <v>42</v>
      </c>
      <c r="B43" s="6" t="n">
        <v>1</v>
      </c>
      <c r="C43" s="6" t="s">
        <v>125</v>
      </c>
      <c r="D43" s="9" t="s">
        <v>234</v>
      </c>
      <c r="E43" s="6" t="s">
        <v>117</v>
      </c>
      <c r="F43" s="7" t="s">
        <v>141</v>
      </c>
      <c r="G43" s="6" t="s">
        <v>137</v>
      </c>
      <c r="H43" s="6" t="s">
        <v>120</v>
      </c>
      <c r="I43" s="7" t="s">
        <v>226</v>
      </c>
      <c r="J43" s="9" t="s">
        <v>235</v>
      </c>
      <c r="K43" s="8" t="n">
        <f aca="false">ROUND((IF(E43="Transactional",5,IF(E43="Commercial",4,IF(E43="Comparison",3,IF(E43="Informational",2,3))))*LOG10(IF(ISNUMBER(L43),L43,IFERROR(VALUE(LEFT(F43,FIND("-",F43)-1)),100))+1))/IF(IF(ISBLANK(M43),G43,M43)="High",5,IF(IF(ISBLANK(M43),G43,M43)="Medium",3,1)),2)</f>
        <v>3.39</v>
      </c>
      <c r="L43" s="6"/>
      <c r="M43" s="6"/>
      <c r="N43" s="6"/>
      <c r="O43" s="6" t="s">
        <v>123</v>
      </c>
      <c r="P43" s="7" t="s">
        <v>129</v>
      </c>
    </row>
    <row r="44" customFormat="false" ht="25.5" hidden="false" customHeight="true" outlineLevel="0" collapsed="false">
      <c r="A44" s="6" t="n">
        <v>43</v>
      </c>
      <c r="B44" s="6" t="n">
        <v>1</v>
      </c>
      <c r="C44" s="6" t="s">
        <v>115</v>
      </c>
      <c r="D44" s="7" t="s">
        <v>236</v>
      </c>
      <c r="E44" s="6" t="s">
        <v>117</v>
      </c>
      <c r="F44" s="7" t="s">
        <v>136</v>
      </c>
      <c r="G44" s="6" t="s">
        <v>137</v>
      </c>
      <c r="H44" s="6" t="s">
        <v>120</v>
      </c>
      <c r="I44" s="7" t="s">
        <v>226</v>
      </c>
      <c r="J44" s="7" t="s">
        <v>237</v>
      </c>
      <c r="K44" s="8" t="n">
        <f aca="false">ROUND((IF(E44="Transactional",5,IF(E44="Commercial",4,IF(E44="Comparison",3,IF(E44="Informational",2,3))))*LOG10(IF(ISNUMBER(L44),L44,IFERROR(VALUE(LEFT(F44,FIND("-",F44)-1)),100))+1))/IF(IF(ISBLANK(M44),G44,M44)="High",5,IF(IF(ISBLANK(M44),G44,M44)="Medium",3,1)),2)</f>
        <v>3.47</v>
      </c>
      <c r="L44" s="6"/>
      <c r="M44" s="6"/>
      <c r="N44" s="6"/>
      <c r="O44" s="6" t="s">
        <v>123</v>
      </c>
      <c r="P44" s="7" t="s">
        <v>238</v>
      </c>
    </row>
    <row r="45" customFormat="false" ht="25.5" hidden="false" customHeight="true" outlineLevel="0" collapsed="false">
      <c r="A45" s="6" t="n">
        <v>44</v>
      </c>
      <c r="B45" s="6" t="n">
        <v>1</v>
      </c>
      <c r="C45" s="6" t="s">
        <v>125</v>
      </c>
      <c r="D45" s="9" t="s">
        <v>239</v>
      </c>
      <c r="E45" s="6" t="s">
        <v>117</v>
      </c>
      <c r="F45" s="7" t="s">
        <v>141</v>
      </c>
      <c r="G45" s="6" t="s">
        <v>137</v>
      </c>
      <c r="H45" s="6" t="s">
        <v>120</v>
      </c>
      <c r="I45" s="7" t="s">
        <v>226</v>
      </c>
      <c r="J45" s="9" t="s">
        <v>240</v>
      </c>
      <c r="K45" s="8" t="n">
        <f aca="false">ROUND((IF(E45="Transactional",5,IF(E45="Commercial",4,IF(E45="Comparison",3,IF(E45="Informational",2,3))))*LOG10(IF(ISNUMBER(L45),L45,IFERROR(VALUE(LEFT(F45,FIND("-",F45)-1)),100))+1))/IF(IF(ISBLANK(M45),G45,M45)="High",5,IF(IF(ISBLANK(M45),G45,M45)="Medium",3,1)),2)</f>
        <v>3.39</v>
      </c>
      <c r="L45" s="6"/>
      <c r="M45" s="6"/>
      <c r="N45" s="6"/>
      <c r="O45" s="6" t="s">
        <v>123</v>
      </c>
      <c r="P45" s="7" t="s">
        <v>129</v>
      </c>
    </row>
    <row r="46" customFormat="false" ht="25.5" hidden="false" customHeight="true" outlineLevel="0" collapsed="false">
      <c r="A46" s="6" t="n">
        <v>45</v>
      </c>
      <c r="B46" s="6" t="n">
        <v>1</v>
      </c>
      <c r="C46" s="6" t="s">
        <v>115</v>
      </c>
      <c r="D46" s="7" t="s">
        <v>241</v>
      </c>
      <c r="E46" s="6" t="s">
        <v>117</v>
      </c>
      <c r="F46" s="7" t="s">
        <v>136</v>
      </c>
      <c r="G46" s="6" t="s">
        <v>137</v>
      </c>
      <c r="H46" s="6" t="s">
        <v>120</v>
      </c>
      <c r="I46" s="7" t="s">
        <v>242</v>
      </c>
      <c r="J46" s="7" t="s">
        <v>243</v>
      </c>
      <c r="K46" s="8" t="n">
        <f aca="false">ROUND((IF(E46="Transactional",5,IF(E46="Commercial",4,IF(E46="Comparison",3,IF(E46="Informational",2,3))))*LOG10(IF(ISNUMBER(L46),L46,IFERROR(VALUE(LEFT(F46,FIND("-",F46)-1)),100))+1))/IF(IF(ISBLANK(M46),G46,M46)="High",5,IF(IF(ISBLANK(M46),G46,M46)="Medium",3,1)),2)</f>
        <v>3.47</v>
      </c>
      <c r="L46" s="6"/>
      <c r="M46" s="6"/>
      <c r="N46" s="6"/>
      <c r="O46" s="6" t="s">
        <v>123</v>
      </c>
      <c r="P46" s="7" t="s">
        <v>244</v>
      </c>
    </row>
    <row r="47" customFormat="false" ht="25.5" hidden="false" customHeight="true" outlineLevel="0" collapsed="false">
      <c r="A47" s="6" t="n">
        <v>46</v>
      </c>
      <c r="B47" s="6" t="n">
        <v>1</v>
      </c>
      <c r="C47" s="6" t="s">
        <v>125</v>
      </c>
      <c r="D47" s="9" t="s">
        <v>245</v>
      </c>
      <c r="E47" s="6" t="s">
        <v>117</v>
      </c>
      <c r="F47" s="7" t="s">
        <v>141</v>
      </c>
      <c r="G47" s="6" t="s">
        <v>137</v>
      </c>
      <c r="H47" s="6" t="s">
        <v>120</v>
      </c>
      <c r="I47" s="7" t="s">
        <v>242</v>
      </c>
      <c r="J47" s="9" t="s">
        <v>246</v>
      </c>
      <c r="K47" s="8" t="n">
        <f aca="false">ROUND((IF(E47="Transactional",5,IF(E47="Commercial",4,IF(E47="Comparison",3,IF(E47="Informational",2,3))))*LOG10(IF(ISNUMBER(L47),L47,IFERROR(VALUE(LEFT(F47,FIND("-",F47)-1)),100))+1))/IF(IF(ISBLANK(M47),G47,M47)="High",5,IF(IF(ISBLANK(M47),G47,M47)="Medium",3,1)),2)</f>
        <v>3.39</v>
      </c>
      <c r="L47" s="6"/>
      <c r="M47" s="6"/>
      <c r="N47" s="6"/>
      <c r="O47" s="6" t="s">
        <v>123</v>
      </c>
      <c r="P47" s="7" t="s">
        <v>129</v>
      </c>
    </row>
    <row r="48" customFormat="false" ht="25.5" hidden="false" customHeight="true" outlineLevel="0" collapsed="false">
      <c r="A48" s="6" t="n">
        <v>47</v>
      </c>
      <c r="B48" s="6" t="n">
        <v>1</v>
      </c>
      <c r="C48" s="6" t="s">
        <v>115</v>
      </c>
      <c r="D48" s="7" t="s">
        <v>247</v>
      </c>
      <c r="E48" s="6" t="s">
        <v>117</v>
      </c>
      <c r="F48" s="7" t="s">
        <v>118</v>
      </c>
      <c r="G48" s="6" t="s">
        <v>119</v>
      </c>
      <c r="H48" s="6" t="s">
        <v>120</v>
      </c>
      <c r="I48" s="7" t="s">
        <v>248</v>
      </c>
      <c r="J48" s="7" t="s">
        <v>249</v>
      </c>
      <c r="K48" s="8" t="n">
        <f aca="false">ROUND((IF(E48="Transactional",5,IF(E48="Commercial",4,IF(E48="Comparison",3,IF(E48="Informational",2,3))))*LOG10(IF(ISNUMBER(L48),L48,IFERROR(VALUE(LEFT(F48,FIND("-",F48)-1)),100))+1))/IF(IF(ISBLANK(M48),G48,M48)="High",5,IF(IF(ISBLANK(M48),G48,M48)="Medium",3,1)),2)</f>
        <v>2.4</v>
      </c>
      <c r="L48" s="6"/>
      <c r="M48" s="6"/>
      <c r="N48" s="6"/>
      <c r="O48" s="6" t="s">
        <v>123</v>
      </c>
      <c r="P48" s="7" t="s">
        <v>250</v>
      </c>
    </row>
    <row r="49" customFormat="false" ht="25.5" hidden="false" customHeight="true" outlineLevel="0" collapsed="false">
      <c r="A49" s="6" t="n">
        <v>48</v>
      </c>
      <c r="B49" s="6" t="n">
        <v>1</v>
      </c>
      <c r="C49" s="6" t="s">
        <v>125</v>
      </c>
      <c r="D49" s="9" t="s">
        <v>251</v>
      </c>
      <c r="E49" s="6" t="s">
        <v>117</v>
      </c>
      <c r="F49" s="7" t="s">
        <v>127</v>
      </c>
      <c r="G49" s="6" t="s">
        <v>119</v>
      </c>
      <c r="H49" s="6" t="s">
        <v>120</v>
      </c>
      <c r="I49" s="7" t="s">
        <v>248</v>
      </c>
      <c r="J49" s="9" t="s">
        <v>252</v>
      </c>
      <c r="K49" s="8" t="n">
        <f aca="false">ROUND((IF(E49="Transactional",5,IF(E49="Commercial",4,IF(E49="Comparison",3,IF(E49="Informational",2,3))))*LOG10(IF(ISNUMBER(L49),L49,IFERROR(VALUE(LEFT(F49,FIND("-",F49)-1)),100))+1))/IF(IF(ISBLANK(M49),G49,M49)="High",5,IF(IF(ISBLANK(M49),G49,M49)="Medium",3,1)),2)</f>
        <v>2.32</v>
      </c>
      <c r="L49" s="6"/>
      <c r="M49" s="6"/>
      <c r="N49" s="6"/>
      <c r="O49" s="6" t="s">
        <v>123</v>
      </c>
      <c r="P49" s="7" t="s">
        <v>129</v>
      </c>
    </row>
    <row r="50" customFormat="false" ht="25.5" hidden="false" customHeight="true" outlineLevel="0" collapsed="false">
      <c r="A50" s="6" t="n">
        <v>49</v>
      </c>
      <c r="B50" s="6" t="n">
        <v>1</v>
      </c>
      <c r="C50" s="6" t="s">
        <v>115</v>
      </c>
      <c r="D50" s="7" t="s">
        <v>253</v>
      </c>
      <c r="E50" s="6" t="s">
        <v>117</v>
      </c>
      <c r="F50" s="7" t="s">
        <v>118</v>
      </c>
      <c r="G50" s="6" t="s">
        <v>119</v>
      </c>
      <c r="H50" s="6" t="s">
        <v>120</v>
      </c>
      <c r="I50" s="7" t="s">
        <v>254</v>
      </c>
      <c r="J50" s="7" t="s">
        <v>255</v>
      </c>
      <c r="K50" s="8" t="n">
        <f aca="false">ROUND((IF(E50="Transactional",5,IF(E50="Commercial",4,IF(E50="Comparison",3,IF(E50="Informational",2,3))))*LOG10(IF(ISNUMBER(L50),L50,IFERROR(VALUE(LEFT(F50,FIND("-",F50)-1)),100))+1))/IF(IF(ISBLANK(M50),G50,M50)="High",5,IF(IF(ISBLANK(M50),G50,M50)="Medium",3,1)),2)</f>
        <v>2.4</v>
      </c>
      <c r="L50" s="6"/>
      <c r="M50" s="6"/>
      <c r="N50" s="6"/>
      <c r="O50" s="6" t="s">
        <v>123</v>
      </c>
      <c r="P50" s="7" t="s">
        <v>256</v>
      </c>
    </row>
    <row r="51" customFormat="false" ht="25.5" hidden="false" customHeight="true" outlineLevel="0" collapsed="false">
      <c r="A51" s="6" t="n">
        <v>50</v>
      </c>
      <c r="B51" s="6" t="n">
        <v>1</v>
      </c>
      <c r="C51" s="6" t="s">
        <v>125</v>
      </c>
      <c r="D51" s="9" t="s">
        <v>257</v>
      </c>
      <c r="E51" s="6" t="s">
        <v>117</v>
      </c>
      <c r="F51" s="7" t="s">
        <v>127</v>
      </c>
      <c r="G51" s="6" t="s">
        <v>119</v>
      </c>
      <c r="H51" s="6" t="s">
        <v>120</v>
      </c>
      <c r="I51" s="7" t="s">
        <v>254</v>
      </c>
      <c r="J51" s="9" t="s">
        <v>258</v>
      </c>
      <c r="K51" s="8" t="n">
        <f aca="false">ROUND((IF(E51="Transactional",5,IF(E51="Commercial",4,IF(E51="Comparison",3,IF(E51="Informational",2,3))))*LOG10(IF(ISNUMBER(L51),L51,IFERROR(VALUE(LEFT(F51,FIND("-",F51)-1)),100))+1))/IF(IF(ISBLANK(M51),G51,M51)="High",5,IF(IF(ISBLANK(M51),G51,M51)="Medium",3,1)),2)</f>
        <v>2.32</v>
      </c>
      <c r="L51" s="6"/>
      <c r="M51" s="6"/>
      <c r="N51" s="6"/>
      <c r="O51" s="6" t="s">
        <v>123</v>
      </c>
      <c r="P51" s="7" t="s">
        <v>129</v>
      </c>
    </row>
    <row r="52" customFormat="false" ht="25.5" hidden="false" customHeight="true" outlineLevel="0" collapsed="false">
      <c r="A52" s="6" t="n">
        <v>51</v>
      </c>
      <c r="B52" s="6" t="n">
        <v>1</v>
      </c>
      <c r="C52" s="6" t="s">
        <v>115</v>
      </c>
      <c r="D52" s="7" t="s">
        <v>259</v>
      </c>
      <c r="E52" s="6" t="s">
        <v>117</v>
      </c>
      <c r="F52" s="7" t="s">
        <v>136</v>
      </c>
      <c r="G52" s="6" t="s">
        <v>137</v>
      </c>
      <c r="H52" s="6" t="s">
        <v>120</v>
      </c>
      <c r="I52" s="7" t="s">
        <v>260</v>
      </c>
      <c r="J52" s="7" t="s">
        <v>261</v>
      </c>
      <c r="K52" s="8" t="n">
        <f aca="false">ROUND((IF(E52="Transactional",5,IF(E52="Commercial",4,IF(E52="Comparison",3,IF(E52="Informational",2,3))))*LOG10(IF(ISNUMBER(L52),L52,IFERROR(VALUE(LEFT(F52,FIND("-",F52)-1)),100))+1))/IF(IF(ISBLANK(M52),G52,M52)="High",5,IF(IF(ISBLANK(M52),G52,M52)="Medium",3,1)),2)</f>
        <v>3.47</v>
      </c>
      <c r="L52" s="6"/>
      <c r="M52" s="6"/>
      <c r="N52" s="6"/>
      <c r="O52" s="6" t="s">
        <v>123</v>
      </c>
      <c r="P52" s="7" t="s">
        <v>262</v>
      </c>
    </row>
    <row r="53" customFormat="false" ht="25.5" hidden="false" customHeight="true" outlineLevel="0" collapsed="false">
      <c r="A53" s="6" t="n">
        <v>52</v>
      </c>
      <c r="B53" s="6" t="n">
        <v>1</v>
      </c>
      <c r="C53" s="6" t="s">
        <v>125</v>
      </c>
      <c r="D53" s="9" t="s">
        <v>263</v>
      </c>
      <c r="E53" s="6" t="s">
        <v>117</v>
      </c>
      <c r="F53" s="7" t="s">
        <v>141</v>
      </c>
      <c r="G53" s="6" t="s">
        <v>137</v>
      </c>
      <c r="H53" s="6" t="s">
        <v>120</v>
      </c>
      <c r="I53" s="7" t="s">
        <v>260</v>
      </c>
      <c r="J53" s="9" t="s">
        <v>264</v>
      </c>
      <c r="K53" s="8" t="n">
        <f aca="false">ROUND((IF(E53="Transactional",5,IF(E53="Commercial",4,IF(E53="Comparison",3,IF(E53="Informational",2,3))))*LOG10(IF(ISNUMBER(L53),L53,IFERROR(VALUE(LEFT(F53,FIND("-",F53)-1)),100))+1))/IF(IF(ISBLANK(M53),G53,M53)="High",5,IF(IF(ISBLANK(M53),G53,M53)="Medium",3,1)),2)</f>
        <v>3.39</v>
      </c>
      <c r="L53" s="6"/>
      <c r="M53" s="6"/>
      <c r="N53" s="6"/>
      <c r="O53" s="6" t="s">
        <v>123</v>
      </c>
      <c r="P53" s="7" t="s">
        <v>129</v>
      </c>
    </row>
    <row r="54" customFormat="false" ht="25.5" hidden="false" customHeight="true" outlineLevel="0" collapsed="false">
      <c r="A54" s="6" t="n">
        <v>53</v>
      </c>
      <c r="B54" s="6" t="n">
        <v>1</v>
      </c>
      <c r="C54" s="6" t="s">
        <v>115</v>
      </c>
      <c r="D54" s="7" t="s">
        <v>265</v>
      </c>
      <c r="E54" s="6" t="s">
        <v>117</v>
      </c>
      <c r="F54" s="7" t="s">
        <v>136</v>
      </c>
      <c r="G54" s="6" t="s">
        <v>137</v>
      </c>
      <c r="H54" s="6" t="s">
        <v>120</v>
      </c>
      <c r="I54" s="7" t="s">
        <v>266</v>
      </c>
      <c r="J54" s="7" t="s">
        <v>267</v>
      </c>
      <c r="K54" s="8" t="n">
        <f aca="false">ROUND((IF(E54="Transactional",5,IF(E54="Commercial",4,IF(E54="Comparison",3,IF(E54="Informational",2,3))))*LOG10(IF(ISNUMBER(L54),L54,IFERROR(VALUE(LEFT(F54,FIND("-",F54)-1)),100))+1))/IF(IF(ISBLANK(M54),G54,M54)="High",5,IF(IF(ISBLANK(M54),G54,M54)="Medium",3,1)),2)</f>
        <v>3.47</v>
      </c>
      <c r="L54" s="6"/>
      <c r="M54" s="6"/>
      <c r="N54" s="6"/>
      <c r="O54" s="6" t="s">
        <v>123</v>
      </c>
      <c r="P54" s="7" t="s">
        <v>268</v>
      </c>
    </row>
    <row r="55" customFormat="false" ht="25.5" hidden="false" customHeight="true" outlineLevel="0" collapsed="false">
      <c r="A55" s="6" t="n">
        <v>54</v>
      </c>
      <c r="B55" s="6" t="n">
        <v>1</v>
      </c>
      <c r="C55" s="6" t="s">
        <v>125</v>
      </c>
      <c r="D55" s="9" t="s">
        <v>269</v>
      </c>
      <c r="E55" s="6" t="s">
        <v>117</v>
      </c>
      <c r="F55" s="7" t="s">
        <v>141</v>
      </c>
      <c r="G55" s="6" t="s">
        <v>137</v>
      </c>
      <c r="H55" s="6" t="s">
        <v>120</v>
      </c>
      <c r="I55" s="7" t="s">
        <v>266</v>
      </c>
      <c r="J55" s="9" t="s">
        <v>270</v>
      </c>
      <c r="K55" s="8" t="n">
        <f aca="false">ROUND((IF(E55="Transactional",5,IF(E55="Commercial",4,IF(E55="Comparison",3,IF(E55="Informational",2,3))))*LOG10(IF(ISNUMBER(L55),L55,IFERROR(VALUE(LEFT(F55,FIND("-",F55)-1)),100))+1))/IF(IF(ISBLANK(M55),G55,M55)="High",5,IF(IF(ISBLANK(M55),G55,M55)="Medium",3,1)),2)</f>
        <v>3.39</v>
      </c>
      <c r="L55" s="6"/>
      <c r="M55" s="6"/>
      <c r="N55" s="6"/>
      <c r="O55" s="6" t="s">
        <v>123</v>
      </c>
      <c r="P55" s="7" t="s">
        <v>129</v>
      </c>
    </row>
    <row r="56" customFormat="false" ht="25.5" hidden="false" customHeight="true" outlineLevel="0" collapsed="false">
      <c r="A56" s="6" t="n">
        <v>55</v>
      </c>
      <c r="B56" s="6" t="n">
        <v>1</v>
      </c>
      <c r="C56" s="6" t="s">
        <v>115</v>
      </c>
      <c r="D56" s="7" t="s">
        <v>271</v>
      </c>
      <c r="E56" s="6" t="s">
        <v>117</v>
      </c>
      <c r="F56" s="7" t="s">
        <v>118</v>
      </c>
      <c r="G56" s="6" t="s">
        <v>119</v>
      </c>
      <c r="H56" s="6" t="s">
        <v>120</v>
      </c>
      <c r="I56" s="7" t="s">
        <v>272</v>
      </c>
      <c r="J56" s="7" t="s">
        <v>273</v>
      </c>
      <c r="K56" s="8" t="n">
        <f aca="false">ROUND((IF(E56="Transactional",5,IF(E56="Commercial",4,IF(E56="Comparison",3,IF(E56="Informational",2,3))))*LOG10(IF(ISNUMBER(L56),L56,IFERROR(VALUE(LEFT(F56,FIND("-",F56)-1)),100))+1))/IF(IF(ISBLANK(M56),G56,M56)="High",5,IF(IF(ISBLANK(M56),G56,M56)="Medium",3,1)),2)</f>
        <v>2.4</v>
      </c>
      <c r="L56" s="6"/>
      <c r="M56" s="6"/>
      <c r="N56" s="6"/>
      <c r="O56" s="6" t="s">
        <v>123</v>
      </c>
      <c r="P56" s="7" t="s">
        <v>274</v>
      </c>
    </row>
    <row r="57" customFormat="false" ht="25.5" hidden="false" customHeight="true" outlineLevel="0" collapsed="false">
      <c r="A57" s="6" t="n">
        <v>56</v>
      </c>
      <c r="B57" s="6" t="n">
        <v>1</v>
      </c>
      <c r="C57" s="6" t="s">
        <v>125</v>
      </c>
      <c r="D57" s="9" t="s">
        <v>275</v>
      </c>
      <c r="E57" s="6" t="s">
        <v>117</v>
      </c>
      <c r="F57" s="7" t="s">
        <v>127</v>
      </c>
      <c r="G57" s="6" t="s">
        <v>119</v>
      </c>
      <c r="H57" s="6" t="s">
        <v>120</v>
      </c>
      <c r="I57" s="7" t="s">
        <v>272</v>
      </c>
      <c r="J57" s="9" t="s">
        <v>276</v>
      </c>
      <c r="K57" s="8" t="n">
        <f aca="false">ROUND((IF(E57="Transactional",5,IF(E57="Commercial",4,IF(E57="Comparison",3,IF(E57="Informational",2,3))))*LOG10(IF(ISNUMBER(L57),L57,IFERROR(VALUE(LEFT(F57,FIND("-",F57)-1)),100))+1))/IF(IF(ISBLANK(M57),G57,M57)="High",5,IF(IF(ISBLANK(M57),G57,M57)="Medium",3,1)),2)</f>
        <v>2.32</v>
      </c>
      <c r="L57" s="6"/>
      <c r="M57" s="6"/>
      <c r="N57" s="6"/>
      <c r="O57" s="6" t="s">
        <v>123</v>
      </c>
      <c r="P57" s="7" t="s">
        <v>129</v>
      </c>
    </row>
    <row r="58" customFormat="false" ht="25.5" hidden="false" customHeight="true" outlineLevel="0" collapsed="false">
      <c r="A58" s="6" t="n">
        <v>57</v>
      </c>
      <c r="B58" s="6" t="n">
        <v>1</v>
      </c>
      <c r="C58" s="6" t="s">
        <v>115</v>
      </c>
      <c r="D58" s="7" t="s">
        <v>277</v>
      </c>
      <c r="E58" s="6" t="s">
        <v>117</v>
      </c>
      <c r="F58" s="7" t="s">
        <v>118</v>
      </c>
      <c r="G58" s="6" t="s">
        <v>119</v>
      </c>
      <c r="H58" s="6" t="s">
        <v>120</v>
      </c>
      <c r="I58" s="7" t="s">
        <v>272</v>
      </c>
      <c r="J58" s="7" t="s">
        <v>278</v>
      </c>
      <c r="K58" s="8" t="n">
        <f aca="false">ROUND((IF(E58="Transactional",5,IF(E58="Commercial",4,IF(E58="Comparison",3,IF(E58="Informational",2,3))))*LOG10(IF(ISNUMBER(L58),L58,IFERROR(VALUE(LEFT(F58,FIND("-",F58)-1)),100))+1))/IF(IF(ISBLANK(M58),G58,M58)="High",5,IF(IF(ISBLANK(M58),G58,M58)="Medium",3,1)),2)</f>
        <v>2.4</v>
      </c>
      <c r="L58" s="6"/>
      <c r="M58" s="6"/>
      <c r="N58" s="6"/>
      <c r="O58" s="6" t="s">
        <v>123</v>
      </c>
      <c r="P58" s="7" t="s">
        <v>279</v>
      </c>
    </row>
    <row r="59" customFormat="false" ht="25.5" hidden="false" customHeight="true" outlineLevel="0" collapsed="false">
      <c r="A59" s="6" t="n">
        <v>58</v>
      </c>
      <c r="B59" s="6" t="n">
        <v>1</v>
      </c>
      <c r="C59" s="6" t="s">
        <v>125</v>
      </c>
      <c r="D59" s="9" t="s">
        <v>280</v>
      </c>
      <c r="E59" s="6" t="s">
        <v>117</v>
      </c>
      <c r="F59" s="7" t="s">
        <v>127</v>
      </c>
      <c r="G59" s="6" t="s">
        <v>119</v>
      </c>
      <c r="H59" s="6" t="s">
        <v>120</v>
      </c>
      <c r="I59" s="7" t="s">
        <v>272</v>
      </c>
      <c r="J59" s="9" t="s">
        <v>281</v>
      </c>
      <c r="K59" s="8" t="n">
        <f aca="false">ROUND((IF(E59="Transactional",5,IF(E59="Commercial",4,IF(E59="Comparison",3,IF(E59="Informational",2,3))))*LOG10(IF(ISNUMBER(L59),L59,IFERROR(VALUE(LEFT(F59,FIND("-",F59)-1)),100))+1))/IF(IF(ISBLANK(M59),G59,M59)="High",5,IF(IF(ISBLANK(M59),G59,M59)="Medium",3,1)),2)</f>
        <v>2.32</v>
      </c>
      <c r="L59" s="6"/>
      <c r="M59" s="6"/>
      <c r="N59" s="6"/>
      <c r="O59" s="6" t="s">
        <v>123</v>
      </c>
      <c r="P59" s="7" t="s">
        <v>129</v>
      </c>
    </row>
    <row r="60" customFormat="false" ht="25.5" hidden="false" customHeight="true" outlineLevel="0" collapsed="false">
      <c r="A60" s="6" t="n">
        <v>59</v>
      </c>
      <c r="B60" s="6" t="n">
        <v>1</v>
      </c>
      <c r="C60" s="6" t="s">
        <v>115</v>
      </c>
      <c r="D60" s="7" t="s">
        <v>282</v>
      </c>
      <c r="E60" s="6" t="s">
        <v>117</v>
      </c>
      <c r="F60" s="7" t="s">
        <v>118</v>
      </c>
      <c r="G60" s="6" t="s">
        <v>119</v>
      </c>
      <c r="H60" s="6" t="s">
        <v>120</v>
      </c>
      <c r="I60" s="7" t="s">
        <v>272</v>
      </c>
      <c r="J60" s="7" t="s">
        <v>283</v>
      </c>
      <c r="K60" s="8" t="n">
        <f aca="false">ROUND((IF(E60="Transactional",5,IF(E60="Commercial",4,IF(E60="Comparison",3,IF(E60="Informational",2,3))))*LOG10(IF(ISNUMBER(L60),L60,IFERROR(VALUE(LEFT(F60,FIND("-",F60)-1)),100))+1))/IF(IF(ISBLANK(M60),G60,M60)="High",5,IF(IF(ISBLANK(M60),G60,M60)="Medium",3,1)),2)</f>
        <v>2.4</v>
      </c>
      <c r="L60" s="6"/>
      <c r="M60" s="6"/>
      <c r="N60" s="6"/>
      <c r="O60" s="6" t="s">
        <v>123</v>
      </c>
      <c r="P60" s="7" t="s">
        <v>284</v>
      </c>
    </row>
    <row r="61" customFormat="false" ht="25.5" hidden="false" customHeight="true" outlineLevel="0" collapsed="false">
      <c r="A61" s="6" t="n">
        <v>60</v>
      </c>
      <c r="B61" s="6" t="n">
        <v>1</v>
      </c>
      <c r="C61" s="6" t="s">
        <v>125</v>
      </c>
      <c r="D61" s="9" t="s">
        <v>285</v>
      </c>
      <c r="E61" s="6" t="s">
        <v>117</v>
      </c>
      <c r="F61" s="7" t="s">
        <v>127</v>
      </c>
      <c r="G61" s="6" t="s">
        <v>119</v>
      </c>
      <c r="H61" s="6" t="s">
        <v>120</v>
      </c>
      <c r="I61" s="7" t="s">
        <v>272</v>
      </c>
      <c r="J61" s="9" t="s">
        <v>286</v>
      </c>
      <c r="K61" s="8" t="n">
        <f aca="false">ROUND((IF(E61="Transactional",5,IF(E61="Commercial",4,IF(E61="Comparison",3,IF(E61="Informational",2,3))))*LOG10(IF(ISNUMBER(L61),L61,IFERROR(VALUE(LEFT(F61,FIND("-",F61)-1)),100))+1))/IF(IF(ISBLANK(M61),G61,M61)="High",5,IF(IF(ISBLANK(M61),G61,M61)="Medium",3,1)),2)</f>
        <v>2.32</v>
      </c>
      <c r="L61" s="6"/>
      <c r="M61" s="6"/>
      <c r="N61" s="6"/>
      <c r="O61" s="6" t="s">
        <v>123</v>
      </c>
      <c r="P61" s="7" t="s">
        <v>129</v>
      </c>
    </row>
    <row r="62" customFormat="false" ht="25.5" hidden="false" customHeight="true" outlineLevel="0" collapsed="false">
      <c r="A62" s="6" t="n">
        <v>61</v>
      </c>
      <c r="B62" s="6" t="n">
        <v>1</v>
      </c>
      <c r="C62" s="6" t="s">
        <v>115</v>
      </c>
      <c r="D62" s="7" t="s">
        <v>287</v>
      </c>
      <c r="E62" s="6" t="s">
        <v>117</v>
      </c>
      <c r="F62" s="7" t="s">
        <v>136</v>
      </c>
      <c r="G62" s="6" t="s">
        <v>137</v>
      </c>
      <c r="H62" s="6" t="s">
        <v>120</v>
      </c>
      <c r="I62" s="7" t="s">
        <v>272</v>
      </c>
      <c r="J62" s="7" t="s">
        <v>288</v>
      </c>
      <c r="K62" s="8" t="n">
        <f aca="false">ROUND((IF(E62="Transactional",5,IF(E62="Commercial",4,IF(E62="Comparison",3,IF(E62="Informational",2,3))))*LOG10(IF(ISNUMBER(L62),L62,IFERROR(VALUE(LEFT(F62,FIND("-",F62)-1)),100))+1))/IF(IF(ISBLANK(M62),G62,M62)="High",5,IF(IF(ISBLANK(M62),G62,M62)="Medium",3,1)),2)</f>
        <v>3.47</v>
      </c>
      <c r="L62" s="6"/>
      <c r="M62" s="6"/>
      <c r="N62" s="6"/>
      <c r="O62" s="6" t="s">
        <v>123</v>
      </c>
      <c r="P62" s="7" t="s">
        <v>289</v>
      </c>
    </row>
    <row r="63" customFormat="false" ht="25.5" hidden="false" customHeight="true" outlineLevel="0" collapsed="false">
      <c r="A63" s="6" t="n">
        <v>62</v>
      </c>
      <c r="B63" s="6" t="n">
        <v>1</v>
      </c>
      <c r="C63" s="6" t="s">
        <v>125</v>
      </c>
      <c r="D63" s="9" t="s">
        <v>290</v>
      </c>
      <c r="E63" s="6" t="s">
        <v>117</v>
      </c>
      <c r="F63" s="7" t="s">
        <v>141</v>
      </c>
      <c r="G63" s="6" t="s">
        <v>137</v>
      </c>
      <c r="H63" s="6" t="s">
        <v>120</v>
      </c>
      <c r="I63" s="7" t="s">
        <v>272</v>
      </c>
      <c r="J63" s="9" t="s">
        <v>291</v>
      </c>
      <c r="K63" s="8" t="n">
        <f aca="false">ROUND((IF(E63="Transactional",5,IF(E63="Commercial",4,IF(E63="Comparison",3,IF(E63="Informational",2,3))))*LOG10(IF(ISNUMBER(L63),L63,IFERROR(VALUE(LEFT(F63,FIND("-",F63)-1)),100))+1))/IF(IF(ISBLANK(M63),G63,M63)="High",5,IF(IF(ISBLANK(M63),G63,M63)="Medium",3,1)),2)</f>
        <v>3.39</v>
      </c>
      <c r="L63" s="6"/>
      <c r="M63" s="6"/>
      <c r="N63" s="6"/>
      <c r="O63" s="6" t="s">
        <v>123</v>
      </c>
      <c r="P63" s="7" t="s">
        <v>129</v>
      </c>
    </row>
    <row r="64" customFormat="false" ht="25.5" hidden="false" customHeight="true" outlineLevel="0" collapsed="false">
      <c r="A64" s="6" t="n">
        <v>63</v>
      </c>
      <c r="B64" s="6" t="n">
        <v>1</v>
      </c>
      <c r="C64" s="6" t="s">
        <v>115</v>
      </c>
      <c r="D64" s="7" t="s">
        <v>292</v>
      </c>
      <c r="E64" s="6" t="s">
        <v>117</v>
      </c>
      <c r="F64" s="7" t="s">
        <v>136</v>
      </c>
      <c r="G64" s="6" t="s">
        <v>137</v>
      </c>
      <c r="H64" s="6" t="s">
        <v>120</v>
      </c>
      <c r="I64" s="7" t="s">
        <v>272</v>
      </c>
      <c r="J64" s="7" t="s">
        <v>293</v>
      </c>
      <c r="K64" s="8" t="n">
        <f aca="false">ROUND((IF(E64="Transactional",5,IF(E64="Commercial",4,IF(E64="Comparison",3,IF(E64="Informational",2,3))))*LOG10(IF(ISNUMBER(L64),L64,IFERROR(VALUE(LEFT(F64,FIND("-",F64)-1)),100))+1))/IF(IF(ISBLANK(M64),G64,M64)="High",5,IF(IF(ISBLANK(M64),G64,M64)="Medium",3,1)),2)</f>
        <v>3.47</v>
      </c>
      <c r="L64" s="6"/>
      <c r="M64" s="6"/>
      <c r="N64" s="6"/>
      <c r="O64" s="6" t="s">
        <v>123</v>
      </c>
      <c r="P64" s="7" t="s">
        <v>294</v>
      </c>
    </row>
    <row r="65" customFormat="false" ht="25.5" hidden="false" customHeight="true" outlineLevel="0" collapsed="false">
      <c r="A65" s="6" t="n">
        <v>64</v>
      </c>
      <c r="B65" s="6" t="n">
        <v>1</v>
      </c>
      <c r="C65" s="6" t="s">
        <v>125</v>
      </c>
      <c r="D65" s="9" t="s">
        <v>295</v>
      </c>
      <c r="E65" s="6" t="s">
        <v>117</v>
      </c>
      <c r="F65" s="7" t="s">
        <v>141</v>
      </c>
      <c r="G65" s="6" t="s">
        <v>137</v>
      </c>
      <c r="H65" s="6" t="s">
        <v>120</v>
      </c>
      <c r="I65" s="7" t="s">
        <v>272</v>
      </c>
      <c r="J65" s="9" t="s">
        <v>296</v>
      </c>
      <c r="K65" s="8" t="n">
        <f aca="false">ROUND((IF(E65="Transactional",5,IF(E65="Commercial",4,IF(E65="Comparison",3,IF(E65="Informational",2,3))))*LOG10(IF(ISNUMBER(L65),L65,IFERROR(VALUE(LEFT(F65,FIND("-",F65)-1)),100))+1))/IF(IF(ISBLANK(M65),G65,M65)="High",5,IF(IF(ISBLANK(M65),G65,M65)="Medium",3,1)),2)</f>
        <v>3.39</v>
      </c>
      <c r="L65" s="6"/>
      <c r="M65" s="6"/>
      <c r="N65" s="6"/>
      <c r="O65" s="6" t="s">
        <v>123</v>
      </c>
      <c r="P65" s="7" t="s">
        <v>129</v>
      </c>
    </row>
    <row r="66" customFormat="false" ht="25.5" hidden="false" customHeight="true" outlineLevel="0" collapsed="false">
      <c r="A66" s="6" t="n">
        <v>65</v>
      </c>
      <c r="B66" s="6" t="n">
        <v>1</v>
      </c>
      <c r="C66" s="6" t="s">
        <v>115</v>
      </c>
      <c r="D66" s="7" t="s">
        <v>297</v>
      </c>
      <c r="E66" s="6" t="s">
        <v>117</v>
      </c>
      <c r="F66" s="7" t="s">
        <v>118</v>
      </c>
      <c r="G66" s="6" t="s">
        <v>119</v>
      </c>
      <c r="H66" s="6" t="s">
        <v>120</v>
      </c>
      <c r="I66" s="7" t="s">
        <v>298</v>
      </c>
      <c r="J66" s="7" t="s">
        <v>299</v>
      </c>
      <c r="K66" s="8" t="n">
        <f aca="false">ROUND((IF(E66="Transactional",5,IF(E66="Commercial",4,IF(E66="Comparison",3,IF(E66="Informational",2,3))))*LOG10(IF(ISNUMBER(L66),L66,IFERROR(VALUE(LEFT(F66,FIND("-",F66)-1)),100))+1))/IF(IF(ISBLANK(M66),G66,M66)="High",5,IF(IF(ISBLANK(M66),G66,M66)="Medium",3,1)),2)</f>
        <v>2.4</v>
      </c>
      <c r="L66" s="6"/>
      <c r="M66" s="6"/>
      <c r="N66" s="6"/>
      <c r="O66" s="6" t="s">
        <v>123</v>
      </c>
      <c r="P66" s="7" t="s">
        <v>300</v>
      </c>
    </row>
    <row r="67" customFormat="false" ht="25.5" hidden="false" customHeight="true" outlineLevel="0" collapsed="false">
      <c r="A67" s="6" t="n">
        <v>66</v>
      </c>
      <c r="B67" s="6" t="n">
        <v>1</v>
      </c>
      <c r="C67" s="6" t="s">
        <v>125</v>
      </c>
      <c r="D67" s="9" t="s">
        <v>301</v>
      </c>
      <c r="E67" s="6" t="s">
        <v>117</v>
      </c>
      <c r="F67" s="7" t="s">
        <v>127</v>
      </c>
      <c r="G67" s="6" t="s">
        <v>119</v>
      </c>
      <c r="H67" s="6" t="s">
        <v>120</v>
      </c>
      <c r="I67" s="7" t="s">
        <v>298</v>
      </c>
      <c r="J67" s="9" t="s">
        <v>302</v>
      </c>
      <c r="K67" s="8" t="n">
        <f aca="false">ROUND((IF(E67="Transactional",5,IF(E67="Commercial",4,IF(E67="Comparison",3,IF(E67="Informational",2,3))))*LOG10(IF(ISNUMBER(L67),L67,IFERROR(VALUE(LEFT(F67,FIND("-",F67)-1)),100))+1))/IF(IF(ISBLANK(M67),G67,M67)="High",5,IF(IF(ISBLANK(M67),G67,M67)="Medium",3,1)),2)</f>
        <v>2.32</v>
      </c>
      <c r="L67" s="6"/>
      <c r="M67" s="6"/>
      <c r="N67" s="6"/>
      <c r="O67" s="6" t="s">
        <v>123</v>
      </c>
      <c r="P67" s="7" t="s">
        <v>129</v>
      </c>
    </row>
    <row r="68" customFormat="false" ht="25.5" hidden="false" customHeight="true" outlineLevel="0" collapsed="false">
      <c r="A68" s="6" t="n">
        <v>67</v>
      </c>
      <c r="B68" s="6" t="n">
        <v>1</v>
      </c>
      <c r="C68" s="6" t="s">
        <v>115</v>
      </c>
      <c r="D68" s="7" t="s">
        <v>303</v>
      </c>
      <c r="E68" s="6" t="s">
        <v>117</v>
      </c>
      <c r="F68" s="7" t="s">
        <v>136</v>
      </c>
      <c r="G68" s="6" t="s">
        <v>137</v>
      </c>
      <c r="H68" s="6" t="s">
        <v>120</v>
      </c>
      <c r="I68" s="7" t="s">
        <v>298</v>
      </c>
      <c r="J68" s="7" t="s">
        <v>304</v>
      </c>
      <c r="K68" s="8" t="n">
        <f aca="false">ROUND((IF(E68="Transactional",5,IF(E68="Commercial",4,IF(E68="Comparison",3,IF(E68="Informational",2,3))))*LOG10(IF(ISNUMBER(L68),L68,IFERROR(VALUE(LEFT(F68,FIND("-",F68)-1)),100))+1))/IF(IF(ISBLANK(M68),G68,M68)="High",5,IF(IF(ISBLANK(M68),G68,M68)="Medium",3,1)),2)</f>
        <v>3.47</v>
      </c>
      <c r="L68" s="6"/>
      <c r="M68" s="6"/>
      <c r="N68" s="6"/>
      <c r="O68" s="6" t="s">
        <v>123</v>
      </c>
      <c r="P68" s="7" t="s">
        <v>305</v>
      </c>
    </row>
    <row r="69" customFormat="false" ht="25.5" hidden="false" customHeight="true" outlineLevel="0" collapsed="false">
      <c r="A69" s="6" t="n">
        <v>68</v>
      </c>
      <c r="B69" s="6" t="n">
        <v>1</v>
      </c>
      <c r="C69" s="6" t="s">
        <v>125</v>
      </c>
      <c r="D69" s="9" t="s">
        <v>306</v>
      </c>
      <c r="E69" s="6" t="s">
        <v>117</v>
      </c>
      <c r="F69" s="7" t="s">
        <v>141</v>
      </c>
      <c r="G69" s="6" t="s">
        <v>137</v>
      </c>
      <c r="H69" s="6" t="s">
        <v>120</v>
      </c>
      <c r="I69" s="7" t="s">
        <v>298</v>
      </c>
      <c r="J69" s="9" t="s">
        <v>307</v>
      </c>
      <c r="K69" s="8" t="n">
        <f aca="false">ROUND((IF(E69="Transactional",5,IF(E69="Commercial",4,IF(E69="Comparison",3,IF(E69="Informational",2,3))))*LOG10(IF(ISNUMBER(L69),L69,IFERROR(VALUE(LEFT(F69,FIND("-",F69)-1)),100))+1))/IF(IF(ISBLANK(M69),G69,M69)="High",5,IF(IF(ISBLANK(M69),G69,M69)="Medium",3,1)),2)</f>
        <v>3.39</v>
      </c>
      <c r="L69" s="6"/>
      <c r="M69" s="6"/>
      <c r="N69" s="6"/>
      <c r="O69" s="6" t="s">
        <v>123</v>
      </c>
      <c r="P69" s="7" t="s">
        <v>129</v>
      </c>
    </row>
    <row r="70" customFormat="false" ht="25.5" hidden="false" customHeight="true" outlineLevel="0" collapsed="false">
      <c r="A70" s="6" t="n">
        <v>69</v>
      </c>
      <c r="B70" s="6" t="n">
        <v>1</v>
      </c>
      <c r="C70" s="6" t="s">
        <v>115</v>
      </c>
      <c r="D70" s="7" t="s">
        <v>308</v>
      </c>
      <c r="E70" s="6" t="s">
        <v>117</v>
      </c>
      <c r="F70" s="7" t="s">
        <v>118</v>
      </c>
      <c r="G70" s="6" t="s">
        <v>119</v>
      </c>
      <c r="H70" s="6" t="s">
        <v>120</v>
      </c>
      <c r="I70" s="7" t="s">
        <v>309</v>
      </c>
      <c r="J70" s="7" t="s">
        <v>310</v>
      </c>
      <c r="K70" s="8" t="n">
        <f aca="false">ROUND((IF(E70="Transactional",5,IF(E70="Commercial",4,IF(E70="Comparison",3,IF(E70="Informational",2,3))))*LOG10(IF(ISNUMBER(L70),L70,IFERROR(VALUE(LEFT(F70,FIND("-",F70)-1)),100))+1))/IF(IF(ISBLANK(M70),G70,M70)="High",5,IF(IF(ISBLANK(M70),G70,M70)="Medium",3,1)),2)</f>
        <v>2.4</v>
      </c>
      <c r="L70" s="6"/>
      <c r="M70" s="6"/>
      <c r="N70" s="6"/>
      <c r="O70" s="6" t="s">
        <v>123</v>
      </c>
      <c r="P70" s="7" t="s">
        <v>311</v>
      </c>
    </row>
    <row r="71" customFormat="false" ht="25.5" hidden="false" customHeight="true" outlineLevel="0" collapsed="false">
      <c r="A71" s="6" t="n">
        <v>70</v>
      </c>
      <c r="B71" s="6" t="n">
        <v>1</v>
      </c>
      <c r="C71" s="6" t="s">
        <v>125</v>
      </c>
      <c r="D71" s="9" t="s">
        <v>312</v>
      </c>
      <c r="E71" s="6" t="s">
        <v>117</v>
      </c>
      <c r="F71" s="7" t="s">
        <v>127</v>
      </c>
      <c r="G71" s="6" t="s">
        <v>119</v>
      </c>
      <c r="H71" s="6" t="s">
        <v>120</v>
      </c>
      <c r="I71" s="7" t="s">
        <v>309</v>
      </c>
      <c r="J71" s="9" t="s">
        <v>313</v>
      </c>
      <c r="K71" s="8" t="n">
        <f aca="false">ROUND((IF(E71="Transactional",5,IF(E71="Commercial",4,IF(E71="Comparison",3,IF(E71="Informational",2,3))))*LOG10(IF(ISNUMBER(L71),L71,IFERROR(VALUE(LEFT(F71,FIND("-",F71)-1)),100))+1))/IF(IF(ISBLANK(M71),G71,M71)="High",5,IF(IF(ISBLANK(M71),G71,M71)="Medium",3,1)),2)</f>
        <v>2.32</v>
      </c>
      <c r="L71" s="6"/>
      <c r="M71" s="6"/>
      <c r="N71" s="6"/>
      <c r="O71" s="6" t="s">
        <v>123</v>
      </c>
      <c r="P71" s="7" t="s">
        <v>129</v>
      </c>
    </row>
    <row r="72" customFormat="false" ht="25.5" hidden="false" customHeight="true" outlineLevel="0" collapsed="false">
      <c r="A72" s="6" t="n">
        <v>71</v>
      </c>
      <c r="B72" s="6" t="n">
        <v>1</v>
      </c>
      <c r="C72" s="6" t="s">
        <v>115</v>
      </c>
      <c r="D72" s="7" t="s">
        <v>314</v>
      </c>
      <c r="E72" s="6" t="s">
        <v>117</v>
      </c>
      <c r="F72" s="7" t="s">
        <v>118</v>
      </c>
      <c r="G72" s="6" t="s">
        <v>119</v>
      </c>
      <c r="H72" s="6" t="s">
        <v>120</v>
      </c>
      <c r="I72" s="7" t="s">
        <v>309</v>
      </c>
      <c r="J72" s="7" t="s">
        <v>315</v>
      </c>
      <c r="K72" s="8" t="n">
        <f aca="false">ROUND((IF(E72="Transactional",5,IF(E72="Commercial",4,IF(E72="Comparison",3,IF(E72="Informational",2,3))))*LOG10(IF(ISNUMBER(L72),L72,IFERROR(VALUE(LEFT(F72,FIND("-",F72)-1)),100))+1))/IF(IF(ISBLANK(M72),G72,M72)="High",5,IF(IF(ISBLANK(M72),G72,M72)="Medium",3,1)),2)</f>
        <v>2.4</v>
      </c>
      <c r="L72" s="6"/>
      <c r="M72" s="6"/>
      <c r="N72" s="6"/>
      <c r="O72" s="6" t="s">
        <v>123</v>
      </c>
      <c r="P72" s="7" t="s">
        <v>316</v>
      </c>
    </row>
    <row r="73" customFormat="false" ht="25.5" hidden="false" customHeight="true" outlineLevel="0" collapsed="false">
      <c r="A73" s="6" t="n">
        <v>72</v>
      </c>
      <c r="B73" s="6" t="n">
        <v>1</v>
      </c>
      <c r="C73" s="6" t="s">
        <v>125</v>
      </c>
      <c r="D73" s="9" t="s">
        <v>317</v>
      </c>
      <c r="E73" s="6" t="s">
        <v>117</v>
      </c>
      <c r="F73" s="7" t="s">
        <v>127</v>
      </c>
      <c r="G73" s="6" t="s">
        <v>119</v>
      </c>
      <c r="H73" s="6" t="s">
        <v>120</v>
      </c>
      <c r="I73" s="7" t="s">
        <v>309</v>
      </c>
      <c r="J73" s="9" t="s">
        <v>318</v>
      </c>
      <c r="K73" s="8" t="n">
        <f aca="false">ROUND((IF(E73="Transactional",5,IF(E73="Commercial",4,IF(E73="Comparison",3,IF(E73="Informational",2,3))))*LOG10(IF(ISNUMBER(L73),L73,IFERROR(VALUE(LEFT(F73,FIND("-",F73)-1)),100))+1))/IF(IF(ISBLANK(M73),G73,M73)="High",5,IF(IF(ISBLANK(M73),G73,M73)="Medium",3,1)),2)</f>
        <v>2.32</v>
      </c>
      <c r="L73" s="6"/>
      <c r="M73" s="6"/>
      <c r="N73" s="6"/>
      <c r="O73" s="6" t="s">
        <v>123</v>
      </c>
      <c r="P73" s="7" t="s">
        <v>129</v>
      </c>
    </row>
    <row r="74" customFormat="false" ht="25.5" hidden="false" customHeight="true" outlineLevel="0" collapsed="false">
      <c r="A74" s="6" t="n">
        <v>73</v>
      </c>
      <c r="B74" s="6" t="n">
        <v>1</v>
      </c>
      <c r="C74" s="6" t="s">
        <v>115</v>
      </c>
      <c r="D74" s="7" t="s">
        <v>319</v>
      </c>
      <c r="E74" s="6" t="s">
        <v>117</v>
      </c>
      <c r="F74" s="7" t="s">
        <v>136</v>
      </c>
      <c r="G74" s="6" t="s">
        <v>137</v>
      </c>
      <c r="H74" s="6" t="s">
        <v>120</v>
      </c>
      <c r="I74" s="7" t="s">
        <v>309</v>
      </c>
      <c r="J74" s="7" t="s">
        <v>320</v>
      </c>
      <c r="K74" s="8" t="n">
        <f aca="false">ROUND((IF(E74="Transactional",5,IF(E74="Commercial",4,IF(E74="Comparison",3,IF(E74="Informational",2,3))))*LOG10(IF(ISNUMBER(L74),L74,IFERROR(VALUE(LEFT(F74,FIND("-",F74)-1)),100))+1))/IF(IF(ISBLANK(M74),G74,M74)="High",5,IF(IF(ISBLANK(M74),G74,M74)="Medium",3,1)),2)</f>
        <v>3.47</v>
      </c>
      <c r="L74" s="6"/>
      <c r="M74" s="6"/>
      <c r="N74" s="6"/>
      <c r="O74" s="6" t="s">
        <v>123</v>
      </c>
      <c r="P74" s="7" t="s">
        <v>321</v>
      </c>
    </row>
    <row r="75" customFormat="false" ht="25.5" hidden="false" customHeight="true" outlineLevel="0" collapsed="false">
      <c r="A75" s="6" t="n">
        <v>74</v>
      </c>
      <c r="B75" s="6" t="n">
        <v>1</v>
      </c>
      <c r="C75" s="6" t="s">
        <v>125</v>
      </c>
      <c r="D75" s="9" t="s">
        <v>322</v>
      </c>
      <c r="E75" s="6" t="s">
        <v>117</v>
      </c>
      <c r="F75" s="7" t="s">
        <v>141</v>
      </c>
      <c r="G75" s="6" t="s">
        <v>137</v>
      </c>
      <c r="H75" s="6" t="s">
        <v>120</v>
      </c>
      <c r="I75" s="7" t="s">
        <v>309</v>
      </c>
      <c r="J75" s="9" t="s">
        <v>323</v>
      </c>
      <c r="K75" s="8" t="n">
        <f aca="false">ROUND((IF(E75="Transactional",5,IF(E75="Commercial",4,IF(E75="Comparison",3,IF(E75="Informational",2,3))))*LOG10(IF(ISNUMBER(L75),L75,IFERROR(VALUE(LEFT(F75,FIND("-",F75)-1)),100))+1))/IF(IF(ISBLANK(M75),G75,M75)="High",5,IF(IF(ISBLANK(M75),G75,M75)="Medium",3,1)),2)</f>
        <v>3.39</v>
      </c>
      <c r="L75" s="6"/>
      <c r="M75" s="6"/>
      <c r="N75" s="6"/>
      <c r="O75" s="6" t="s">
        <v>123</v>
      </c>
      <c r="P75" s="7" t="s">
        <v>129</v>
      </c>
    </row>
    <row r="76" customFormat="false" ht="25.5" hidden="false" customHeight="true" outlineLevel="0" collapsed="false">
      <c r="A76" s="6" t="n">
        <v>75</v>
      </c>
      <c r="B76" s="6" t="n">
        <v>1</v>
      </c>
      <c r="C76" s="6" t="s">
        <v>115</v>
      </c>
      <c r="D76" s="7" t="s">
        <v>324</v>
      </c>
      <c r="E76" s="6" t="s">
        <v>117</v>
      </c>
      <c r="F76" s="7" t="s">
        <v>136</v>
      </c>
      <c r="G76" s="6" t="s">
        <v>137</v>
      </c>
      <c r="H76" s="6" t="s">
        <v>120</v>
      </c>
      <c r="I76" s="7" t="s">
        <v>325</v>
      </c>
      <c r="J76" s="7" t="s">
        <v>326</v>
      </c>
      <c r="K76" s="8" t="n">
        <f aca="false">ROUND((IF(E76="Transactional",5,IF(E76="Commercial",4,IF(E76="Comparison",3,IF(E76="Informational",2,3))))*LOG10(IF(ISNUMBER(L76),L76,IFERROR(VALUE(LEFT(F76,FIND("-",F76)-1)),100))+1))/IF(IF(ISBLANK(M76),G76,M76)="High",5,IF(IF(ISBLANK(M76),G76,M76)="Medium",3,1)),2)</f>
        <v>3.47</v>
      </c>
      <c r="L76" s="6"/>
      <c r="M76" s="6"/>
      <c r="N76" s="6"/>
      <c r="O76" s="6" t="s">
        <v>123</v>
      </c>
      <c r="P76" s="7" t="s">
        <v>327</v>
      </c>
    </row>
    <row r="77" customFormat="false" ht="25.5" hidden="false" customHeight="true" outlineLevel="0" collapsed="false">
      <c r="A77" s="6" t="n">
        <v>76</v>
      </c>
      <c r="B77" s="6" t="n">
        <v>1</v>
      </c>
      <c r="C77" s="6" t="s">
        <v>125</v>
      </c>
      <c r="D77" s="9" t="s">
        <v>328</v>
      </c>
      <c r="E77" s="6" t="s">
        <v>117</v>
      </c>
      <c r="F77" s="7" t="s">
        <v>141</v>
      </c>
      <c r="G77" s="6" t="s">
        <v>137</v>
      </c>
      <c r="H77" s="6" t="s">
        <v>120</v>
      </c>
      <c r="I77" s="7" t="s">
        <v>325</v>
      </c>
      <c r="J77" s="9" t="s">
        <v>329</v>
      </c>
      <c r="K77" s="8" t="n">
        <f aca="false">ROUND((IF(E77="Transactional",5,IF(E77="Commercial",4,IF(E77="Comparison",3,IF(E77="Informational",2,3))))*LOG10(IF(ISNUMBER(L77),L77,IFERROR(VALUE(LEFT(F77,FIND("-",F77)-1)),100))+1))/IF(IF(ISBLANK(M77),G77,M77)="High",5,IF(IF(ISBLANK(M77),G77,M77)="Medium",3,1)),2)</f>
        <v>3.39</v>
      </c>
      <c r="L77" s="6"/>
      <c r="M77" s="6"/>
      <c r="N77" s="6"/>
      <c r="O77" s="6" t="s">
        <v>123</v>
      </c>
      <c r="P77" s="7" t="s">
        <v>129</v>
      </c>
    </row>
    <row r="78" customFormat="false" ht="25.5" hidden="false" customHeight="true" outlineLevel="0" collapsed="false">
      <c r="A78" s="6" t="n">
        <v>77</v>
      </c>
      <c r="B78" s="6" t="n">
        <v>1</v>
      </c>
      <c r="C78" s="6" t="s">
        <v>115</v>
      </c>
      <c r="D78" s="7" t="s">
        <v>330</v>
      </c>
      <c r="E78" s="6" t="s">
        <v>117</v>
      </c>
      <c r="F78" s="7" t="s">
        <v>118</v>
      </c>
      <c r="G78" s="6" t="s">
        <v>119</v>
      </c>
      <c r="H78" s="6" t="s">
        <v>120</v>
      </c>
      <c r="I78" s="7" t="s">
        <v>325</v>
      </c>
      <c r="J78" s="7" t="s">
        <v>331</v>
      </c>
      <c r="K78" s="8" t="n">
        <f aca="false">ROUND((IF(E78="Transactional",5,IF(E78="Commercial",4,IF(E78="Comparison",3,IF(E78="Informational",2,3))))*LOG10(IF(ISNUMBER(L78),L78,IFERROR(VALUE(LEFT(F78,FIND("-",F78)-1)),100))+1))/IF(IF(ISBLANK(M78),G78,M78)="High",5,IF(IF(ISBLANK(M78),G78,M78)="Medium",3,1)),2)</f>
        <v>2.4</v>
      </c>
      <c r="L78" s="6"/>
      <c r="M78" s="6"/>
      <c r="N78" s="6"/>
      <c r="O78" s="6" t="s">
        <v>123</v>
      </c>
      <c r="P78" s="7" t="s">
        <v>332</v>
      </c>
    </row>
    <row r="79" customFormat="false" ht="25.5" hidden="false" customHeight="true" outlineLevel="0" collapsed="false">
      <c r="A79" s="6" t="n">
        <v>78</v>
      </c>
      <c r="B79" s="6" t="n">
        <v>1</v>
      </c>
      <c r="C79" s="6" t="s">
        <v>125</v>
      </c>
      <c r="D79" s="9" t="s">
        <v>333</v>
      </c>
      <c r="E79" s="6" t="s">
        <v>117</v>
      </c>
      <c r="F79" s="7" t="s">
        <v>127</v>
      </c>
      <c r="G79" s="6" t="s">
        <v>119</v>
      </c>
      <c r="H79" s="6" t="s">
        <v>120</v>
      </c>
      <c r="I79" s="7" t="s">
        <v>325</v>
      </c>
      <c r="J79" s="9" t="s">
        <v>334</v>
      </c>
      <c r="K79" s="8" t="n">
        <f aca="false">ROUND((IF(E79="Transactional",5,IF(E79="Commercial",4,IF(E79="Comparison",3,IF(E79="Informational",2,3))))*LOG10(IF(ISNUMBER(L79),L79,IFERROR(VALUE(LEFT(F79,FIND("-",F79)-1)),100))+1))/IF(IF(ISBLANK(M79),G79,M79)="High",5,IF(IF(ISBLANK(M79),G79,M79)="Medium",3,1)),2)</f>
        <v>2.32</v>
      </c>
      <c r="L79" s="6"/>
      <c r="M79" s="6"/>
      <c r="N79" s="6"/>
      <c r="O79" s="6" t="s">
        <v>123</v>
      </c>
      <c r="P79" s="7" t="s">
        <v>129</v>
      </c>
    </row>
    <row r="80" customFormat="false" ht="25.5" hidden="false" customHeight="true" outlineLevel="0" collapsed="false">
      <c r="A80" s="6" t="n">
        <v>79</v>
      </c>
      <c r="B80" s="6" t="n">
        <v>1</v>
      </c>
      <c r="C80" s="6" t="s">
        <v>115</v>
      </c>
      <c r="D80" s="7" t="s">
        <v>335</v>
      </c>
      <c r="E80" s="6" t="s">
        <v>117</v>
      </c>
      <c r="F80" s="7" t="s">
        <v>136</v>
      </c>
      <c r="G80" s="6" t="s">
        <v>137</v>
      </c>
      <c r="H80" s="6" t="s">
        <v>120</v>
      </c>
      <c r="I80" s="7" t="s">
        <v>325</v>
      </c>
      <c r="J80" s="7" t="s">
        <v>336</v>
      </c>
      <c r="K80" s="8" t="n">
        <f aca="false">ROUND((IF(E80="Transactional",5,IF(E80="Commercial",4,IF(E80="Comparison",3,IF(E80="Informational",2,3))))*LOG10(IF(ISNUMBER(L80),L80,IFERROR(VALUE(LEFT(F80,FIND("-",F80)-1)),100))+1))/IF(IF(ISBLANK(M80),G80,M80)="High",5,IF(IF(ISBLANK(M80),G80,M80)="Medium",3,1)),2)</f>
        <v>3.47</v>
      </c>
      <c r="L80" s="6"/>
      <c r="M80" s="6"/>
      <c r="N80" s="6"/>
      <c r="O80" s="6" t="s">
        <v>123</v>
      </c>
      <c r="P80" s="7" t="s">
        <v>337</v>
      </c>
    </row>
    <row r="81" customFormat="false" ht="25.5" hidden="false" customHeight="true" outlineLevel="0" collapsed="false">
      <c r="A81" s="6" t="n">
        <v>80</v>
      </c>
      <c r="B81" s="6" t="n">
        <v>1</v>
      </c>
      <c r="C81" s="6" t="s">
        <v>125</v>
      </c>
      <c r="D81" s="9" t="s">
        <v>338</v>
      </c>
      <c r="E81" s="6" t="s">
        <v>117</v>
      </c>
      <c r="F81" s="7" t="s">
        <v>141</v>
      </c>
      <c r="G81" s="6" t="s">
        <v>137</v>
      </c>
      <c r="H81" s="6" t="s">
        <v>120</v>
      </c>
      <c r="I81" s="7" t="s">
        <v>325</v>
      </c>
      <c r="J81" s="9" t="s">
        <v>339</v>
      </c>
      <c r="K81" s="8" t="n">
        <f aca="false">ROUND((IF(E81="Transactional",5,IF(E81="Commercial",4,IF(E81="Comparison",3,IF(E81="Informational",2,3))))*LOG10(IF(ISNUMBER(L81),L81,IFERROR(VALUE(LEFT(F81,FIND("-",F81)-1)),100))+1))/IF(IF(ISBLANK(M81),G81,M81)="High",5,IF(IF(ISBLANK(M81),G81,M81)="Medium",3,1)),2)</f>
        <v>3.39</v>
      </c>
      <c r="L81" s="6"/>
      <c r="M81" s="6"/>
      <c r="N81" s="6"/>
      <c r="O81" s="6" t="s">
        <v>123</v>
      </c>
      <c r="P81" s="7" t="s">
        <v>129</v>
      </c>
    </row>
    <row r="82" customFormat="false" ht="25.5" hidden="false" customHeight="true" outlineLevel="0" collapsed="false">
      <c r="A82" s="6" t="n">
        <v>81</v>
      </c>
      <c r="B82" s="6" t="n">
        <v>1</v>
      </c>
      <c r="C82" s="6" t="s">
        <v>115</v>
      </c>
      <c r="D82" s="7" t="s">
        <v>340</v>
      </c>
      <c r="E82" s="6" t="s">
        <v>117</v>
      </c>
      <c r="F82" s="7" t="s">
        <v>136</v>
      </c>
      <c r="G82" s="6" t="s">
        <v>137</v>
      </c>
      <c r="H82" s="6" t="s">
        <v>120</v>
      </c>
      <c r="I82" s="7" t="s">
        <v>341</v>
      </c>
      <c r="J82" s="7" t="s">
        <v>342</v>
      </c>
      <c r="K82" s="8" t="n">
        <f aca="false">ROUND((IF(E82="Transactional",5,IF(E82="Commercial",4,IF(E82="Comparison",3,IF(E82="Informational",2,3))))*LOG10(IF(ISNUMBER(L82),L82,IFERROR(VALUE(LEFT(F82,FIND("-",F82)-1)),100))+1))/IF(IF(ISBLANK(M82),G82,M82)="High",5,IF(IF(ISBLANK(M82),G82,M82)="Medium",3,1)),2)</f>
        <v>3.47</v>
      </c>
      <c r="L82" s="6"/>
      <c r="M82" s="6"/>
      <c r="N82" s="6"/>
      <c r="O82" s="6" t="s">
        <v>123</v>
      </c>
      <c r="P82" s="7" t="s">
        <v>343</v>
      </c>
    </row>
    <row r="83" customFormat="false" ht="25.5" hidden="false" customHeight="true" outlineLevel="0" collapsed="false">
      <c r="A83" s="6" t="n">
        <v>82</v>
      </c>
      <c r="B83" s="6" t="n">
        <v>1</v>
      </c>
      <c r="C83" s="6" t="s">
        <v>125</v>
      </c>
      <c r="D83" s="9" t="s">
        <v>344</v>
      </c>
      <c r="E83" s="6" t="s">
        <v>117</v>
      </c>
      <c r="F83" s="7" t="s">
        <v>141</v>
      </c>
      <c r="G83" s="6" t="s">
        <v>137</v>
      </c>
      <c r="H83" s="6" t="s">
        <v>120</v>
      </c>
      <c r="I83" s="7" t="s">
        <v>341</v>
      </c>
      <c r="J83" s="9" t="s">
        <v>345</v>
      </c>
      <c r="K83" s="8" t="n">
        <f aca="false">ROUND((IF(E83="Transactional",5,IF(E83="Commercial",4,IF(E83="Comparison",3,IF(E83="Informational",2,3))))*LOG10(IF(ISNUMBER(L83),L83,IFERROR(VALUE(LEFT(F83,FIND("-",F83)-1)),100))+1))/IF(IF(ISBLANK(M83),G83,M83)="High",5,IF(IF(ISBLANK(M83),G83,M83)="Medium",3,1)),2)</f>
        <v>3.39</v>
      </c>
      <c r="L83" s="6"/>
      <c r="M83" s="6"/>
      <c r="N83" s="6"/>
      <c r="O83" s="6" t="s">
        <v>123</v>
      </c>
      <c r="P83" s="7" t="s">
        <v>129</v>
      </c>
    </row>
    <row r="84" customFormat="false" ht="25.5" hidden="false" customHeight="true" outlineLevel="0" collapsed="false">
      <c r="A84" s="6" t="n">
        <v>83</v>
      </c>
      <c r="B84" s="6" t="n">
        <v>1</v>
      </c>
      <c r="C84" s="6" t="s">
        <v>115</v>
      </c>
      <c r="D84" s="7" t="s">
        <v>346</v>
      </c>
      <c r="E84" s="6" t="s">
        <v>117</v>
      </c>
      <c r="F84" s="7" t="s">
        <v>136</v>
      </c>
      <c r="G84" s="6" t="s">
        <v>137</v>
      </c>
      <c r="H84" s="6" t="s">
        <v>120</v>
      </c>
      <c r="I84" s="7" t="s">
        <v>341</v>
      </c>
      <c r="J84" s="7" t="s">
        <v>347</v>
      </c>
      <c r="K84" s="8" t="n">
        <f aca="false">ROUND((IF(E84="Transactional",5,IF(E84="Commercial",4,IF(E84="Comparison",3,IF(E84="Informational",2,3))))*LOG10(IF(ISNUMBER(L84),L84,IFERROR(VALUE(LEFT(F84,FIND("-",F84)-1)),100))+1))/IF(IF(ISBLANK(M84),G84,M84)="High",5,IF(IF(ISBLANK(M84),G84,M84)="Medium",3,1)),2)</f>
        <v>3.47</v>
      </c>
      <c r="L84" s="6"/>
      <c r="M84" s="6"/>
      <c r="N84" s="6"/>
      <c r="O84" s="6" t="s">
        <v>123</v>
      </c>
      <c r="P84" s="7" t="s">
        <v>348</v>
      </c>
    </row>
    <row r="85" customFormat="false" ht="25.5" hidden="false" customHeight="true" outlineLevel="0" collapsed="false">
      <c r="A85" s="6" t="n">
        <v>84</v>
      </c>
      <c r="B85" s="6" t="n">
        <v>1</v>
      </c>
      <c r="C85" s="6" t="s">
        <v>125</v>
      </c>
      <c r="D85" s="9" t="s">
        <v>349</v>
      </c>
      <c r="E85" s="6" t="s">
        <v>117</v>
      </c>
      <c r="F85" s="7" t="s">
        <v>141</v>
      </c>
      <c r="G85" s="6" t="s">
        <v>137</v>
      </c>
      <c r="H85" s="6" t="s">
        <v>120</v>
      </c>
      <c r="I85" s="7" t="s">
        <v>341</v>
      </c>
      <c r="J85" s="9" t="s">
        <v>350</v>
      </c>
      <c r="K85" s="8" t="n">
        <f aca="false">ROUND((IF(E85="Transactional",5,IF(E85="Commercial",4,IF(E85="Comparison",3,IF(E85="Informational",2,3))))*LOG10(IF(ISNUMBER(L85),L85,IFERROR(VALUE(LEFT(F85,FIND("-",F85)-1)),100))+1))/IF(IF(ISBLANK(M85),G85,M85)="High",5,IF(IF(ISBLANK(M85),G85,M85)="Medium",3,1)),2)</f>
        <v>3.39</v>
      </c>
      <c r="L85" s="6"/>
      <c r="M85" s="6"/>
      <c r="N85" s="6"/>
      <c r="O85" s="6" t="s">
        <v>123</v>
      </c>
      <c r="P85" s="7" t="s">
        <v>129</v>
      </c>
    </row>
    <row r="86" customFormat="false" ht="25.5" hidden="false" customHeight="true" outlineLevel="0" collapsed="false">
      <c r="A86" s="6" t="n">
        <v>85</v>
      </c>
      <c r="B86" s="6" t="n">
        <v>1</v>
      </c>
      <c r="C86" s="6" t="s">
        <v>115</v>
      </c>
      <c r="D86" s="7" t="s">
        <v>351</v>
      </c>
      <c r="E86" s="6" t="s">
        <v>117</v>
      </c>
      <c r="F86" s="7" t="s">
        <v>118</v>
      </c>
      <c r="G86" s="6" t="s">
        <v>119</v>
      </c>
      <c r="H86" s="6" t="s">
        <v>120</v>
      </c>
      <c r="I86" s="7" t="s">
        <v>352</v>
      </c>
      <c r="J86" s="7" t="s">
        <v>353</v>
      </c>
      <c r="K86" s="8" t="n">
        <f aca="false">ROUND((IF(E86="Transactional",5,IF(E86="Commercial",4,IF(E86="Comparison",3,IF(E86="Informational",2,3))))*LOG10(IF(ISNUMBER(L86),L86,IFERROR(VALUE(LEFT(F86,FIND("-",F86)-1)),100))+1))/IF(IF(ISBLANK(M86),G86,M86)="High",5,IF(IF(ISBLANK(M86),G86,M86)="Medium",3,1)),2)</f>
        <v>2.4</v>
      </c>
      <c r="L86" s="6"/>
      <c r="M86" s="6"/>
      <c r="N86" s="6"/>
      <c r="O86" s="6" t="s">
        <v>123</v>
      </c>
      <c r="P86" s="7" t="s">
        <v>354</v>
      </c>
    </row>
    <row r="87" customFormat="false" ht="25.5" hidden="false" customHeight="true" outlineLevel="0" collapsed="false">
      <c r="A87" s="6" t="n">
        <v>86</v>
      </c>
      <c r="B87" s="6" t="n">
        <v>1</v>
      </c>
      <c r="C87" s="6" t="s">
        <v>125</v>
      </c>
      <c r="D87" s="9" t="s">
        <v>355</v>
      </c>
      <c r="E87" s="6" t="s">
        <v>117</v>
      </c>
      <c r="F87" s="7" t="s">
        <v>127</v>
      </c>
      <c r="G87" s="6" t="s">
        <v>119</v>
      </c>
      <c r="H87" s="6" t="s">
        <v>120</v>
      </c>
      <c r="I87" s="7" t="s">
        <v>352</v>
      </c>
      <c r="J87" s="9" t="s">
        <v>356</v>
      </c>
      <c r="K87" s="8" t="n">
        <f aca="false">ROUND((IF(E87="Transactional",5,IF(E87="Commercial",4,IF(E87="Comparison",3,IF(E87="Informational",2,3))))*LOG10(IF(ISNUMBER(L87),L87,IFERROR(VALUE(LEFT(F87,FIND("-",F87)-1)),100))+1))/IF(IF(ISBLANK(M87),G87,M87)="High",5,IF(IF(ISBLANK(M87),G87,M87)="Medium",3,1)),2)</f>
        <v>2.32</v>
      </c>
      <c r="L87" s="6"/>
      <c r="M87" s="6"/>
      <c r="N87" s="6"/>
      <c r="O87" s="6" t="s">
        <v>123</v>
      </c>
      <c r="P87" s="7" t="s">
        <v>129</v>
      </c>
    </row>
    <row r="88" customFormat="false" ht="25.5" hidden="false" customHeight="true" outlineLevel="0" collapsed="false">
      <c r="A88" s="6" t="n">
        <v>87</v>
      </c>
      <c r="B88" s="6" t="n">
        <v>1</v>
      </c>
      <c r="C88" s="6" t="s">
        <v>115</v>
      </c>
      <c r="D88" s="7" t="s">
        <v>357</v>
      </c>
      <c r="E88" s="6" t="s">
        <v>117</v>
      </c>
      <c r="F88" s="7" t="s">
        <v>136</v>
      </c>
      <c r="G88" s="6" t="s">
        <v>137</v>
      </c>
      <c r="H88" s="6" t="s">
        <v>120</v>
      </c>
      <c r="I88" s="7" t="s">
        <v>352</v>
      </c>
      <c r="J88" s="7" t="s">
        <v>358</v>
      </c>
      <c r="K88" s="8" t="n">
        <f aca="false">ROUND((IF(E88="Transactional",5,IF(E88="Commercial",4,IF(E88="Comparison",3,IF(E88="Informational",2,3))))*LOG10(IF(ISNUMBER(L88),L88,IFERROR(VALUE(LEFT(F88,FIND("-",F88)-1)),100))+1))/IF(IF(ISBLANK(M88),G88,M88)="High",5,IF(IF(ISBLANK(M88),G88,M88)="Medium",3,1)),2)</f>
        <v>3.47</v>
      </c>
      <c r="L88" s="6"/>
      <c r="M88" s="6"/>
      <c r="N88" s="6"/>
      <c r="O88" s="6" t="s">
        <v>123</v>
      </c>
      <c r="P88" s="7" t="s">
        <v>359</v>
      </c>
    </row>
    <row r="89" customFormat="false" ht="25.5" hidden="false" customHeight="true" outlineLevel="0" collapsed="false">
      <c r="A89" s="6" t="n">
        <v>88</v>
      </c>
      <c r="B89" s="6" t="n">
        <v>1</v>
      </c>
      <c r="C89" s="6" t="s">
        <v>125</v>
      </c>
      <c r="D89" s="9" t="s">
        <v>360</v>
      </c>
      <c r="E89" s="6" t="s">
        <v>117</v>
      </c>
      <c r="F89" s="7" t="s">
        <v>141</v>
      </c>
      <c r="G89" s="6" t="s">
        <v>137</v>
      </c>
      <c r="H89" s="6" t="s">
        <v>120</v>
      </c>
      <c r="I89" s="7" t="s">
        <v>352</v>
      </c>
      <c r="J89" s="9" t="s">
        <v>361</v>
      </c>
      <c r="K89" s="8" t="n">
        <f aca="false">ROUND((IF(E89="Transactional",5,IF(E89="Commercial",4,IF(E89="Comparison",3,IF(E89="Informational",2,3))))*LOG10(IF(ISNUMBER(L89),L89,IFERROR(VALUE(LEFT(F89,FIND("-",F89)-1)),100))+1))/IF(IF(ISBLANK(M89),G89,M89)="High",5,IF(IF(ISBLANK(M89),G89,M89)="Medium",3,1)),2)</f>
        <v>3.39</v>
      </c>
      <c r="L89" s="6"/>
      <c r="M89" s="6"/>
      <c r="N89" s="6"/>
      <c r="O89" s="6" t="s">
        <v>123</v>
      </c>
      <c r="P89" s="7" t="s">
        <v>129</v>
      </c>
    </row>
    <row r="90" customFormat="false" ht="25.5" hidden="false" customHeight="true" outlineLevel="0" collapsed="false">
      <c r="A90" s="6" t="n">
        <v>89</v>
      </c>
      <c r="B90" s="6" t="n">
        <v>1</v>
      </c>
      <c r="C90" s="6" t="s">
        <v>115</v>
      </c>
      <c r="D90" s="7" t="s">
        <v>362</v>
      </c>
      <c r="E90" s="6" t="s">
        <v>117</v>
      </c>
      <c r="F90" s="7" t="s">
        <v>118</v>
      </c>
      <c r="G90" s="6" t="s">
        <v>119</v>
      </c>
      <c r="H90" s="6" t="s">
        <v>120</v>
      </c>
      <c r="I90" s="7" t="s">
        <v>352</v>
      </c>
      <c r="J90" s="7" t="s">
        <v>363</v>
      </c>
      <c r="K90" s="8" t="n">
        <f aca="false">ROUND((IF(E90="Transactional",5,IF(E90="Commercial",4,IF(E90="Comparison",3,IF(E90="Informational",2,3))))*LOG10(IF(ISNUMBER(L90),L90,IFERROR(VALUE(LEFT(F90,FIND("-",F90)-1)),100))+1))/IF(IF(ISBLANK(M90),G90,M90)="High",5,IF(IF(ISBLANK(M90),G90,M90)="Medium",3,1)),2)</f>
        <v>2.4</v>
      </c>
      <c r="L90" s="6"/>
      <c r="M90" s="6"/>
      <c r="N90" s="6"/>
      <c r="O90" s="6" t="s">
        <v>123</v>
      </c>
      <c r="P90" s="7" t="s">
        <v>364</v>
      </c>
    </row>
    <row r="91" customFormat="false" ht="25.5" hidden="false" customHeight="true" outlineLevel="0" collapsed="false">
      <c r="A91" s="6" t="n">
        <v>90</v>
      </c>
      <c r="B91" s="6" t="n">
        <v>1</v>
      </c>
      <c r="C91" s="6" t="s">
        <v>125</v>
      </c>
      <c r="D91" s="9" t="s">
        <v>365</v>
      </c>
      <c r="E91" s="6" t="s">
        <v>117</v>
      </c>
      <c r="F91" s="7" t="s">
        <v>127</v>
      </c>
      <c r="G91" s="6" t="s">
        <v>119</v>
      </c>
      <c r="H91" s="6" t="s">
        <v>120</v>
      </c>
      <c r="I91" s="7" t="s">
        <v>352</v>
      </c>
      <c r="J91" s="9" t="s">
        <v>366</v>
      </c>
      <c r="K91" s="8" t="n">
        <f aca="false">ROUND((IF(E91="Transactional",5,IF(E91="Commercial",4,IF(E91="Comparison",3,IF(E91="Informational",2,3))))*LOG10(IF(ISNUMBER(L91),L91,IFERROR(VALUE(LEFT(F91,FIND("-",F91)-1)),100))+1))/IF(IF(ISBLANK(M91),G91,M91)="High",5,IF(IF(ISBLANK(M91),G91,M91)="Medium",3,1)),2)</f>
        <v>2.32</v>
      </c>
      <c r="L91" s="6"/>
      <c r="M91" s="6"/>
      <c r="N91" s="6"/>
      <c r="O91" s="6" t="s">
        <v>123</v>
      </c>
      <c r="P91" s="7" t="s">
        <v>129</v>
      </c>
    </row>
    <row r="92" customFormat="false" ht="25.5" hidden="false" customHeight="true" outlineLevel="0" collapsed="false">
      <c r="A92" s="6" t="n">
        <v>91</v>
      </c>
      <c r="B92" s="6" t="n">
        <v>1</v>
      </c>
      <c r="C92" s="6" t="s">
        <v>115</v>
      </c>
      <c r="D92" s="7" t="s">
        <v>367</v>
      </c>
      <c r="E92" s="6" t="s">
        <v>117</v>
      </c>
      <c r="F92" s="7" t="s">
        <v>118</v>
      </c>
      <c r="G92" s="6" t="s">
        <v>119</v>
      </c>
      <c r="H92" s="6" t="s">
        <v>120</v>
      </c>
      <c r="I92" s="7" t="s">
        <v>368</v>
      </c>
      <c r="J92" s="7" t="s">
        <v>369</v>
      </c>
      <c r="K92" s="8" t="n">
        <f aca="false">ROUND((IF(E92="Transactional",5,IF(E92="Commercial",4,IF(E92="Comparison",3,IF(E92="Informational",2,3))))*LOG10(IF(ISNUMBER(L92),L92,IFERROR(VALUE(LEFT(F92,FIND("-",F92)-1)),100))+1))/IF(IF(ISBLANK(M92),G92,M92)="High",5,IF(IF(ISBLANK(M92),G92,M92)="Medium",3,1)),2)</f>
        <v>2.4</v>
      </c>
      <c r="L92" s="6"/>
      <c r="M92" s="6"/>
      <c r="N92" s="6"/>
      <c r="O92" s="6" t="s">
        <v>123</v>
      </c>
      <c r="P92" s="7" t="s">
        <v>370</v>
      </c>
    </row>
    <row r="93" customFormat="false" ht="25.5" hidden="false" customHeight="true" outlineLevel="0" collapsed="false">
      <c r="A93" s="6" t="n">
        <v>92</v>
      </c>
      <c r="B93" s="6" t="n">
        <v>1</v>
      </c>
      <c r="C93" s="6" t="s">
        <v>125</v>
      </c>
      <c r="D93" s="9" t="s">
        <v>371</v>
      </c>
      <c r="E93" s="6" t="s">
        <v>117</v>
      </c>
      <c r="F93" s="7" t="s">
        <v>127</v>
      </c>
      <c r="G93" s="6" t="s">
        <v>119</v>
      </c>
      <c r="H93" s="6" t="s">
        <v>120</v>
      </c>
      <c r="I93" s="7" t="s">
        <v>368</v>
      </c>
      <c r="J93" s="9" t="s">
        <v>372</v>
      </c>
      <c r="K93" s="8" t="n">
        <f aca="false">ROUND((IF(E93="Transactional",5,IF(E93="Commercial",4,IF(E93="Comparison",3,IF(E93="Informational",2,3))))*LOG10(IF(ISNUMBER(L93),L93,IFERROR(VALUE(LEFT(F93,FIND("-",F93)-1)),100))+1))/IF(IF(ISBLANK(M93),G93,M93)="High",5,IF(IF(ISBLANK(M93),G93,M93)="Medium",3,1)),2)</f>
        <v>2.32</v>
      </c>
      <c r="L93" s="6"/>
      <c r="M93" s="6"/>
      <c r="N93" s="6"/>
      <c r="O93" s="6" t="s">
        <v>123</v>
      </c>
      <c r="P93" s="7" t="s">
        <v>129</v>
      </c>
    </row>
    <row r="94" customFormat="false" ht="25.5" hidden="false" customHeight="true" outlineLevel="0" collapsed="false">
      <c r="A94" s="6" t="n">
        <v>93</v>
      </c>
      <c r="B94" s="6" t="n">
        <v>1</v>
      </c>
      <c r="C94" s="6" t="s">
        <v>115</v>
      </c>
      <c r="D94" s="7" t="s">
        <v>373</v>
      </c>
      <c r="E94" s="6" t="s">
        <v>117</v>
      </c>
      <c r="F94" s="7" t="s">
        <v>136</v>
      </c>
      <c r="G94" s="6" t="s">
        <v>137</v>
      </c>
      <c r="H94" s="6" t="s">
        <v>120</v>
      </c>
      <c r="I94" s="7" t="s">
        <v>368</v>
      </c>
      <c r="J94" s="7" t="s">
        <v>374</v>
      </c>
      <c r="K94" s="8" t="n">
        <f aca="false">ROUND((IF(E94="Transactional",5,IF(E94="Commercial",4,IF(E94="Comparison",3,IF(E94="Informational",2,3))))*LOG10(IF(ISNUMBER(L94),L94,IFERROR(VALUE(LEFT(F94,FIND("-",F94)-1)),100))+1))/IF(IF(ISBLANK(M94),G94,M94)="High",5,IF(IF(ISBLANK(M94),G94,M94)="Medium",3,1)),2)</f>
        <v>3.47</v>
      </c>
      <c r="L94" s="6"/>
      <c r="M94" s="6"/>
      <c r="N94" s="6"/>
      <c r="O94" s="6" t="s">
        <v>123</v>
      </c>
      <c r="P94" s="7" t="s">
        <v>375</v>
      </c>
    </row>
    <row r="95" customFormat="false" ht="25.5" hidden="false" customHeight="true" outlineLevel="0" collapsed="false">
      <c r="A95" s="6" t="n">
        <v>94</v>
      </c>
      <c r="B95" s="6" t="n">
        <v>1</v>
      </c>
      <c r="C95" s="6" t="s">
        <v>125</v>
      </c>
      <c r="D95" s="9" t="s">
        <v>376</v>
      </c>
      <c r="E95" s="6" t="s">
        <v>117</v>
      </c>
      <c r="F95" s="7" t="s">
        <v>141</v>
      </c>
      <c r="G95" s="6" t="s">
        <v>137</v>
      </c>
      <c r="H95" s="6" t="s">
        <v>120</v>
      </c>
      <c r="I95" s="7" t="s">
        <v>368</v>
      </c>
      <c r="J95" s="9" t="s">
        <v>377</v>
      </c>
      <c r="K95" s="8" t="n">
        <f aca="false">ROUND((IF(E95="Transactional",5,IF(E95="Commercial",4,IF(E95="Comparison",3,IF(E95="Informational",2,3))))*LOG10(IF(ISNUMBER(L95),L95,IFERROR(VALUE(LEFT(F95,FIND("-",F95)-1)),100))+1))/IF(IF(ISBLANK(M95),G95,M95)="High",5,IF(IF(ISBLANK(M95),G95,M95)="Medium",3,1)),2)</f>
        <v>3.39</v>
      </c>
      <c r="L95" s="6"/>
      <c r="M95" s="6"/>
      <c r="N95" s="6"/>
      <c r="O95" s="6" t="s">
        <v>123</v>
      </c>
      <c r="P95" s="7" t="s">
        <v>129</v>
      </c>
    </row>
    <row r="96" customFormat="false" ht="25.5" hidden="false" customHeight="true" outlineLevel="0" collapsed="false">
      <c r="A96" s="6" t="n">
        <v>95</v>
      </c>
      <c r="B96" s="6" t="n">
        <v>1</v>
      </c>
      <c r="C96" s="6" t="s">
        <v>115</v>
      </c>
      <c r="D96" s="7" t="s">
        <v>378</v>
      </c>
      <c r="E96" s="6" t="s">
        <v>117</v>
      </c>
      <c r="F96" s="7" t="s">
        <v>136</v>
      </c>
      <c r="G96" s="6" t="s">
        <v>137</v>
      </c>
      <c r="H96" s="6" t="s">
        <v>120</v>
      </c>
      <c r="I96" s="7" t="s">
        <v>379</v>
      </c>
      <c r="J96" s="7" t="s">
        <v>380</v>
      </c>
      <c r="K96" s="8" t="n">
        <f aca="false">ROUND((IF(E96="Transactional",5,IF(E96="Commercial",4,IF(E96="Comparison",3,IF(E96="Informational",2,3))))*LOG10(IF(ISNUMBER(L96),L96,IFERROR(VALUE(LEFT(F96,FIND("-",F96)-1)),100))+1))/IF(IF(ISBLANK(M96),G96,M96)="High",5,IF(IF(ISBLANK(M96),G96,M96)="Medium",3,1)),2)</f>
        <v>3.47</v>
      </c>
      <c r="L96" s="6"/>
      <c r="M96" s="6"/>
      <c r="N96" s="6"/>
      <c r="O96" s="6" t="s">
        <v>123</v>
      </c>
      <c r="P96" s="7" t="s">
        <v>381</v>
      </c>
    </row>
    <row r="97" customFormat="false" ht="25.5" hidden="false" customHeight="true" outlineLevel="0" collapsed="false">
      <c r="A97" s="6" t="n">
        <v>96</v>
      </c>
      <c r="B97" s="6" t="n">
        <v>1</v>
      </c>
      <c r="C97" s="6" t="s">
        <v>125</v>
      </c>
      <c r="D97" s="9" t="s">
        <v>382</v>
      </c>
      <c r="E97" s="6" t="s">
        <v>117</v>
      </c>
      <c r="F97" s="7" t="s">
        <v>141</v>
      </c>
      <c r="G97" s="6" t="s">
        <v>137</v>
      </c>
      <c r="H97" s="6" t="s">
        <v>120</v>
      </c>
      <c r="I97" s="7" t="s">
        <v>379</v>
      </c>
      <c r="J97" s="9" t="s">
        <v>383</v>
      </c>
      <c r="K97" s="8" t="n">
        <f aca="false">ROUND((IF(E97="Transactional",5,IF(E97="Commercial",4,IF(E97="Comparison",3,IF(E97="Informational",2,3))))*LOG10(IF(ISNUMBER(L97),L97,IFERROR(VALUE(LEFT(F97,FIND("-",F97)-1)),100))+1))/IF(IF(ISBLANK(M97),G97,M97)="High",5,IF(IF(ISBLANK(M97),G97,M97)="Medium",3,1)),2)</f>
        <v>3.39</v>
      </c>
      <c r="L97" s="6"/>
      <c r="M97" s="6"/>
      <c r="N97" s="6"/>
      <c r="O97" s="6" t="s">
        <v>123</v>
      </c>
      <c r="P97" s="7" t="s">
        <v>129</v>
      </c>
    </row>
    <row r="98" customFormat="false" ht="25.5" hidden="false" customHeight="true" outlineLevel="0" collapsed="false">
      <c r="A98" s="6" t="n">
        <v>97</v>
      </c>
      <c r="B98" s="6" t="n">
        <v>1</v>
      </c>
      <c r="C98" s="6" t="s">
        <v>115</v>
      </c>
      <c r="D98" s="7" t="s">
        <v>384</v>
      </c>
      <c r="E98" s="6" t="s">
        <v>117</v>
      </c>
      <c r="F98" s="7" t="s">
        <v>136</v>
      </c>
      <c r="G98" s="6" t="s">
        <v>137</v>
      </c>
      <c r="H98" s="6" t="s">
        <v>120</v>
      </c>
      <c r="I98" s="7" t="s">
        <v>385</v>
      </c>
      <c r="J98" s="7" t="s">
        <v>386</v>
      </c>
      <c r="K98" s="8" t="n">
        <f aca="false">ROUND((IF(E98="Transactional",5,IF(E98="Commercial",4,IF(E98="Comparison",3,IF(E98="Informational",2,3))))*LOG10(IF(ISNUMBER(L98),L98,IFERROR(VALUE(LEFT(F98,FIND("-",F98)-1)),100))+1))/IF(IF(ISBLANK(M98),G98,M98)="High",5,IF(IF(ISBLANK(M98),G98,M98)="Medium",3,1)),2)</f>
        <v>3.47</v>
      </c>
      <c r="L98" s="6"/>
      <c r="M98" s="6"/>
      <c r="N98" s="6"/>
      <c r="O98" s="6" t="s">
        <v>123</v>
      </c>
      <c r="P98" s="7" t="s">
        <v>387</v>
      </c>
    </row>
    <row r="99" customFormat="false" ht="25.5" hidden="false" customHeight="true" outlineLevel="0" collapsed="false">
      <c r="A99" s="6" t="n">
        <v>98</v>
      </c>
      <c r="B99" s="6" t="n">
        <v>1</v>
      </c>
      <c r="C99" s="6" t="s">
        <v>125</v>
      </c>
      <c r="D99" s="9" t="s">
        <v>388</v>
      </c>
      <c r="E99" s="6" t="s">
        <v>117</v>
      </c>
      <c r="F99" s="7" t="s">
        <v>141</v>
      </c>
      <c r="G99" s="6" t="s">
        <v>137</v>
      </c>
      <c r="H99" s="6" t="s">
        <v>120</v>
      </c>
      <c r="I99" s="7" t="s">
        <v>385</v>
      </c>
      <c r="J99" s="9" t="s">
        <v>389</v>
      </c>
      <c r="K99" s="8" t="n">
        <f aca="false">ROUND((IF(E99="Transactional",5,IF(E99="Commercial",4,IF(E99="Comparison",3,IF(E99="Informational",2,3))))*LOG10(IF(ISNUMBER(L99),L99,IFERROR(VALUE(LEFT(F99,FIND("-",F99)-1)),100))+1))/IF(IF(ISBLANK(M99),G99,M99)="High",5,IF(IF(ISBLANK(M99),G99,M99)="Medium",3,1)),2)</f>
        <v>3.39</v>
      </c>
      <c r="L99" s="6"/>
      <c r="M99" s="6"/>
      <c r="N99" s="6"/>
      <c r="O99" s="6" t="s">
        <v>123</v>
      </c>
      <c r="P99" s="7" t="s">
        <v>129</v>
      </c>
    </row>
    <row r="100" customFormat="false" ht="25.5" hidden="false" customHeight="true" outlineLevel="0" collapsed="false">
      <c r="A100" s="6" t="n">
        <v>99</v>
      </c>
      <c r="B100" s="6" t="n">
        <v>1</v>
      </c>
      <c r="C100" s="6" t="s">
        <v>115</v>
      </c>
      <c r="D100" s="7" t="s">
        <v>390</v>
      </c>
      <c r="E100" s="6" t="s">
        <v>117</v>
      </c>
      <c r="F100" s="7" t="s">
        <v>136</v>
      </c>
      <c r="G100" s="6" t="s">
        <v>137</v>
      </c>
      <c r="H100" s="6" t="s">
        <v>120</v>
      </c>
      <c r="I100" s="7" t="s">
        <v>391</v>
      </c>
      <c r="J100" s="7" t="s">
        <v>392</v>
      </c>
      <c r="K100" s="8" t="n">
        <f aca="false">ROUND((IF(E100="Transactional",5,IF(E100="Commercial",4,IF(E100="Comparison",3,IF(E100="Informational",2,3))))*LOG10(IF(ISNUMBER(L100),L100,IFERROR(VALUE(LEFT(F100,FIND("-",F100)-1)),100))+1))/IF(IF(ISBLANK(M100),G100,M100)="High",5,IF(IF(ISBLANK(M100),G100,M100)="Medium",3,1)),2)</f>
        <v>3.47</v>
      </c>
      <c r="L100" s="6"/>
      <c r="M100" s="6"/>
      <c r="N100" s="6"/>
      <c r="O100" s="6" t="s">
        <v>123</v>
      </c>
      <c r="P100" s="7" t="s">
        <v>393</v>
      </c>
    </row>
    <row r="101" customFormat="false" ht="25.5" hidden="false" customHeight="true" outlineLevel="0" collapsed="false">
      <c r="A101" s="6" t="n">
        <v>100</v>
      </c>
      <c r="B101" s="6" t="n">
        <v>1</v>
      </c>
      <c r="C101" s="6" t="s">
        <v>125</v>
      </c>
      <c r="D101" s="9" t="s">
        <v>394</v>
      </c>
      <c r="E101" s="6" t="s">
        <v>117</v>
      </c>
      <c r="F101" s="7" t="s">
        <v>141</v>
      </c>
      <c r="G101" s="6" t="s">
        <v>137</v>
      </c>
      <c r="H101" s="6" t="s">
        <v>120</v>
      </c>
      <c r="I101" s="7" t="s">
        <v>391</v>
      </c>
      <c r="J101" s="9" t="s">
        <v>395</v>
      </c>
      <c r="K101" s="8" t="n">
        <f aca="false">ROUND((IF(E101="Transactional",5,IF(E101="Commercial",4,IF(E101="Comparison",3,IF(E101="Informational",2,3))))*LOG10(IF(ISNUMBER(L101),L101,IFERROR(VALUE(LEFT(F101,FIND("-",F101)-1)),100))+1))/IF(IF(ISBLANK(M101),G101,M101)="High",5,IF(IF(ISBLANK(M101),G101,M101)="Medium",3,1)),2)</f>
        <v>3.39</v>
      </c>
      <c r="L101" s="6"/>
      <c r="M101" s="6"/>
      <c r="N101" s="6"/>
      <c r="O101" s="6" t="s">
        <v>123</v>
      </c>
      <c r="P101" s="7" t="s">
        <v>129</v>
      </c>
    </row>
    <row r="102" customFormat="false" ht="25.5" hidden="false" customHeight="true" outlineLevel="0" collapsed="false">
      <c r="A102" s="6" t="n">
        <v>101</v>
      </c>
      <c r="B102" s="6" t="n">
        <v>1</v>
      </c>
      <c r="C102" s="6" t="s">
        <v>115</v>
      </c>
      <c r="D102" s="7" t="s">
        <v>396</v>
      </c>
      <c r="E102" s="6" t="s">
        <v>117</v>
      </c>
      <c r="F102" s="7" t="s">
        <v>118</v>
      </c>
      <c r="G102" s="6" t="s">
        <v>119</v>
      </c>
      <c r="H102" s="6" t="s">
        <v>120</v>
      </c>
      <c r="I102" s="7" t="s">
        <v>397</v>
      </c>
      <c r="J102" s="7" t="s">
        <v>398</v>
      </c>
      <c r="K102" s="8" t="n">
        <f aca="false">ROUND((IF(E102="Transactional",5,IF(E102="Commercial",4,IF(E102="Comparison",3,IF(E102="Informational",2,3))))*LOG10(IF(ISNUMBER(L102),L102,IFERROR(VALUE(LEFT(F102,FIND("-",F102)-1)),100))+1))/IF(IF(ISBLANK(M102),G102,M102)="High",5,IF(IF(ISBLANK(M102),G102,M102)="Medium",3,1)),2)</f>
        <v>2.4</v>
      </c>
      <c r="L102" s="6"/>
      <c r="M102" s="6"/>
      <c r="N102" s="6"/>
      <c r="O102" s="6" t="s">
        <v>123</v>
      </c>
      <c r="P102" s="7" t="s">
        <v>399</v>
      </c>
    </row>
    <row r="103" customFormat="false" ht="25.5" hidden="false" customHeight="true" outlineLevel="0" collapsed="false">
      <c r="A103" s="6" t="n">
        <v>102</v>
      </c>
      <c r="B103" s="6" t="n">
        <v>1</v>
      </c>
      <c r="C103" s="6" t="s">
        <v>125</v>
      </c>
      <c r="D103" s="9" t="s">
        <v>400</v>
      </c>
      <c r="E103" s="6" t="s">
        <v>117</v>
      </c>
      <c r="F103" s="7" t="s">
        <v>127</v>
      </c>
      <c r="G103" s="6" t="s">
        <v>119</v>
      </c>
      <c r="H103" s="6" t="s">
        <v>120</v>
      </c>
      <c r="I103" s="7" t="s">
        <v>397</v>
      </c>
      <c r="J103" s="9" t="s">
        <v>401</v>
      </c>
      <c r="K103" s="8" t="n">
        <f aca="false">ROUND((IF(E103="Transactional",5,IF(E103="Commercial",4,IF(E103="Comparison",3,IF(E103="Informational",2,3))))*LOG10(IF(ISNUMBER(L103),L103,IFERROR(VALUE(LEFT(F103,FIND("-",F103)-1)),100))+1))/IF(IF(ISBLANK(M103),G103,M103)="High",5,IF(IF(ISBLANK(M103),G103,M103)="Medium",3,1)),2)</f>
        <v>2.32</v>
      </c>
      <c r="L103" s="6"/>
      <c r="M103" s="6"/>
      <c r="N103" s="6"/>
      <c r="O103" s="6" t="s">
        <v>123</v>
      </c>
      <c r="P103" s="7" t="s">
        <v>129</v>
      </c>
    </row>
    <row r="104" customFormat="false" ht="25.5" hidden="false" customHeight="true" outlineLevel="0" collapsed="false">
      <c r="A104" s="6" t="n">
        <v>103</v>
      </c>
      <c r="B104" s="6" t="n">
        <v>1</v>
      </c>
      <c r="C104" s="6" t="s">
        <v>115</v>
      </c>
      <c r="D104" s="7" t="s">
        <v>402</v>
      </c>
      <c r="E104" s="6" t="s">
        <v>117</v>
      </c>
      <c r="F104" s="7" t="s">
        <v>118</v>
      </c>
      <c r="G104" s="6" t="s">
        <v>119</v>
      </c>
      <c r="H104" s="6" t="s">
        <v>120</v>
      </c>
      <c r="I104" s="7" t="s">
        <v>403</v>
      </c>
      <c r="J104" s="7" t="s">
        <v>404</v>
      </c>
      <c r="K104" s="8" t="n">
        <f aca="false">ROUND((IF(E104="Transactional",5,IF(E104="Commercial",4,IF(E104="Comparison",3,IF(E104="Informational",2,3))))*LOG10(IF(ISNUMBER(L104),L104,IFERROR(VALUE(LEFT(F104,FIND("-",F104)-1)),100))+1))/IF(IF(ISBLANK(M104),G104,M104)="High",5,IF(IF(ISBLANK(M104),G104,M104)="Medium",3,1)),2)</f>
        <v>2.4</v>
      </c>
      <c r="L104" s="6"/>
      <c r="M104" s="6"/>
      <c r="N104" s="6"/>
      <c r="O104" s="6" t="s">
        <v>123</v>
      </c>
      <c r="P104" s="7" t="s">
        <v>405</v>
      </c>
    </row>
    <row r="105" customFormat="false" ht="25.5" hidden="false" customHeight="true" outlineLevel="0" collapsed="false">
      <c r="A105" s="6" t="n">
        <v>104</v>
      </c>
      <c r="B105" s="6" t="n">
        <v>1</v>
      </c>
      <c r="C105" s="6" t="s">
        <v>125</v>
      </c>
      <c r="D105" s="9" t="s">
        <v>406</v>
      </c>
      <c r="E105" s="6" t="s">
        <v>117</v>
      </c>
      <c r="F105" s="7" t="s">
        <v>127</v>
      </c>
      <c r="G105" s="6" t="s">
        <v>119</v>
      </c>
      <c r="H105" s="6" t="s">
        <v>120</v>
      </c>
      <c r="I105" s="7" t="s">
        <v>403</v>
      </c>
      <c r="J105" s="9" t="s">
        <v>407</v>
      </c>
      <c r="K105" s="8" t="n">
        <f aca="false">ROUND((IF(E105="Transactional",5,IF(E105="Commercial",4,IF(E105="Comparison",3,IF(E105="Informational",2,3))))*LOG10(IF(ISNUMBER(L105),L105,IFERROR(VALUE(LEFT(F105,FIND("-",F105)-1)),100))+1))/IF(IF(ISBLANK(M105),G105,M105)="High",5,IF(IF(ISBLANK(M105),G105,M105)="Medium",3,1)),2)</f>
        <v>2.32</v>
      </c>
      <c r="L105" s="6"/>
      <c r="M105" s="6"/>
      <c r="N105" s="6"/>
      <c r="O105" s="6" t="s">
        <v>123</v>
      </c>
      <c r="P105" s="7" t="s">
        <v>129</v>
      </c>
    </row>
    <row r="106" customFormat="false" ht="25.5" hidden="false" customHeight="true" outlineLevel="0" collapsed="false">
      <c r="A106" s="6" t="n">
        <v>105</v>
      </c>
      <c r="B106" s="6" t="n">
        <v>1</v>
      </c>
      <c r="C106" s="6" t="s">
        <v>115</v>
      </c>
      <c r="D106" s="7" t="s">
        <v>408</v>
      </c>
      <c r="E106" s="6" t="s">
        <v>117</v>
      </c>
      <c r="F106" s="7" t="s">
        <v>136</v>
      </c>
      <c r="G106" s="6" t="s">
        <v>137</v>
      </c>
      <c r="H106" s="6" t="s">
        <v>120</v>
      </c>
      <c r="I106" s="7" t="s">
        <v>403</v>
      </c>
      <c r="J106" s="7" t="s">
        <v>409</v>
      </c>
      <c r="K106" s="8" t="n">
        <f aca="false">ROUND((IF(E106="Transactional",5,IF(E106="Commercial",4,IF(E106="Comparison",3,IF(E106="Informational",2,3))))*LOG10(IF(ISNUMBER(L106),L106,IFERROR(VALUE(LEFT(F106,FIND("-",F106)-1)),100))+1))/IF(IF(ISBLANK(M106),G106,M106)="High",5,IF(IF(ISBLANK(M106),G106,M106)="Medium",3,1)),2)</f>
        <v>3.47</v>
      </c>
      <c r="L106" s="6"/>
      <c r="M106" s="6"/>
      <c r="N106" s="6"/>
      <c r="O106" s="6" t="s">
        <v>123</v>
      </c>
      <c r="P106" s="7" t="s">
        <v>410</v>
      </c>
    </row>
    <row r="107" customFormat="false" ht="25.5" hidden="false" customHeight="true" outlineLevel="0" collapsed="false">
      <c r="A107" s="6" t="n">
        <v>106</v>
      </c>
      <c r="B107" s="6" t="n">
        <v>1</v>
      </c>
      <c r="C107" s="6" t="s">
        <v>125</v>
      </c>
      <c r="D107" s="9" t="s">
        <v>411</v>
      </c>
      <c r="E107" s="6" t="s">
        <v>117</v>
      </c>
      <c r="F107" s="7" t="s">
        <v>141</v>
      </c>
      <c r="G107" s="6" t="s">
        <v>137</v>
      </c>
      <c r="H107" s="6" t="s">
        <v>120</v>
      </c>
      <c r="I107" s="7" t="s">
        <v>403</v>
      </c>
      <c r="J107" s="9" t="s">
        <v>412</v>
      </c>
      <c r="K107" s="8" t="n">
        <f aca="false">ROUND((IF(E107="Transactional",5,IF(E107="Commercial",4,IF(E107="Comparison",3,IF(E107="Informational",2,3))))*LOG10(IF(ISNUMBER(L107),L107,IFERROR(VALUE(LEFT(F107,FIND("-",F107)-1)),100))+1))/IF(IF(ISBLANK(M107),G107,M107)="High",5,IF(IF(ISBLANK(M107),G107,M107)="Medium",3,1)),2)</f>
        <v>3.39</v>
      </c>
      <c r="L107" s="6"/>
      <c r="M107" s="6"/>
      <c r="N107" s="6"/>
      <c r="O107" s="6" t="s">
        <v>123</v>
      </c>
      <c r="P107" s="7" t="s">
        <v>129</v>
      </c>
    </row>
    <row r="108" customFormat="false" ht="25.5" hidden="false" customHeight="true" outlineLevel="0" collapsed="false">
      <c r="A108" s="6" t="n">
        <v>107</v>
      </c>
      <c r="B108" s="6" t="n">
        <v>1</v>
      </c>
      <c r="C108" s="6" t="s">
        <v>115</v>
      </c>
      <c r="D108" s="7" t="s">
        <v>413</v>
      </c>
      <c r="E108" s="6" t="s">
        <v>117</v>
      </c>
      <c r="F108" s="7" t="s">
        <v>118</v>
      </c>
      <c r="G108" s="6" t="s">
        <v>119</v>
      </c>
      <c r="H108" s="6" t="s">
        <v>120</v>
      </c>
      <c r="I108" s="7" t="s">
        <v>403</v>
      </c>
      <c r="J108" s="7" t="s">
        <v>414</v>
      </c>
      <c r="K108" s="8" t="n">
        <f aca="false">ROUND((IF(E108="Transactional",5,IF(E108="Commercial",4,IF(E108="Comparison",3,IF(E108="Informational",2,3))))*LOG10(IF(ISNUMBER(L108),L108,IFERROR(VALUE(LEFT(F108,FIND("-",F108)-1)),100))+1))/IF(IF(ISBLANK(M108),G108,M108)="High",5,IF(IF(ISBLANK(M108),G108,M108)="Medium",3,1)),2)</f>
        <v>2.4</v>
      </c>
      <c r="L108" s="6"/>
      <c r="M108" s="6"/>
      <c r="N108" s="6"/>
      <c r="O108" s="6" t="s">
        <v>123</v>
      </c>
      <c r="P108" s="7" t="s">
        <v>415</v>
      </c>
    </row>
    <row r="109" customFormat="false" ht="25.5" hidden="false" customHeight="true" outlineLevel="0" collapsed="false">
      <c r="A109" s="6" t="n">
        <v>108</v>
      </c>
      <c r="B109" s="6" t="n">
        <v>1</v>
      </c>
      <c r="C109" s="6" t="s">
        <v>125</v>
      </c>
      <c r="D109" s="9" t="s">
        <v>416</v>
      </c>
      <c r="E109" s="6" t="s">
        <v>117</v>
      </c>
      <c r="F109" s="7" t="s">
        <v>127</v>
      </c>
      <c r="G109" s="6" t="s">
        <v>119</v>
      </c>
      <c r="H109" s="6" t="s">
        <v>120</v>
      </c>
      <c r="I109" s="7" t="s">
        <v>403</v>
      </c>
      <c r="J109" s="9" t="s">
        <v>417</v>
      </c>
      <c r="K109" s="8" t="n">
        <f aca="false">ROUND((IF(E109="Transactional",5,IF(E109="Commercial",4,IF(E109="Comparison",3,IF(E109="Informational",2,3))))*LOG10(IF(ISNUMBER(L109),L109,IFERROR(VALUE(LEFT(F109,FIND("-",F109)-1)),100))+1))/IF(IF(ISBLANK(M109),G109,M109)="High",5,IF(IF(ISBLANK(M109),G109,M109)="Medium",3,1)),2)</f>
        <v>2.32</v>
      </c>
      <c r="L109" s="6"/>
      <c r="M109" s="6"/>
      <c r="N109" s="6"/>
      <c r="O109" s="6" t="s">
        <v>123</v>
      </c>
      <c r="P109" s="7" t="s">
        <v>129</v>
      </c>
    </row>
    <row r="110" customFormat="false" ht="25.5" hidden="false" customHeight="true" outlineLevel="0" collapsed="false">
      <c r="A110" s="6" t="n">
        <v>109</v>
      </c>
      <c r="B110" s="6" t="n">
        <v>1</v>
      </c>
      <c r="C110" s="6" t="s">
        <v>115</v>
      </c>
      <c r="D110" s="7" t="s">
        <v>418</v>
      </c>
      <c r="E110" s="6" t="s">
        <v>117</v>
      </c>
      <c r="F110" s="7" t="s">
        <v>118</v>
      </c>
      <c r="G110" s="6" t="s">
        <v>119</v>
      </c>
      <c r="H110" s="6" t="s">
        <v>120</v>
      </c>
      <c r="I110" s="7" t="s">
        <v>419</v>
      </c>
      <c r="J110" s="7" t="s">
        <v>420</v>
      </c>
      <c r="K110" s="8" t="n">
        <f aca="false">ROUND((IF(E110="Transactional",5,IF(E110="Commercial",4,IF(E110="Comparison",3,IF(E110="Informational",2,3))))*LOG10(IF(ISNUMBER(L110),L110,IFERROR(VALUE(LEFT(F110,FIND("-",F110)-1)),100))+1))/IF(IF(ISBLANK(M110),G110,M110)="High",5,IF(IF(ISBLANK(M110),G110,M110)="Medium",3,1)),2)</f>
        <v>2.4</v>
      </c>
      <c r="L110" s="6"/>
      <c r="M110" s="6"/>
      <c r="N110" s="6"/>
      <c r="O110" s="6" t="s">
        <v>123</v>
      </c>
      <c r="P110" s="7" t="s">
        <v>421</v>
      </c>
    </row>
    <row r="111" customFormat="false" ht="25.5" hidden="false" customHeight="true" outlineLevel="0" collapsed="false">
      <c r="A111" s="6" t="n">
        <v>110</v>
      </c>
      <c r="B111" s="6" t="n">
        <v>1</v>
      </c>
      <c r="C111" s="6" t="s">
        <v>125</v>
      </c>
      <c r="D111" s="9" t="s">
        <v>422</v>
      </c>
      <c r="E111" s="6" t="s">
        <v>117</v>
      </c>
      <c r="F111" s="7" t="s">
        <v>127</v>
      </c>
      <c r="G111" s="6" t="s">
        <v>119</v>
      </c>
      <c r="H111" s="6" t="s">
        <v>120</v>
      </c>
      <c r="I111" s="7" t="s">
        <v>419</v>
      </c>
      <c r="J111" s="9" t="s">
        <v>423</v>
      </c>
      <c r="K111" s="8" t="n">
        <f aca="false">ROUND((IF(E111="Transactional",5,IF(E111="Commercial",4,IF(E111="Comparison",3,IF(E111="Informational",2,3))))*LOG10(IF(ISNUMBER(L111),L111,IFERROR(VALUE(LEFT(F111,FIND("-",F111)-1)),100))+1))/IF(IF(ISBLANK(M111),G111,M111)="High",5,IF(IF(ISBLANK(M111),G111,M111)="Medium",3,1)),2)</f>
        <v>2.32</v>
      </c>
      <c r="L111" s="6"/>
      <c r="M111" s="6"/>
      <c r="N111" s="6"/>
      <c r="O111" s="6" t="s">
        <v>123</v>
      </c>
      <c r="P111" s="7" t="s">
        <v>129</v>
      </c>
    </row>
    <row r="112" customFormat="false" ht="25.5" hidden="false" customHeight="true" outlineLevel="0" collapsed="false">
      <c r="A112" s="6" t="n">
        <v>111</v>
      </c>
      <c r="B112" s="6" t="n">
        <v>1</v>
      </c>
      <c r="C112" s="6" t="s">
        <v>115</v>
      </c>
      <c r="D112" s="7" t="s">
        <v>424</v>
      </c>
      <c r="E112" s="6" t="s">
        <v>117</v>
      </c>
      <c r="F112" s="7" t="s">
        <v>136</v>
      </c>
      <c r="G112" s="6" t="s">
        <v>137</v>
      </c>
      <c r="H112" s="6" t="s">
        <v>120</v>
      </c>
      <c r="I112" s="7" t="s">
        <v>419</v>
      </c>
      <c r="J112" s="7" t="s">
        <v>425</v>
      </c>
      <c r="K112" s="8" t="n">
        <f aca="false">ROUND((IF(E112="Transactional",5,IF(E112="Commercial",4,IF(E112="Comparison",3,IF(E112="Informational",2,3))))*LOG10(IF(ISNUMBER(L112),L112,IFERROR(VALUE(LEFT(F112,FIND("-",F112)-1)),100))+1))/IF(IF(ISBLANK(M112),G112,M112)="High",5,IF(IF(ISBLANK(M112),G112,M112)="Medium",3,1)),2)</f>
        <v>3.47</v>
      </c>
      <c r="L112" s="6"/>
      <c r="M112" s="6"/>
      <c r="N112" s="6"/>
      <c r="O112" s="6" t="s">
        <v>123</v>
      </c>
      <c r="P112" s="7" t="s">
        <v>426</v>
      </c>
    </row>
    <row r="113" customFormat="false" ht="25.5" hidden="false" customHeight="true" outlineLevel="0" collapsed="false">
      <c r="A113" s="6" t="n">
        <v>112</v>
      </c>
      <c r="B113" s="6" t="n">
        <v>1</v>
      </c>
      <c r="C113" s="6" t="s">
        <v>125</v>
      </c>
      <c r="D113" s="9" t="s">
        <v>427</v>
      </c>
      <c r="E113" s="6" t="s">
        <v>117</v>
      </c>
      <c r="F113" s="7" t="s">
        <v>141</v>
      </c>
      <c r="G113" s="6" t="s">
        <v>137</v>
      </c>
      <c r="H113" s="6" t="s">
        <v>120</v>
      </c>
      <c r="I113" s="7" t="s">
        <v>419</v>
      </c>
      <c r="J113" s="9" t="s">
        <v>428</v>
      </c>
      <c r="K113" s="8" t="n">
        <f aca="false">ROUND((IF(E113="Transactional",5,IF(E113="Commercial",4,IF(E113="Comparison",3,IF(E113="Informational",2,3))))*LOG10(IF(ISNUMBER(L113),L113,IFERROR(VALUE(LEFT(F113,FIND("-",F113)-1)),100))+1))/IF(IF(ISBLANK(M113),G113,M113)="High",5,IF(IF(ISBLANK(M113),G113,M113)="Medium",3,1)),2)</f>
        <v>3.39</v>
      </c>
      <c r="L113" s="6"/>
      <c r="M113" s="6"/>
      <c r="N113" s="6"/>
      <c r="O113" s="6" t="s">
        <v>123</v>
      </c>
      <c r="P113" s="7" t="s">
        <v>129</v>
      </c>
    </row>
    <row r="114" customFormat="false" ht="25.5" hidden="false" customHeight="true" outlineLevel="0" collapsed="false">
      <c r="A114" s="6" t="n">
        <v>113</v>
      </c>
      <c r="B114" s="6" t="n">
        <v>1</v>
      </c>
      <c r="C114" s="6" t="s">
        <v>115</v>
      </c>
      <c r="D114" s="7" t="s">
        <v>429</v>
      </c>
      <c r="E114" s="6" t="s">
        <v>117</v>
      </c>
      <c r="F114" s="7" t="s">
        <v>136</v>
      </c>
      <c r="G114" s="6" t="s">
        <v>137</v>
      </c>
      <c r="H114" s="6" t="s">
        <v>120</v>
      </c>
      <c r="I114" s="7" t="s">
        <v>419</v>
      </c>
      <c r="J114" s="7" t="s">
        <v>430</v>
      </c>
      <c r="K114" s="8" t="n">
        <f aca="false">ROUND((IF(E114="Transactional",5,IF(E114="Commercial",4,IF(E114="Comparison",3,IF(E114="Informational",2,3))))*LOG10(IF(ISNUMBER(L114),L114,IFERROR(VALUE(LEFT(F114,FIND("-",F114)-1)),100))+1))/IF(IF(ISBLANK(M114),G114,M114)="High",5,IF(IF(ISBLANK(M114),G114,M114)="Medium",3,1)),2)</f>
        <v>3.47</v>
      </c>
      <c r="L114" s="6"/>
      <c r="M114" s="6"/>
      <c r="N114" s="6"/>
      <c r="O114" s="6" t="s">
        <v>123</v>
      </c>
      <c r="P114" s="7" t="s">
        <v>431</v>
      </c>
    </row>
    <row r="115" customFormat="false" ht="25.5" hidden="false" customHeight="true" outlineLevel="0" collapsed="false">
      <c r="A115" s="6" t="n">
        <v>114</v>
      </c>
      <c r="B115" s="6" t="n">
        <v>1</v>
      </c>
      <c r="C115" s="6" t="s">
        <v>125</v>
      </c>
      <c r="D115" s="9" t="s">
        <v>432</v>
      </c>
      <c r="E115" s="6" t="s">
        <v>117</v>
      </c>
      <c r="F115" s="7" t="s">
        <v>141</v>
      </c>
      <c r="G115" s="6" t="s">
        <v>137</v>
      </c>
      <c r="H115" s="6" t="s">
        <v>120</v>
      </c>
      <c r="I115" s="7" t="s">
        <v>419</v>
      </c>
      <c r="J115" s="9" t="s">
        <v>433</v>
      </c>
      <c r="K115" s="8" t="n">
        <f aca="false">ROUND((IF(E115="Transactional",5,IF(E115="Commercial",4,IF(E115="Comparison",3,IF(E115="Informational",2,3))))*LOG10(IF(ISNUMBER(L115),L115,IFERROR(VALUE(LEFT(F115,FIND("-",F115)-1)),100))+1))/IF(IF(ISBLANK(M115),G115,M115)="High",5,IF(IF(ISBLANK(M115),G115,M115)="Medium",3,1)),2)</f>
        <v>3.39</v>
      </c>
      <c r="L115" s="6"/>
      <c r="M115" s="6"/>
      <c r="N115" s="6"/>
      <c r="O115" s="6" t="s">
        <v>123</v>
      </c>
      <c r="P115" s="7" t="s">
        <v>129</v>
      </c>
    </row>
    <row r="116" customFormat="false" ht="25.5" hidden="false" customHeight="true" outlineLevel="0" collapsed="false">
      <c r="A116" s="6" t="n">
        <v>115</v>
      </c>
      <c r="B116" s="6" t="n">
        <v>1</v>
      </c>
      <c r="C116" s="6" t="s">
        <v>115</v>
      </c>
      <c r="D116" s="7" t="s">
        <v>434</v>
      </c>
      <c r="E116" s="6" t="s">
        <v>117</v>
      </c>
      <c r="F116" s="7" t="s">
        <v>136</v>
      </c>
      <c r="G116" s="6" t="s">
        <v>137</v>
      </c>
      <c r="H116" s="6" t="s">
        <v>120</v>
      </c>
      <c r="I116" s="7" t="s">
        <v>419</v>
      </c>
      <c r="J116" s="7" t="s">
        <v>435</v>
      </c>
      <c r="K116" s="8" t="n">
        <f aca="false">ROUND((IF(E116="Transactional",5,IF(E116="Commercial",4,IF(E116="Comparison",3,IF(E116="Informational",2,3))))*LOG10(IF(ISNUMBER(L116),L116,IFERROR(VALUE(LEFT(F116,FIND("-",F116)-1)),100))+1))/IF(IF(ISBLANK(M116),G116,M116)="High",5,IF(IF(ISBLANK(M116),G116,M116)="Medium",3,1)),2)</f>
        <v>3.47</v>
      </c>
      <c r="L116" s="6"/>
      <c r="M116" s="6"/>
      <c r="N116" s="6"/>
      <c r="O116" s="6" t="s">
        <v>123</v>
      </c>
      <c r="P116" s="7" t="s">
        <v>436</v>
      </c>
    </row>
    <row r="117" customFormat="false" ht="25.5" hidden="false" customHeight="true" outlineLevel="0" collapsed="false">
      <c r="A117" s="6" t="n">
        <v>116</v>
      </c>
      <c r="B117" s="6" t="n">
        <v>1</v>
      </c>
      <c r="C117" s="6" t="s">
        <v>125</v>
      </c>
      <c r="D117" s="9" t="s">
        <v>437</v>
      </c>
      <c r="E117" s="6" t="s">
        <v>117</v>
      </c>
      <c r="F117" s="7" t="s">
        <v>141</v>
      </c>
      <c r="G117" s="6" t="s">
        <v>137</v>
      </c>
      <c r="H117" s="6" t="s">
        <v>120</v>
      </c>
      <c r="I117" s="7" t="s">
        <v>419</v>
      </c>
      <c r="J117" s="9" t="s">
        <v>438</v>
      </c>
      <c r="K117" s="8" t="n">
        <f aca="false">ROUND((IF(E117="Transactional",5,IF(E117="Commercial",4,IF(E117="Comparison",3,IF(E117="Informational",2,3))))*LOG10(IF(ISNUMBER(L117),L117,IFERROR(VALUE(LEFT(F117,FIND("-",F117)-1)),100))+1))/IF(IF(ISBLANK(M117),G117,M117)="High",5,IF(IF(ISBLANK(M117),G117,M117)="Medium",3,1)),2)</f>
        <v>3.39</v>
      </c>
      <c r="L117" s="6"/>
      <c r="M117" s="6"/>
      <c r="N117" s="6"/>
      <c r="O117" s="6" t="s">
        <v>123</v>
      </c>
      <c r="P117" s="7" t="s">
        <v>129</v>
      </c>
    </row>
    <row r="118" customFormat="false" ht="25.5" hidden="false" customHeight="true" outlineLevel="0" collapsed="false">
      <c r="A118" s="6" t="n">
        <v>117</v>
      </c>
      <c r="B118" s="6" t="n">
        <v>1</v>
      </c>
      <c r="C118" s="6" t="s">
        <v>115</v>
      </c>
      <c r="D118" s="7" t="s">
        <v>439</v>
      </c>
      <c r="E118" s="6" t="s">
        <v>117</v>
      </c>
      <c r="F118" s="7" t="s">
        <v>136</v>
      </c>
      <c r="G118" s="6" t="s">
        <v>137</v>
      </c>
      <c r="H118" s="6" t="s">
        <v>120</v>
      </c>
      <c r="I118" s="7" t="s">
        <v>419</v>
      </c>
      <c r="J118" s="7" t="s">
        <v>440</v>
      </c>
      <c r="K118" s="8" t="n">
        <f aca="false">ROUND((IF(E118="Transactional",5,IF(E118="Commercial",4,IF(E118="Comparison",3,IF(E118="Informational",2,3))))*LOG10(IF(ISNUMBER(L118),L118,IFERROR(VALUE(LEFT(F118,FIND("-",F118)-1)),100))+1))/IF(IF(ISBLANK(M118),G118,M118)="High",5,IF(IF(ISBLANK(M118),G118,M118)="Medium",3,1)),2)</f>
        <v>3.47</v>
      </c>
      <c r="L118" s="6"/>
      <c r="M118" s="6"/>
      <c r="N118" s="6"/>
      <c r="O118" s="6" t="s">
        <v>123</v>
      </c>
      <c r="P118" s="7" t="s">
        <v>441</v>
      </c>
    </row>
    <row r="119" customFormat="false" ht="25.5" hidden="false" customHeight="true" outlineLevel="0" collapsed="false">
      <c r="A119" s="6" t="n">
        <v>118</v>
      </c>
      <c r="B119" s="6" t="n">
        <v>1</v>
      </c>
      <c r="C119" s="6" t="s">
        <v>125</v>
      </c>
      <c r="D119" s="9" t="s">
        <v>442</v>
      </c>
      <c r="E119" s="6" t="s">
        <v>117</v>
      </c>
      <c r="F119" s="7" t="s">
        <v>141</v>
      </c>
      <c r="G119" s="6" t="s">
        <v>137</v>
      </c>
      <c r="H119" s="6" t="s">
        <v>120</v>
      </c>
      <c r="I119" s="7" t="s">
        <v>419</v>
      </c>
      <c r="J119" s="9" t="s">
        <v>443</v>
      </c>
      <c r="K119" s="8" t="n">
        <f aca="false">ROUND((IF(E119="Transactional",5,IF(E119="Commercial",4,IF(E119="Comparison",3,IF(E119="Informational",2,3))))*LOG10(IF(ISNUMBER(L119),L119,IFERROR(VALUE(LEFT(F119,FIND("-",F119)-1)),100))+1))/IF(IF(ISBLANK(M119),G119,M119)="High",5,IF(IF(ISBLANK(M119),G119,M119)="Medium",3,1)),2)</f>
        <v>3.39</v>
      </c>
      <c r="L119" s="6"/>
      <c r="M119" s="6"/>
      <c r="N119" s="6"/>
      <c r="O119" s="6" t="s">
        <v>123</v>
      </c>
      <c r="P119" s="7" t="s">
        <v>129</v>
      </c>
    </row>
    <row r="120" customFormat="false" ht="25.5" hidden="false" customHeight="true" outlineLevel="0" collapsed="false">
      <c r="A120" s="6" t="n">
        <v>119</v>
      </c>
      <c r="B120" s="6" t="n">
        <v>1</v>
      </c>
      <c r="C120" s="6" t="s">
        <v>115</v>
      </c>
      <c r="D120" s="7" t="s">
        <v>444</v>
      </c>
      <c r="E120" s="6" t="s">
        <v>117</v>
      </c>
      <c r="F120" s="7" t="s">
        <v>118</v>
      </c>
      <c r="G120" s="6" t="s">
        <v>119</v>
      </c>
      <c r="H120" s="6" t="s">
        <v>120</v>
      </c>
      <c r="I120" s="7" t="s">
        <v>445</v>
      </c>
      <c r="J120" s="7" t="s">
        <v>446</v>
      </c>
      <c r="K120" s="8" t="n">
        <f aca="false">ROUND((IF(E120="Transactional",5,IF(E120="Commercial",4,IF(E120="Comparison",3,IF(E120="Informational",2,3))))*LOG10(IF(ISNUMBER(L120),L120,IFERROR(VALUE(LEFT(F120,FIND("-",F120)-1)),100))+1))/IF(IF(ISBLANK(M120),G120,M120)="High",5,IF(IF(ISBLANK(M120),G120,M120)="Medium",3,1)),2)</f>
        <v>2.4</v>
      </c>
      <c r="L120" s="6"/>
      <c r="M120" s="6"/>
      <c r="N120" s="6"/>
      <c r="O120" s="6" t="s">
        <v>123</v>
      </c>
      <c r="P120" s="7" t="s">
        <v>447</v>
      </c>
    </row>
    <row r="121" customFormat="false" ht="25.5" hidden="false" customHeight="true" outlineLevel="0" collapsed="false">
      <c r="A121" s="6" t="n">
        <v>120</v>
      </c>
      <c r="B121" s="6" t="n">
        <v>1</v>
      </c>
      <c r="C121" s="6" t="s">
        <v>125</v>
      </c>
      <c r="D121" s="9" t="s">
        <v>448</v>
      </c>
      <c r="E121" s="6" t="s">
        <v>117</v>
      </c>
      <c r="F121" s="7" t="s">
        <v>127</v>
      </c>
      <c r="G121" s="6" t="s">
        <v>119</v>
      </c>
      <c r="H121" s="6" t="s">
        <v>120</v>
      </c>
      <c r="I121" s="7" t="s">
        <v>445</v>
      </c>
      <c r="J121" s="9" t="s">
        <v>449</v>
      </c>
      <c r="K121" s="8" t="n">
        <f aca="false">ROUND((IF(E121="Transactional",5,IF(E121="Commercial",4,IF(E121="Comparison",3,IF(E121="Informational",2,3))))*LOG10(IF(ISNUMBER(L121),L121,IFERROR(VALUE(LEFT(F121,FIND("-",F121)-1)),100))+1))/IF(IF(ISBLANK(M121),G121,M121)="High",5,IF(IF(ISBLANK(M121),G121,M121)="Medium",3,1)),2)</f>
        <v>2.32</v>
      </c>
      <c r="L121" s="6"/>
      <c r="M121" s="6"/>
      <c r="N121" s="6"/>
      <c r="O121" s="6" t="s">
        <v>123</v>
      </c>
      <c r="P121" s="7" t="s">
        <v>129</v>
      </c>
    </row>
    <row r="122" customFormat="false" ht="25.5" hidden="false" customHeight="true" outlineLevel="0" collapsed="false">
      <c r="A122" s="6" t="n">
        <v>121</v>
      </c>
      <c r="B122" s="6" t="n">
        <v>1</v>
      </c>
      <c r="C122" s="6" t="s">
        <v>115</v>
      </c>
      <c r="D122" s="7" t="s">
        <v>450</v>
      </c>
      <c r="E122" s="6" t="s">
        <v>117</v>
      </c>
      <c r="F122" s="7" t="s">
        <v>118</v>
      </c>
      <c r="G122" s="6" t="s">
        <v>119</v>
      </c>
      <c r="H122" s="6" t="s">
        <v>120</v>
      </c>
      <c r="I122" s="7" t="s">
        <v>445</v>
      </c>
      <c r="J122" s="7" t="s">
        <v>451</v>
      </c>
      <c r="K122" s="8" t="n">
        <f aca="false">ROUND((IF(E122="Transactional",5,IF(E122="Commercial",4,IF(E122="Comparison",3,IF(E122="Informational",2,3))))*LOG10(IF(ISNUMBER(L122),L122,IFERROR(VALUE(LEFT(F122,FIND("-",F122)-1)),100))+1))/IF(IF(ISBLANK(M122),G122,M122)="High",5,IF(IF(ISBLANK(M122),G122,M122)="Medium",3,1)),2)</f>
        <v>2.4</v>
      </c>
      <c r="L122" s="6"/>
      <c r="M122" s="6"/>
      <c r="N122" s="6"/>
      <c r="O122" s="6" t="s">
        <v>123</v>
      </c>
      <c r="P122" s="7" t="s">
        <v>452</v>
      </c>
    </row>
    <row r="123" customFormat="false" ht="25.5" hidden="false" customHeight="true" outlineLevel="0" collapsed="false">
      <c r="A123" s="6" t="n">
        <v>122</v>
      </c>
      <c r="B123" s="6" t="n">
        <v>1</v>
      </c>
      <c r="C123" s="6" t="s">
        <v>125</v>
      </c>
      <c r="D123" s="9" t="s">
        <v>453</v>
      </c>
      <c r="E123" s="6" t="s">
        <v>117</v>
      </c>
      <c r="F123" s="7" t="s">
        <v>127</v>
      </c>
      <c r="G123" s="6" t="s">
        <v>119</v>
      </c>
      <c r="H123" s="6" t="s">
        <v>120</v>
      </c>
      <c r="I123" s="7" t="s">
        <v>445</v>
      </c>
      <c r="J123" s="9" t="s">
        <v>454</v>
      </c>
      <c r="K123" s="8" t="n">
        <f aca="false">ROUND((IF(E123="Transactional",5,IF(E123="Commercial",4,IF(E123="Comparison",3,IF(E123="Informational",2,3))))*LOG10(IF(ISNUMBER(L123),L123,IFERROR(VALUE(LEFT(F123,FIND("-",F123)-1)),100))+1))/IF(IF(ISBLANK(M123),G123,M123)="High",5,IF(IF(ISBLANK(M123),G123,M123)="Medium",3,1)),2)</f>
        <v>2.32</v>
      </c>
      <c r="L123" s="6"/>
      <c r="M123" s="6"/>
      <c r="N123" s="6"/>
      <c r="O123" s="6" t="s">
        <v>123</v>
      </c>
      <c r="P123" s="7" t="s">
        <v>129</v>
      </c>
    </row>
    <row r="124" customFormat="false" ht="25.5" hidden="false" customHeight="true" outlineLevel="0" collapsed="false">
      <c r="A124" s="6" t="n">
        <v>123</v>
      </c>
      <c r="B124" s="6" t="n">
        <v>1</v>
      </c>
      <c r="C124" s="6" t="s">
        <v>115</v>
      </c>
      <c r="D124" s="7" t="s">
        <v>455</v>
      </c>
      <c r="E124" s="6" t="s">
        <v>117</v>
      </c>
      <c r="F124" s="7" t="s">
        <v>136</v>
      </c>
      <c r="G124" s="6" t="s">
        <v>137</v>
      </c>
      <c r="H124" s="6" t="s">
        <v>120</v>
      </c>
      <c r="I124" s="7" t="s">
        <v>445</v>
      </c>
      <c r="J124" s="7" t="s">
        <v>456</v>
      </c>
      <c r="K124" s="8" t="n">
        <f aca="false">ROUND((IF(E124="Transactional",5,IF(E124="Commercial",4,IF(E124="Comparison",3,IF(E124="Informational",2,3))))*LOG10(IF(ISNUMBER(L124),L124,IFERROR(VALUE(LEFT(F124,FIND("-",F124)-1)),100))+1))/IF(IF(ISBLANK(M124),G124,M124)="High",5,IF(IF(ISBLANK(M124),G124,M124)="Medium",3,1)),2)</f>
        <v>3.47</v>
      </c>
      <c r="L124" s="6"/>
      <c r="M124" s="6"/>
      <c r="N124" s="6"/>
      <c r="O124" s="6" t="s">
        <v>123</v>
      </c>
      <c r="P124" s="7" t="s">
        <v>457</v>
      </c>
    </row>
    <row r="125" customFormat="false" ht="25.5" hidden="false" customHeight="true" outlineLevel="0" collapsed="false">
      <c r="A125" s="6" t="n">
        <v>124</v>
      </c>
      <c r="B125" s="6" t="n">
        <v>1</v>
      </c>
      <c r="C125" s="6" t="s">
        <v>125</v>
      </c>
      <c r="D125" s="9" t="s">
        <v>458</v>
      </c>
      <c r="E125" s="6" t="s">
        <v>117</v>
      </c>
      <c r="F125" s="7" t="s">
        <v>141</v>
      </c>
      <c r="G125" s="6" t="s">
        <v>137</v>
      </c>
      <c r="H125" s="6" t="s">
        <v>120</v>
      </c>
      <c r="I125" s="7" t="s">
        <v>445</v>
      </c>
      <c r="J125" s="9" t="s">
        <v>459</v>
      </c>
      <c r="K125" s="8" t="n">
        <f aca="false">ROUND((IF(E125="Transactional",5,IF(E125="Commercial",4,IF(E125="Comparison",3,IF(E125="Informational",2,3))))*LOG10(IF(ISNUMBER(L125),L125,IFERROR(VALUE(LEFT(F125,FIND("-",F125)-1)),100))+1))/IF(IF(ISBLANK(M125),G125,M125)="High",5,IF(IF(ISBLANK(M125),G125,M125)="Medium",3,1)),2)</f>
        <v>3.39</v>
      </c>
      <c r="L125" s="6"/>
      <c r="M125" s="6"/>
      <c r="N125" s="6"/>
      <c r="O125" s="6" t="s">
        <v>123</v>
      </c>
      <c r="P125" s="7" t="s">
        <v>129</v>
      </c>
    </row>
    <row r="126" customFormat="false" ht="25.5" hidden="false" customHeight="true" outlineLevel="0" collapsed="false">
      <c r="A126" s="6" t="n">
        <v>125</v>
      </c>
      <c r="B126" s="6" t="n">
        <v>1</v>
      </c>
      <c r="C126" s="6" t="s">
        <v>115</v>
      </c>
      <c r="D126" s="7" t="s">
        <v>460</v>
      </c>
      <c r="E126" s="6" t="s">
        <v>117</v>
      </c>
      <c r="F126" s="7" t="s">
        <v>118</v>
      </c>
      <c r="G126" s="6" t="s">
        <v>119</v>
      </c>
      <c r="H126" s="6" t="s">
        <v>120</v>
      </c>
      <c r="I126" s="7" t="s">
        <v>461</v>
      </c>
      <c r="J126" s="7" t="s">
        <v>462</v>
      </c>
      <c r="K126" s="8" t="n">
        <f aca="false">ROUND((IF(E126="Transactional",5,IF(E126="Commercial",4,IF(E126="Comparison",3,IF(E126="Informational",2,3))))*LOG10(IF(ISNUMBER(L126),L126,IFERROR(VALUE(LEFT(F126,FIND("-",F126)-1)),100))+1))/IF(IF(ISBLANK(M126),G126,M126)="High",5,IF(IF(ISBLANK(M126),G126,M126)="Medium",3,1)),2)</f>
        <v>2.4</v>
      </c>
      <c r="L126" s="6"/>
      <c r="M126" s="6"/>
      <c r="N126" s="6"/>
      <c r="O126" s="6" t="s">
        <v>123</v>
      </c>
      <c r="P126" s="7" t="s">
        <v>463</v>
      </c>
    </row>
    <row r="127" customFormat="false" ht="25.5" hidden="false" customHeight="true" outlineLevel="0" collapsed="false">
      <c r="A127" s="6" t="n">
        <v>126</v>
      </c>
      <c r="B127" s="6" t="n">
        <v>1</v>
      </c>
      <c r="C127" s="6" t="s">
        <v>125</v>
      </c>
      <c r="D127" s="9" t="s">
        <v>464</v>
      </c>
      <c r="E127" s="6" t="s">
        <v>117</v>
      </c>
      <c r="F127" s="7" t="s">
        <v>127</v>
      </c>
      <c r="G127" s="6" t="s">
        <v>119</v>
      </c>
      <c r="H127" s="6" t="s">
        <v>120</v>
      </c>
      <c r="I127" s="7" t="s">
        <v>461</v>
      </c>
      <c r="J127" s="9" t="s">
        <v>465</v>
      </c>
      <c r="K127" s="8" t="n">
        <f aca="false">ROUND((IF(E127="Transactional",5,IF(E127="Commercial",4,IF(E127="Comparison",3,IF(E127="Informational",2,3))))*LOG10(IF(ISNUMBER(L127),L127,IFERROR(VALUE(LEFT(F127,FIND("-",F127)-1)),100))+1))/IF(IF(ISBLANK(M127),G127,M127)="High",5,IF(IF(ISBLANK(M127),G127,M127)="Medium",3,1)),2)</f>
        <v>2.32</v>
      </c>
      <c r="L127" s="6"/>
      <c r="M127" s="6"/>
      <c r="N127" s="6"/>
      <c r="O127" s="6" t="s">
        <v>123</v>
      </c>
      <c r="P127" s="7" t="s">
        <v>129</v>
      </c>
    </row>
    <row r="128" customFormat="false" ht="25.5" hidden="false" customHeight="true" outlineLevel="0" collapsed="false">
      <c r="A128" s="6" t="n">
        <v>127</v>
      </c>
      <c r="B128" s="6" t="n">
        <v>1</v>
      </c>
      <c r="C128" s="6" t="s">
        <v>115</v>
      </c>
      <c r="D128" s="7" t="s">
        <v>466</v>
      </c>
      <c r="E128" s="6" t="s">
        <v>117</v>
      </c>
      <c r="F128" s="7" t="s">
        <v>118</v>
      </c>
      <c r="G128" s="6" t="s">
        <v>119</v>
      </c>
      <c r="H128" s="6" t="s">
        <v>120</v>
      </c>
      <c r="I128" s="7" t="s">
        <v>461</v>
      </c>
      <c r="J128" s="7" t="s">
        <v>467</v>
      </c>
      <c r="K128" s="8" t="n">
        <f aca="false">ROUND((IF(E128="Transactional",5,IF(E128="Commercial",4,IF(E128="Comparison",3,IF(E128="Informational",2,3))))*LOG10(IF(ISNUMBER(L128),L128,IFERROR(VALUE(LEFT(F128,FIND("-",F128)-1)),100))+1))/IF(IF(ISBLANK(M128),G128,M128)="High",5,IF(IF(ISBLANK(M128),G128,M128)="Medium",3,1)),2)</f>
        <v>2.4</v>
      </c>
      <c r="L128" s="6"/>
      <c r="M128" s="6"/>
      <c r="N128" s="6"/>
      <c r="O128" s="6" t="s">
        <v>123</v>
      </c>
      <c r="P128" s="7" t="s">
        <v>468</v>
      </c>
    </row>
    <row r="129" customFormat="false" ht="25.5" hidden="false" customHeight="true" outlineLevel="0" collapsed="false">
      <c r="A129" s="6" t="n">
        <v>128</v>
      </c>
      <c r="B129" s="6" t="n">
        <v>1</v>
      </c>
      <c r="C129" s="6" t="s">
        <v>125</v>
      </c>
      <c r="D129" s="9" t="s">
        <v>469</v>
      </c>
      <c r="E129" s="6" t="s">
        <v>117</v>
      </c>
      <c r="F129" s="7" t="s">
        <v>127</v>
      </c>
      <c r="G129" s="6" t="s">
        <v>119</v>
      </c>
      <c r="H129" s="6" t="s">
        <v>120</v>
      </c>
      <c r="I129" s="7" t="s">
        <v>461</v>
      </c>
      <c r="J129" s="9" t="s">
        <v>470</v>
      </c>
      <c r="K129" s="8" t="n">
        <f aca="false">ROUND((IF(E129="Transactional",5,IF(E129="Commercial",4,IF(E129="Comparison",3,IF(E129="Informational",2,3))))*LOG10(IF(ISNUMBER(L129),L129,IFERROR(VALUE(LEFT(F129,FIND("-",F129)-1)),100))+1))/IF(IF(ISBLANK(M129),G129,M129)="High",5,IF(IF(ISBLANK(M129),G129,M129)="Medium",3,1)),2)</f>
        <v>2.32</v>
      </c>
      <c r="L129" s="6"/>
      <c r="M129" s="6"/>
      <c r="N129" s="6"/>
      <c r="O129" s="6" t="s">
        <v>123</v>
      </c>
      <c r="P129" s="7" t="s">
        <v>129</v>
      </c>
    </row>
    <row r="130" customFormat="false" ht="25.5" hidden="false" customHeight="true" outlineLevel="0" collapsed="false">
      <c r="A130" s="6" t="n">
        <v>129</v>
      </c>
      <c r="B130" s="6" t="n">
        <v>1</v>
      </c>
      <c r="C130" s="6" t="s">
        <v>115</v>
      </c>
      <c r="D130" s="7" t="s">
        <v>471</v>
      </c>
      <c r="E130" s="6" t="s">
        <v>117</v>
      </c>
      <c r="F130" s="7" t="s">
        <v>136</v>
      </c>
      <c r="G130" s="6" t="s">
        <v>137</v>
      </c>
      <c r="H130" s="6" t="s">
        <v>120</v>
      </c>
      <c r="I130" s="7" t="s">
        <v>472</v>
      </c>
      <c r="J130" s="7" t="s">
        <v>473</v>
      </c>
      <c r="K130" s="8" t="n">
        <f aca="false">ROUND((IF(E130="Transactional",5,IF(E130="Commercial",4,IF(E130="Comparison",3,IF(E130="Informational",2,3))))*LOG10(IF(ISNUMBER(L130),L130,IFERROR(VALUE(LEFT(F130,FIND("-",F130)-1)),100))+1))/IF(IF(ISBLANK(M130),G130,M130)="High",5,IF(IF(ISBLANK(M130),G130,M130)="Medium",3,1)),2)</f>
        <v>3.47</v>
      </c>
      <c r="L130" s="6"/>
      <c r="M130" s="6"/>
      <c r="N130" s="6"/>
      <c r="O130" s="6" t="s">
        <v>123</v>
      </c>
      <c r="P130" s="7" t="s">
        <v>474</v>
      </c>
    </row>
    <row r="131" customFormat="false" ht="25.5" hidden="false" customHeight="true" outlineLevel="0" collapsed="false">
      <c r="A131" s="6" t="n">
        <v>130</v>
      </c>
      <c r="B131" s="6" t="n">
        <v>1</v>
      </c>
      <c r="C131" s="6" t="s">
        <v>125</v>
      </c>
      <c r="D131" s="9" t="s">
        <v>475</v>
      </c>
      <c r="E131" s="6" t="s">
        <v>117</v>
      </c>
      <c r="F131" s="7" t="s">
        <v>141</v>
      </c>
      <c r="G131" s="6" t="s">
        <v>137</v>
      </c>
      <c r="H131" s="6" t="s">
        <v>120</v>
      </c>
      <c r="I131" s="7" t="s">
        <v>472</v>
      </c>
      <c r="J131" s="9" t="s">
        <v>476</v>
      </c>
      <c r="K131" s="8" t="n">
        <f aca="false">ROUND((IF(E131="Transactional",5,IF(E131="Commercial",4,IF(E131="Comparison",3,IF(E131="Informational",2,3))))*LOG10(IF(ISNUMBER(L131),L131,IFERROR(VALUE(LEFT(F131,FIND("-",F131)-1)),100))+1))/IF(IF(ISBLANK(M131),G131,M131)="High",5,IF(IF(ISBLANK(M131),G131,M131)="Medium",3,1)),2)</f>
        <v>3.39</v>
      </c>
      <c r="L131" s="6"/>
      <c r="M131" s="6"/>
      <c r="N131" s="6"/>
      <c r="O131" s="6" t="s">
        <v>123</v>
      </c>
      <c r="P131" s="7" t="s">
        <v>129</v>
      </c>
    </row>
    <row r="132" customFormat="false" ht="25.5" hidden="false" customHeight="true" outlineLevel="0" collapsed="false">
      <c r="A132" s="6" t="n">
        <v>131</v>
      </c>
      <c r="B132" s="6" t="n">
        <v>1</v>
      </c>
      <c r="C132" s="6" t="s">
        <v>115</v>
      </c>
      <c r="D132" s="7" t="s">
        <v>477</v>
      </c>
      <c r="E132" s="6" t="s">
        <v>117</v>
      </c>
      <c r="F132" s="7" t="s">
        <v>136</v>
      </c>
      <c r="G132" s="6" t="s">
        <v>137</v>
      </c>
      <c r="H132" s="6" t="s">
        <v>120</v>
      </c>
      <c r="I132" s="7" t="s">
        <v>472</v>
      </c>
      <c r="J132" s="7" t="s">
        <v>478</v>
      </c>
      <c r="K132" s="8" t="n">
        <f aca="false">ROUND((IF(E132="Transactional",5,IF(E132="Commercial",4,IF(E132="Comparison",3,IF(E132="Informational",2,3))))*LOG10(IF(ISNUMBER(L132),L132,IFERROR(VALUE(LEFT(F132,FIND("-",F132)-1)),100))+1))/IF(IF(ISBLANK(M132),G132,M132)="High",5,IF(IF(ISBLANK(M132),G132,M132)="Medium",3,1)),2)</f>
        <v>3.47</v>
      </c>
      <c r="L132" s="6"/>
      <c r="M132" s="6"/>
      <c r="N132" s="6"/>
      <c r="O132" s="6" t="s">
        <v>123</v>
      </c>
      <c r="P132" s="7" t="s">
        <v>479</v>
      </c>
    </row>
    <row r="133" customFormat="false" ht="25.5" hidden="false" customHeight="true" outlineLevel="0" collapsed="false">
      <c r="A133" s="6" t="n">
        <v>132</v>
      </c>
      <c r="B133" s="6" t="n">
        <v>1</v>
      </c>
      <c r="C133" s="6" t="s">
        <v>125</v>
      </c>
      <c r="D133" s="9" t="s">
        <v>480</v>
      </c>
      <c r="E133" s="6" t="s">
        <v>117</v>
      </c>
      <c r="F133" s="7" t="s">
        <v>141</v>
      </c>
      <c r="G133" s="6" t="s">
        <v>137</v>
      </c>
      <c r="H133" s="6" t="s">
        <v>120</v>
      </c>
      <c r="I133" s="7" t="s">
        <v>472</v>
      </c>
      <c r="J133" s="9" t="s">
        <v>481</v>
      </c>
      <c r="K133" s="8" t="n">
        <f aca="false">ROUND((IF(E133="Transactional",5,IF(E133="Commercial",4,IF(E133="Comparison",3,IF(E133="Informational",2,3))))*LOG10(IF(ISNUMBER(L133),L133,IFERROR(VALUE(LEFT(F133,FIND("-",F133)-1)),100))+1))/IF(IF(ISBLANK(M133),G133,M133)="High",5,IF(IF(ISBLANK(M133),G133,M133)="Medium",3,1)),2)</f>
        <v>3.39</v>
      </c>
      <c r="L133" s="6"/>
      <c r="M133" s="6"/>
      <c r="N133" s="6"/>
      <c r="O133" s="6" t="s">
        <v>123</v>
      </c>
      <c r="P133" s="7" t="s">
        <v>129</v>
      </c>
    </row>
    <row r="134" customFormat="false" ht="25.5" hidden="false" customHeight="true" outlineLevel="0" collapsed="false">
      <c r="A134" s="6" t="n">
        <v>133</v>
      </c>
      <c r="B134" s="6" t="n">
        <v>1</v>
      </c>
      <c r="C134" s="6" t="s">
        <v>115</v>
      </c>
      <c r="D134" s="7" t="s">
        <v>482</v>
      </c>
      <c r="E134" s="6" t="s">
        <v>117</v>
      </c>
      <c r="F134" s="7" t="s">
        <v>136</v>
      </c>
      <c r="G134" s="6" t="s">
        <v>137</v>
      </c>
      <c r="H134" s="6" t="s">
        <v>120</v>
      </c>
      <c r="I134" s="7" t="s">
        <v>472</v>
      </c>
      <c r="J134" s="7" t="s">
        <v>483</v>
      </c>
      <c r="K134" s="8" t="n">
        <f aca="false">ROUND((IF(E134="Transactional",5,IF(E134="Commercial",4,IF(E134="Comparison",3,IF(E134="Informational",2,3))))*LOG10(IF(ISNUMBER(L134),L134,IFERROR(VALUE(LEFT(F134,FIND("-",F134)-1)),100))+1))/IF(IF(ISBLANK(M134),G134,M134)="High",5,IF(IF(ISBLANK(M134),G134,M134)="Medium",3,1)),2)</f>
        <v>3.47</v>
      </c>
      <c r="L134" s="6"/>
      <c r="M134" s="6"/>
      <c r="N134" s="6"/>
      <c r="O134" s="6" t="s">
        <v>123</v>
      </c>
      <c r="P134" s="7" t="s">
        <v>484</v>
      </c>
    </row>
    <row r="135" customFormat="false" ht="25.5" hidden="false" customHeight="true" outlineLevel="0" collapsed="false">
      <c r="A135" s="6" t="n">
        <v>134</v>
      </c>
      <c r="B135" s="6" t="n">
        <v>1</v>
      </c>
      <c r="C135" s="6" t="s">
        <v>125</v>
      </c>
      <c r="D135" s="9" t="s">
        <v>485</v>
      </c>
      <c r="E135" s="6" t="s">
        <v>117</v>
      </c>
      <c r="F135" s="7" t="s">
        <v>141</v>
      </c>
      <c r="G135" s="6" t="s">
        <v>137</v>
      </c>
      <c r="H135" s="6" t="s">
        <v>120</v>
      </c>
      <c r="I135" s="7" t="s">
        <v>472</v>
      </c>
      <c r="J135" s="9" t="s">
        <v>486</v>
      </c>
      <c r="K135" s="8" t="n">
        <f aca="false">ROUND((IF(E135="Transactional",5,IF(E135="Commercial",4,IF(E135="Comparison",3,IF(E135="Informational",2,3))))*LOG10(IF(ISNUMBER(L135),L135,IFERROR(VALUE(LEFT(F135,FIND("-",F135)-1)),100))+1))/IF(IF(ISBLANK(M135),G135,M135)="High",5,IF(IF(ISBLANK(M135),G135,M135)="Medium",3,1)),2)</f>
        <v>3.39</v>
      </c>
      <c r="L135" s="6"/>
      <c r="M135" s="6"/>
      <c r="N135" s="6"/>
      <c r="O135" s="6" t="s">
        <v>123</v>
      </c>
      <c r="P135" s="7" t="s">
        <v>129</v>
      </c>
    </row>
    <row r="136" customFormat="false" ht="25.5" hidden="false" customHeight="true" outlineLevel="0" collapsed="false">
      <c r="A136" s="6" t="n">
        <v>135</v>
      </c>
      <c r="B136" s="6" t="n">
        <v>1</v>
      </c>
      <c r="C136" s="6" t="s">
        <v>115</v>
      </c>
      <c r="D136" s="7" t="s">
        <v>487</v>
      </c>
      <c r="E136" s="6" t="s">
        <v>117</v>
      </c>
      <c r="F136" s="7" t="s">
        <v>136</v>
      </c>
      <c r="G136" s="6" t="s">
        <v>137</v>
      </c>
      <c r="H136" s="6" t="s">
        <v>120</v>
      </c>
      <c r="I136" s="7" t="s">
        <v>472</v>
      </c>
      <c r="J136" s="7" t="s">
        <v>488</v>
      </c>
      <c r="K136" s="8" t="n">
        <f aca="false">ROUND((IF(E136="Transactional",5,IF(E136="Commercial",4,IF(E136="Comparison",3,IF(E136="Informational",2,3))))*LOG10(IF(ISNUMBER(L136),L136,IFERROR(VALUE(LEFT(F136,FIND("-",F136)-1)),100))+1))/IF(IF(ISBLANK(M136),G136,M136)="High",5,IF(IF(ISBLANK(M136),G136,M136)="Medium",3,1)),2)</f>
        <v>3.47</v>
      </c>
      <c r="L136" s="6"/>
      <c r="M136" s="6"/>
      <c r="N136" s="6"/>
      <c r="O136" s="6" t="s">
        <v>123</v>
      </c>
      <c r="P136" s="7" t="s">
        <v>489</v>
      </c>
    </row>
    <row r="137" customFormat="false" ht="25.5" hidden="false" customHeight="true" outlineLevel="0" collapsed="false">
      <c r="A137" s="6" t="n">
        <v>136</v>
      </c>
      <c r="B137" s="6" t="n">
        <v>1</v>
      </c>
      <c r="C137" s="6" t="s">
        <v>125</v>
      </c>
      <c r="D137" s="9" t="s">
        <v>490</v>
      </c>
      <c r="E137" s="6" t="s">
        <v>117</v>
      </c>
      <c r="F137" s="7" t="s">
        <v>141</v>
      </c>
      <c r="G137" s="6" t="s">
        <v>137</v>
      </c>
      <c r="H137" s="6" t="s">
        <v>120</v>
      </c>
      <c r="I137" s="7" t="s">
        <v>472</v>
      </c>
      <c r="J137" s="9" t="s">
        <v>491</v>
      </c>
      <c r="K137" s="8" t="n">
        <f aca="false">ROUND((IF(E137="Transactional",5,IF(E137="Commercial",4,IF(E137="Comparison",3,IF(E137="Informational",2,3))))*LOG10(IF(ISNUMBER(L137),L137,IFERROR(VALUE(LEFT(F137,FIND("-",F137)-1)),100))+1))/IF(IF(ISBLANK(M137),G137,M137)="High",5,IF(IF(ISBLANK(M137),G137,M137)="Medium",3,1)),2)</f>
        <v>3.39</v>
      </c>
      <c r="L137" s="6"/>
      <c r="M137" s="6"/>
      <c r="N137" s="6"/>
      <c r="O137" s="6" t="s">
        <v>123</v>
      </c>
      <c r="P137" s="7" t="s">
        <v>129</v>
      </c>
    </row>
    <row r="138" customFormat="false" ht="25.5" hidden="false" customHeight="true" outlineLevel="0" collapsed="false">
      <c r="A138" s="6" t="n">
        <v>137</v>
      </c>
      <c r="B138" s="6" t="n">
        <v>1</v>
      </c>
      <c r="C138" s="6" t="s">
        <v>115</v>
      </c>
      <c r="D138" s="7" t="s">
        <v>492</v>
      </c>
      <c r="E138" s="6" t="s">
        <v>117</v>
      </c>
      <c r="F138" s="7" t="s">
        <v>136</v>
      </c>
      <c r="G138" s="6" t="s">
        <v>137</v>
      </c>
      <c r="H138" s="6" t="s">
        <v>120</v>
      </c>
      <c r="I138" s="7" t="s">
        <v>472</v>
      </c>
      <c r="J138" s="7" t="s">
        <v>493</v>
      </c>
      <c r="K138" s="8" t="n">
        <f aca="false">ROUND((IF(E138="Transactional",5,IF(E138="Commercial",4,IF(E138="Comparison",3,IF(E138="Informational",2,3))))*LOG10(IF(ISNUMBER(L138),L138,IFERROR(VALUE(LEFT(F138,FIND("-",F138)-1)),100))+1))/IF(IF(ISBLANK(M138),G138,M138)="High",5,IF(IF(ISBLANK(M138),G138,M138)="Medium",3,1)),2)</f>
        <v>3.47</v>
      </c>
      <c r="L138" s="6"/>
      <c r="M138" s="6"/>
      <c r="N138" s="6"/>
      <c r="O138" s="6" t="s">
        <v>123</v>
      </c>
      <c r="P138" s="7" t="s">
        <v>494</v>
      </c>
    </row>
    <row r="139" customFormat="false" ht="25.5" hidden="false" customHeight="true" outlineLevel="0" collapsed="false">
      <c r="A139" s="6" t="n">
        <v>138</v>
      </c>
      <c r="B139" s="6" t="n">
        <v>1</v>
      </c>
      <c r="C139" s="6" t="s">
        <v>125</v>
      </c>
      <c r="D139" s="9" t="s">
        <v>495</v>
      </c>
      <c r="E139" s="6" t="s">
        <v>117</v>
      </c>
      <c r="F139" s="7" t="s">
        <v>141</v>
      </c>
      <c r="G139" s="6" t="s">
        <v>137</v>
      </c>
      <c r="H139" s="6" t="s">
        <v>120</v>
      </c>
      <c r="I139" s="7" t="s">
        <v>472</v>
      </c>
      <c r="J139" s="9" t="s">
        <v>496</v>
      </c>
      <c r="K139" s="8" t="n">
        <f aca="false">ROUND((IF(E139="Transactional",5,IF(E139="Commercial",4,IF(E139="Comparison",3,IF(E139="Informational",2,3))))*LOG10(IF(ISNUMBER(L139),L139,IFERROR(VALUE(LEFT(F139,FIND("-",F139)-1)),100))+1))/IF(IF(ISBLANK(M139),G139,M139)="High",5,IF(IF(ISBLANK(M139),G139,M139)="Medium",3,1)),2)</f>
        <v>3.39</v>
      </c>
      <c r="L139" s="6"/>
      <c r="M139" s="6"/>
      <c r="N139" s="6"/>
      <c r="O139" s="6" t="s">
        <v>123</v>
      </c>
      <c r="P139" s="7" t="s">
        <v>129</v>
      </c>
    </row>
    <row r="140" customFormat="false" ht="25.5" hidden="false" customHeight="true" outlineLevel="0" collapsed="false">
      <c r="A140" s="6" t="n">
        <v>139</v>
      </c>
      <c r="B140" s="6" t="n">
        <v>1</v>
      </c>
      <c r="C140" s="6" t="s">
        <v>115</v>
      </c>
      <c r="D140" s="7" t="s">
        <v>497</v>
      </c>
      <c r="E140" s="6" t="s">
        <v>117</v>
      </c>
      <c r="F140" s="7" t="s">
        <v>136</v>
      </c>
      <c r="G140" s="6" t="s">
        <v>137</v>
      </c>
      <c r="H140" s="6" t="s">
        <v>120</v>
      </c>
      <c r="I140" s="7" t="s">
        <v>498</v>
      </c>
      <c r="J140" s="7" t="s">
        <v>499</v>
      </c>
      <c r="K140" s="8" t="n">
        <f aca="false">ROUND((IF(E140="Transactional",5,IF(E140="Commercial",4,IF(E140="Comparison",3,IF(E140="Informational",2,3))))*LOG10(IF(ISNUMBER(L140),L140,IFERROR(VALUE(LEFT(F140,FIND("-",F140)-1)),100))+1))/IF(IF(ISBLANK(M140),G140,M140)="High",5,IF(IF(ISBLANK(M140),G140,M140)="Medium",3,1)),2)</f>
        <v>3.47</v>
      </c>
      <c r="L140" s="6"/>
      <c r="M140" s="6"/>
      <c r="N140" s="6"/>
      <c r="O140" s="6" t="s">
        <v>123</v>
      </c>
      <c r="P140" s="7" t="s">
        <v>500</v>
      </c>
    </row>
    <row r="141" customFormat="false" ht="25.5" hidden="false" customHeight="true" outlineLevel="0" collapsed="false">
      <c r="A141" s="6" t="n">
        <v>140</v>
      </c>
      <c r="B141" s="6" t="n">
        <v>1</v>
      </c>
      <c r="C141" s="6" t="s">
        <v>125</v>
      </c>
      <c r="D141" s="9" t="s">
        <v>501</v>
      </c>
      <c r="E141" s="6" t="s">
        <v>117</v>
      </c>
      <c r="F141" s="7" t="s">
        <v>141</v>
      </c>
      <c r="G141" s="6" t="s">
        <v>137</v>
      </c>
      <c r="H141" s="6" t="s">
        <v>120</v>
      </c>
      <c r="I141" s="7" t="s">
        <v>498</v>
      </c>
      <c r="J141" s="9" t="s">
        <v>502</v>
      </c>
      <c r="K141" s="8" t="n">
        <f aca="false">ROUND((IF(E141="Transactional",5,IF(E141="Commercial",4,IF(E141="Comparison",3,IF(E141="Informational",2,3))))*LOG10(IF(ISNUMBER(L141),L141,IFERROR(VALUE(LEFT(F141,FIND("-",F141)-1)),100))+1))/IF(IF(ISBLANK(M141),G141,M141)="High",5,IF(IF(ISBLANK(M141),G141,M141)="Medium",3,1)),2)</f>
        <v>3.39</v>
      </c>
      <c r="L141" s="6"/>
      <c r="M141" s="6"/>
      <c r="N141" s="6"/>
      <c r="O141" s="6" t="s">
        <v>123</v>
      </c>
      <c r="P141" s="7" t="s">
        <v>129</v>
      </c>
    </row>
    <row r="142" customFormat="false" ht="25.5" hidden="false" customHeight="true" outlineLevel="0" collapsed="false">
      <c r="A142" s="10" t="n">
        <v>141</v>
      </c>
      <c r="B142" s="10" t="n">
        <v>2</v>
      </c>
      <c r="C142" s="10" t="s">
        <v>115</v>
      </c>
      <c r="D142" s="11" t="s">
        <v>503</v>
      </c>
      <c r="E142" s="10" t="s">
        <v>117</v>
      </c>
      <c r="F142" s="11" t="s">
        <v>504</v>
      </c>
      <c r="G142" s="10" t="s">
        <v>505</v>
      </c>
      <c r="H142" s="10" t="s">
        <v>506</v>
      </c>
      <c r="I142" s="11" t="s">
        <v>121</v>
      </c>
      <c r="J142" s="11" t="s">
        <v>507</v>
      </c>
      <c r="K142" s="12" t="n">
        <f aca="false">ROUND((IF(E142="Transactional",5,IF(E142="Commercial",4,IF(E142="Comparison",3,IF(E142="Informational",2,3))))*LOG10(IF(ISNUMBER(L142),L142,IFERROR(VALUE(LEFT(F142,FIND("-",F142)-1)),100))+1))/IF(IF(ISBLANK(M142),G142,M142)="High",5,IF(IF(ISBLANK(M142),G142,M142)="Medium",3,1)),2)</f>
        <v>6.45</v>
      </c>
      <c r="L142" s="10"/>
      <c r="M142" s="10"/>
      <c r="N142" s="10"/>
      <c r="O142" s="10" t="s">
        <v>123</v>
      </c>
      <c r="P142" s="11" t="s">
        <v>508</v>
      </c>
    </row>
    <row r="143" customFormat="false" ht="25.5" hidden="false" customHeight="true" outlineLevel="0" collapsed="false">
      <c r="A143" s="10" t="n">
        <v>142</v>
      </c>
      <c r="B143" s="10" t="n">
        <v>2</v>
      </c>
      <c r="C143" s="10" t="s">
        <v>125</v>
      </c>
      <c r="D143" s="13" t="s">
        <v>509</v>
      </c>
      <c r="E143" s="10" t="s">
        <v>117</v>
      </c>
      <c r="F143" s="11" t="s">
        <v>504</v>
      </c>
      <c r="G143" s="10" t="s">
        <v>505</v>
      </c>
      <c r="H143" s="10" t="s">
        <v>506</v>
      </c>
      <c r="I143" s="11" t="s">
        <v>121</v>
      </c>
      <c r="J143" s="13" t="s">
        <v>510</v>
      </c>
      <c r="K143" s="12" t="n">
        <f aca="false">ROUND((IF(E143="Transactional",5,IF(E143="Commercial",4,IF(E143="Comparison",3,IF(E143="Informational",2,3))))*LOG10(IF(ISNUMBER(L143),L143,IFERROR(VALUE(LEFT(F143,FIND("-",F143)-1)),100))+1))/IF(IF(ISBLANK(M143),G143,M143)="High",5,IF(IF(ISBLANK(M143),G143,M143)="Medium",3,1)),2)</f>
        <v>6.45</v>
      </c>
      <c r="L143" s="10"/>
      <c r="M143" s="10"/>
      <c r="N143" s="10"/>
      <c r="O143" s="10" t="s">
        <v>123</v>
      </c>
      <c r="P143" s="11"/>
    </row>
    <row r="144" customFormat="false" ht="25.5" hidden="false" customHeight="true" outlineLevel="0" collapsed="false">
      <c r="A144" s="10" t="n">
        <v>143</v>
      </c>
      <c r="B144" s="10" t="n">
        <v>2</v>
      </c>
      <c r="C144" s="10" t="s">
        <v>115</v>
      </c>
      <c r="D144" s="11" t="s">
        <v>511</v>
      </c>
      <c r="E144" s="10" t="s">
        <v>117</v>
      </c>
      <c r="F144" s="11" t="s">
        <v>504</v>
      </c>
      <c r="G144" s="10" t="s">
        <v>505</v>
      </c>
      <c r="H144" s="10" t="s">
        <v>506</v>
      </c>
      <c r="I144" s="11" t="s">
        <v>121</v>
      </c>
      <c r="J144" s="11" t="s">
        <v>512</v>
      </c>
      <c r="K144" s="12" t="n">
        <f aca="false">ROUND((IF(E144="Transactional",5,IF(E144="Commercial",4,IF(E144="Comparison",3,IF(E144="Informational",2,3))))*LOG10(IF(ISNUMBER(L144),L144,IFERROR(VALUE(LEFT(F144,FIND("-",F144)-1)),100))+1))/IF(IF(ISBLANK(M144),G144,M144)="High",5,IF(IF(ISBLANK(M144),G144,M144)="Medium",3,1)),2)</f>
        <v>6.45</v>
      </c>
      <c r="L144" s="10"/>
      <c r="M144" s="10"/>
      <c r="N144" s="10"/>
      <c r="O144" s="10" t="s">
        <v>123</v>
      </c>
      <c r="P144" s="11" t="s">
        <v>508</v>
      </c>
    </row>
    <row r="145" customFormat="false" ht="25.5" hidden="false" customHeight="true" outlineLevel="0" collapsed="false">
      <c r="A145" s="10" t="n">
        <v>144</v>
      </c>
      <c r="B145" s="10" t="n">
        <v>2</v>
      </c>
      <c r="C145" s="10" t="s">
        <v>125</v>
      </c>
      <c r="D145" s="13" t="s">
        <v>513</v>
      </c>
      <c r="E145" s="10" t="s">
        <v>117</v>
      </c>
      <c r="F145" s="11" t="s">
        <v>504</v>
      </c>
      <c r="G145" s="10" t="s">
        <v>505</v>
      </c>
      <c r="H145" s="10" t="s">
        <v>506</v>
      </c>
      <c r="I145" s="11" t="s">
        <v>121</v>
      </c>
      <c r="J145" s="13" t="s">
        <v>514</v>
      </c>
      <c r="K145" s="12" t="n">
        <f aca="false">ROUND((IF(E145="Transactional",5,IF(E145="Commercial",4,IF(E145="Comparison",3,IF(E145="Informational",2,3))))*LOG10(IF(ISNUMBER(L145),L145,IFERROR(VALUE(LEFT(F145,FIND("-",F145)-1)),100))+1))/IF(IF(ISBLANK(M145),G145,M145)="High",5,IF(IF(ISBLANK(M145),G145,M145)="Medium",3,1)),2)</f>
        <v>6.45</v>
      </c>
      <c r="L145" s="10"/>
      <c r="M145" s="10"/>
      <c r="N145" s="10"/>
      <c r="O145" s="10" t="s">
        <v>123</v>
      </c>
      <c r="P145" s="11"/>
    </row>
    <row r="146" customFormat="false" ht="25.5" hidden="false" customHeight="true" outlineLevel="0" collapsed="false">
      <c r="A146" s="10" t="n">
        <v>145</v>
      </c>
      <c r="B146" s="10" t="n">
        <v>2</v>
      </c>
      <c r="C146" s="10" t="s">
        <v>115</v>
      </c>
      <c r="D146" s="11" t="s">
        <v>515</v>
      </c>
      <c r="E146" s="10" t="s">
        <v>117</v>
      </c>
      <c r="F146" s="11" t="s">
        <v>504</v>
      </c>
      <c r="G146" s="10" t="s">
        <v>505</v>
      </c>
      <c r="H146" s="10" t="s">
        <v>506</v>
      </c>
      <c r="I146" s="11" t="s">
        <v>121</v>
      </c>
      <c r="J146" s="11" t="s">
        <v>516</v>
      </c>
      <c r="K146" s="12" t="n">
        <f aca="false">ROUND((IF(E146="Transactional",5,IF(E146="Commercial",4,IF(E146="Comparison",3,IF(E146="Informational",2,3))))*LOG10(IF(ISNUMBER(L146),L146,IFERROR(VALUE(LEFT(F146,FIND("-",F146)-1)),100))+1))/IF(IF(ISBLANK(M146),G146,M146)="High",5,IF(IF(ISBLANK(M146),G146,M146)="Medium",3,1)),2)</f>
        <v>6.45</v>
      </c>
      <c r="L146" s="10"/>
      <c r="M146" s="10"/>
      <c r="N146" s="10"/>
      <c r="O146" s="10" t="s">
        <v>123</v>
      </c>
      <c r="P146" s="11" t="s">
        <v>508</v>
      </c>
    </row>
    <row r="147" customFormat="false" ht="25.5" hidden="false" customHeight="true" outlineLevel="0" collapsed="false">
      <c r="A147" s="10" t="n">
        <v>146</v>
      </c>
      <c r="B147" s="10" t="n">
        <v>2</v>
      </c>
      <c r="C147" s="10" t="s">
        <v>125</v>
      </c>
      <c r="D147" s="13" t="s">
        <v>517</v>
      </c>
      <c r="E147" s="10" t="s">
        <v>117</v>
      </c>
      <c r="F147" s="11" t="s">
        <v>504</v>
      </c>
      <c r="G147" s="10" t="s">
        <v>505</v>
      </c>
      <c r="H147" s="10" t="s">
        <v>506</v>
      </c>
      <c r="I147" s="11" t="s">
        <v>121</v>
      </c>
      <c r="J147" s="13" t="s">
        <v>518</v>
      </c>
      <c r="K147" s="12" t="n">
        <f aca="false">ROUND((IF(E147="Transactional",5,IF(E147="Commercial",4,IF(E147="Comparison",3,IF(E147="Informational",2,3))))*LOG10(IF(ISNUMBER(L147),L147,IFERROR(VALUE(LEFT(F147,FIND("-",F147)-1)),100))+1))/IF(IF(ISBLANK(M147),G147,M147)="High",5,IF(IF(ISBLANK(M147),G147,M147)="Medium",3,1)),2)</f>
        <v>6.45</v>
      </c>
      <c r="L147" s="10"/>
      <c r="M147" s="10"/>
      <c r="N147" s="10"/>
      <c r="O147" s="10" t="s">
        <v>123</v>
      </c>
      <c r="P147" s="11"/>
    </row>
    <row r="148" customFormat="false" ht="25.5" hidden="false" customHeight="true" outlineLevel="0" collapsed="false">
      <c r="A148" s="10" t="n">
        <v>147</v>
      </c>
      <c r="B148" s="10" t="n">
        <v>2</v>
      </c>
      <c r="C148" s="10" t="s">
        <v>115</v>
      </c>
      <c r="D148" s="11" t="s">
        <v>519</v>
      </c>
      <c r="E148" s="10" t="s">
        <v>117</v>
      </c>
      <c r="F148" s="11" t="s">
        <v>504</v>
      </c>
      <c r="G148" s="10" t="s">
        <v>505</v>
      </c>
      <c r="H148" s="10" t="s">
        <v>506</v>
      </c>
      <c r="I148" s="11" t="s">
        <v>121</v>
      </c>
      <c r="J148" s="11" t="s">
        <v>520</v>
      </c>
      <c r="K148" s="12" t="n">
        <f aca="false">ROUND((IF(E148="Transactional",5,IF(E148="Commercial",4,IF(E148="Comparison",3,IF(E148="Informational",2,3))))*LOG10(IF(ISNUMBER(L148),L148,IFERROR(VALUE(LEFT(F148,FIND("-",F148)-1)),100))+1))/IF(IF(ISBLANK(M148),G148,M148)="High",5,IF(IF(ISBLANK(M148),G148,M148)="Medium",3,1)),2)</f>
        <v>6.45</v>
      </c>
      <c r="L148" s="10"/>
      <c r="M148" s="10"/>
      <c r="N148" s="10"/>
      <c r="O148" s="10" t="s">
        <v>123</v>
      </c>
      <c r="P148" s="11" t="s">
        <v>508</v>
      </c>
    </row>
    <row r="149" customFormat="false" ht="25.5" hidden="false" customHeight="true" outlineLevel="0" collapsed="false">
      <c r="A149" s="10" t="n">
        <v>148</v>
      </c>
      <c r="B149" s="10" t="n">
        <v>2</v>
      </c>
      <c r="C149" s="10" t="s">
        <v>125</v>
      </c>
      <c r="D149" s="13" t="s">
        <v>521</v>
      </c>
      <c r="E149" s="10" t="s">
        <v>117</v>
      </c>
      <c r="F149" s="11" t="s">
        <v>504</v>
      </c>
      <c r="G149" s="10" t="s">
        <v>505</v>
      </c>
      <c r="H149" s="10" t="s">
        <v>506</v>
      </c>
      <c r="I149" s="11" t="s">
        <v>121</v>
      </c>
      <c r="J149" s="13" t="s">
        <v>522</v>
      </c>
      <c r="K149" s="12" t="n">
        <f aca="false">ROUND((IF(E149="Transactional",5,IF(E149="Commercial",4,IF(E149="Comparison",3,IF(E149="Informational",2,3))))*LOG10(IF(ISNUMBER(L149),L149,IFERROR(VALUE(LEFT(F149,FIND("-",F149)-1)),100))+1))/IF(IF(ISBLANK(M149),G149,M149)="High",5,IF(IF(ISBLANK(M149),G149,M149)="Medium",3,1)),2)</f>
        <v>6.45</v>
      </c>
      <c r="L149" s="10"/>
      <c r="M149" s="10"/>
      <c r="N149" s="10"/>
      <c r="O149" s="10" t="s">
        <v>123</v>
      </c>
      <c r="P149" s="11"/>
    </row>
    <row r="150" customFormat="false" ht="25.5" hidden="false" customHeight="true" outlineLevel="0" collapsed="false">
      <c r="A150" s="10" t="n">
        <v>149</v>
      </c>
      <c r="B150" s="10" t="n">
        <v>2</v>
      </c>
      <c r="C150" s="10" t="s">
        <v>115</v>
      </c>
      <c r="D150" s="11" t="s">
        <v>523</v>
      </c>
      <c r="E150" s="10" t="s">
        <v>117</v>
      </c>
      <c r="F150" s="11" t="s">
        <v>504</v>
      </c>
      <c r="G150" s="10" t="s">
        <v>505</v>
      </c>
      <c r="H150" s="10" t="s">
        <v>506</v>
      </c>
      <c r="I150" s="11" t="s">
        <v>121</v>
      </c>
      <c r="J150" s="11" t="s">
        <v>524</v>
      </c>
      <c r="K150" s="12" t="n">
        <f aca="false">ROUND((IF(E150="Transactional",5,IF(E150="Commercial",4,IF(E150="Comparison",3,IF(E150="Informational",2,3))))*LOG10(IF(ISNUMBER(L150),L150,IFERROR(VALUE(LEFT(F150,FIND("-",F150)-1)),100))+1))/IF(IF(ISBLANK(M150),G150,M150)="High",5,IF(IF(ISBLANK(M150),G150,M150)="Medium",3,1)),2)</f>
        <v>6.45</v>
      </c>
      <c r="L150" s="10"/>
      <c r="M150" s="10"/>
      <c r="N150" s="10"/>
      <c r="O150" s="10" t="s">
        <v>123</v>
      </c>
      <c r="P150" s="11" t="s">
        <v>508</v>
      </c>
    </row>
    <row r="151" customFormat="false" ht="25.5" hidden="false" customHeight="true" outlineLevel="0" collapsed="false">
      <c r="A151" s="10" t="n">
        <v>150</v>
      </c>
      <c r="B151" s="10" t="n">
        <v>2</v>
      </c>
      <c r="C151" s="10" t="s">
        <v>125</v>
      </c>
      <c r="D151" s="13" t="s">
        <v>525</v>
      </c>
      <c r="E151" s="10" t="s">
        <v>117</v>
      </c>
      <c r="F151" s="11" t="s">
        <v>504</v>
      </c>
      <c r="G151" s="10" t="s">
        <v>505</v>
      </c>
      <c r="H151" s="10" t="s">
        <v>506</v>
      </c>
      <c r="I151" s="11" t="s">
        <v>121</v>
      </c>
      <c r="J151" s="13" t="s">
        <v>526</v>
      </c>
      <c r="K151" s="12" t="n">
        <f aca="false">ROUND((IF(E151="Transactional",5,IF(E151="Commercial",4,IF(E151="Comparison",3,IF(E151="Informational",2,3))))*LOG10(IF(ISNUMBER(L151),L151,IFERROR(VALUE(LEFT(F151,FIND("-",F151)-1)),100))+1))/IF(IF(ISBLANK(M151),G151,M151)="High",5,IF(IF(ISBLANK(M151),G151,M151)="Medium",3,1)),2)</f>
        <v>6.45</v>
      </c>
      <c r="L151" s="10"/>
      <c r="M151" s="10"/>
      <c r="N151" s="10"/>
      <c r="O151" s="10" t="s">
        <v>123</v>
      </c>
      <c r="P151" s="11"/>
    </row>
    <row r="152" customFormat="false" ht="25.5" hidden="false" customHeight="true" outlineLevel="0" collapsed="false">
      <c r="A152" s="10" t="n">
        <v>151</v>
      </c>
      <c r="B152" s="10" t="n">
        <v>2</v>
      </c>
      <c r="C152" s="10" t="s">
        <v>115</v>
      </c>
      <c r="D152" s="11" t="s">
        <v>527</v>
      </c>
      <c r="E152" s="10" t="s">
        <v>117</v>
      </c>
      <c r="F152" s="11" t="s">
        <v>504</v>
      </c>
      <c r="G152" s="10" t="s">
        <v>505</v>
      </c>
      <c r="H152" s="10" t="s">
        <v>506</v>
      </c>
      <c r="I152" s="11" t="s">
        <v>121</v>
      </c>
      <c r="J152" s="11" t="s">
        <v>528</v>
      </c>
      <c r="K152" s="12" t="n">
        <f aca="false">ROUND((IF(E152="Transactional",5,IF(E152="Commercial",4,IF(E152="Comparison",3,IF(E152="Informational",2,3))))*LOG10(IF(ISNUMBER(L152),L152,IFERROR(VALUE(LEFT(F152,FIND("-",F152)-1)),100))+1))/IF(IF(ISBLANK(M152),G152,M152)="High",5,IF(IF(ISBLANK(M152),G152,M152)="Medium",3,1)),2)</f>
        <v>6.45</v>
      </c>
      <c r="L152" s="10"/>
      <c r="M152" s="10"/>
      <c r="N152" s="10"/>
      <c r="O152" s="10" t="s">
        <v>123</v>
      </c>
      <c r="P152" s="11" t="s">
        <v>508</v>
      </c>
    </row>
    <row r="153" customFormat="false" ht="25.5" hidden="false" customHeight="true" outlineLevel="0" collapsed="false">
      <c r="A153" s="10" t="n">
        <v>152</v>
      </c>
      <c r="B153" s="10" t="n">
        <v>2</v>
      </c>
      <c r="C153" s="10" t="s">
        <v>125</v>
      </c>
      <c r="D153" s="13" t="s">
        <v>529</v>
      </c>
      <c r="E153" s="10" t="s">
        <v>117</v>
      </c>
      <c r="F153" s="11" t="s">
        <v>504</v>
      </c>
      <c r="G153" s="10" t="s">
        <v>505</v>
      </c>
      <c r="H153" s="10" t="s">
        <v>506</v>
      </c>
      <c r="I153" s="11" t="s">
        <v>121</v>
      </c>
      <c r="J153" s="13" t="s">
        <v>530</v>
      </c>
      <c r="K153" s="12" t="n">
        <f aca="false">ROUND((IF(E153="Transactional",5,IF(E153="Commercial",4,IF(E153="Comparison",3,IF(E153="Informational",2,3))))*LOG10(IF(ISNUMBER(L153),L153,IFERROR(VALUE(LEFT(F153,FIND("-",F153)-1)),100))+1))/IF(IF(ISBLANK(M153),G153,M153)="High",5,IF(IF(ISBLANK(M153),G153,M153)="Medium",3,1)),2)</f>
        <v>6.45</v>
      </c>
      <c r="L153" s="10"/>
      <c r="M153" s="10"/>
      <c r="N153" s="10"/>
      <c r="O153" s="10" t="s">
        <v>123</v>
      </c>
      <c r="P153" s="11"/>
    </row>
    <row r="154" customFormat="false" ht="25.5" hidden="false" customHeight="true" outlineLevel="0" collapsed="false">
      <c r="A154" s="10" t="n">
        <v>153</v>
      </c>
      <c r="B154" s="10" t="n">
        <v>2</v>
      </c>
      <c r="C154" s="10" t="s">
        <v>115</v>
      </c>
      <c r="D154" s="11" t="s">
        <v>531</v>
      </c>
      <c r="E154" s="10" t="s">
        <v>117</v>
      </c>
      <c r="F154" s="11" t="s">
        <v>504</v>
      </c>
      <c r="G154" s="10" t="s">
        <v>505</v>
      </c>
      <c r="H154" s="10" t="s">
        <v>506</v>
      </c>
      <c r="I154" s="11" t="s">
        <v>121</v>
      </c>
      <c r="J154" s="11" t="s">
        <v>532</v>
      </c>
      <c r="K154" s="12" t="n">
        <f aca="false">ROUND((IF(E154="Transactional",5,IF(E154="Commercial",4,IF(E154="Comparison",3,IF(E154="Informational",2,3))))*LOG10(IF(ISNUMBER(L154),L154,IFERROR(VALUE(LEFT(F154,FIND("-",F154)-1)),100))+1))/IF(IF(ISBLANK(M154),G154,M154)="High",5,IF(IF(ISBLANK(M154),G154,M154)="Medium",3,1)),2)</f>
        <v>6.45</v>
      </c>
      <c r="L154" s="10"/>
      <c r="M154" s="10"/>
      <c r="N154" s="10"/>
      <c r="O154" s="10" t="s">
        <v>123</v>
      </c>
      <c r="P154" s="11" t="s">
        <v>508</v>
      </c>
    </row>
    <row r="155" customFormat="false" ht="25.5" hidden="false" customHeight="true" outlineLevel="0" collapsed="false">
      <c r="A155" s="10" t="n">
        <v>154</v>
      </c>
      <c r="B155" s="10" t="n">
        <v>2</v>
      </c>
      <c r="C155" s="10" t="s">
        <v>125</v>
      </c>
      <c r="D155" s="13" t="s">
        <v>533</v>
      </c>
      <c r="E155" s="10" t="s">
        <v>117</v>
      </c>
      <c r="F155" s="11" t="s">
        <v>504</v>
      </c>
      <c r="G155" s="10" t="s">
        <v>505</v>
      </c>
      <c r="H155" s="10" t="s">
        <v>506</v>
      </c>
      <c r="I155" s="11" t="s">
        <v>121</v>
      </c>
      <c r="J155" s="13" t="s">
        <v>534</v>
      </c>
      <c r="K155" s="12" t="n">
        <f aca="false">ROUND((IF(E155="Transactional",5,IF(E155="Commercial",4,IF(E155="Comparison",3,IF(E155="Informational",2,3))))*LOG10(IF(ISNUMBER(L155),L155,IFERROR(VALUE(LEFT(F155,FIND("-",F155)-1)),100))+1))/IF(IF(ISBLANK(M155),G155,M155)="High",5,IF(IF(ISBLANK(M155),G155,M155)="Medium",3,1)),2)</f>
        <v>6.45</v>
      </c>
      <c r="L155" s="10"/>
      <c r="M155" s="10"/>
      <c r="N155" s="10"/>
      <c r="O155" s="10" t="s">
        <v>123</v>
      </c>
      <c r="P155" s="11"/>
    </row>
    <row r="156" customFormat="false" ht="25.5" hidden="false" customHeight="true" outlineLevel="0" collapsed="false">
      <c r="A156" s="10" t="n">
        <v>155</v>
      </c>
      <c r="B156" s="10" t="n">
        <v>2</v>
      </c>
      <c r="C156" s="10" t="s">
        <v>115</v>
      </c>
      <c r="D156" s="11" t="s">
        <v>535</v>
      </c>
      <c r="E156" s="10" t="s">
        <v>117</v>
      </c>
      <c r="F156" s="11" t="s">
        <v>504</v>
      </c>
      <c r="G156" s="10" t="s">
        <v>505</v>
      </c>
      <c r="H156" s="10" t="s">
        <v>506</v>
      </c>
      <c r="I156" s="11" t="s">
        <v>121</v>
      </c>
      <c r="J156" s="11" t="s">
        <v>536</v>
      </c>
      <c r="K156" s="12" t="n">
        <f aca="false">ROUND((IF(E156="Transactional",5,IF(E156="Commercial",4,IF(E156="Comparison",3,IF(E156="Informational",2,3))))*LOG10(IF(ISNUMBER(L156),L156,IFERROR(VALUE(LEFT(F156,FIND("-",F156)-1)),100))+1))/IF(IF(ISBLANK(M156),G156,M156)="High",5,IF(IF(ISBLANK(M156),G156,M156)="Medium",3,1)),2)</f>
        <v>6.45</v>
      </c>
      <c r="L156" s="10"/>
      <c r="M156" s="10"/>
      <c r="N156" s="10"/>
      <c r="O156" s="10" t="s">
        <v>123</v>
      </c>
      <c r="P156" s="11" t="s">
        <v>508</v>
      </c>
    </row>
    <row r="157" customFormat="false" ht="25.5" hidden="false" customHeight="true" outlineLevel="0" collapsed="false">
      <c r="A157" s="10" t="n">
        <v>156</v>
      </c>
      <c r="B157" s="10" t="n">
        <v>2</v>
      </c>
      <c r="C157" s="10" t="s">
        <v>125</v>
      </c>
      <c r="D157" s="13" t="s">
        <v>537</v>
      </c>
      <c r="E157" s="10" t="s">
        <v>117</v>
      </c>
      <c r="F157" s="11" t="s">
        <v>504</v>
      </c>
      <c r="G157" s="10" t="s">
        <v>505</v>
      </c>
      <c r="H157" s="10" t="s">
        <v>506</v>
      </c>
      <c r="I157" s="11" t="s">
        <v>121</v>
      </c>
      <c r="J157" s="13" t="s">
        <v>538</v>
      </c>
      <c r="K157" s="12" t="n">
        <f aca="false">ROUND((IF(E157="Transactional",5,IF(E157="Commercial",4,IF(E157="Comparison",3,IF(E157="Informational",2,3))))*LOG10(IF(ISNUMBER(L157),L157,IFERROR(VALUE(LEFT(F157,FIND("-",F157)-1)),100))+1))/IF(IF(ISBLANK(M157),G157,M157)="High",5,IF(IF(ISBLANK(M157),G157,M157)="Medium",3,1)),2)</f>
        <v>6.45</v>
      </c>
      <c r="L157" s="10"/>
      <c r="M157" s="10"/>
      <c r="N157" s="10"/>
      <c r="O157" s="10" t="s">
        <v>123</v>
      </c>
      <c r="P157" s="11"/>
    </row>
    <row r="158" customFormat="false" ht="25.5" hidden="false" customHeight="true" outlineLevel="0" collapsed="false">
      <c r="A158" s="10" t="n">
        <v>157</v>
      </c>
      <c r="B158" s="10" t="n">
        <v>2</v>
      </c>
      <c r="C158" s="10" t="s">
        <v>115</v>
      </c>
      <c r="D158" s="11" t="s">
        <v>539</v>
      </c>
      <c r="E158" s="10" t="s">
        <v>117</v>
      </c>
      <c r="F158" s="11" t="s">
        <v>504</v>
      </c>
      <c r="G158" s="10" t="s">
        <v>505</v>
      </c>
      <c r="H158" s="10" t="s">
        <v>506</v>
      </c>
      <c r="I158" s="11" t="s">
        <v>121</v>
      </c>
      <c r="J158" s="11" t="s">
        <v>540</v>
      </c>
      <c r="K158" s="12" t="n">
        <f aca="false">ROUND((IF(E158="Transactional",5,IF(E158="Commercial",4,IF(E158="Comparison",3,IF(E158="Informational",2,3))))*LOG10(IF(ISNUMBER(L158),L158,IFERROR(VALUE(LEFT(F158,FIND("-",F158)-1)),100))+1))/IF(IF(ISBLANK(M158),G158,M158)="High",5,IF(IF(ISBLANK(M158),G158,M158)="Medium",3,1)),2)</f>
        <v>6.45</v>
      </c>
      <c r="L158" s="10"/>
      <c r="M158" s="10"/>
      <c r="N158" s="10"/>
      <c r="O158" s="10" t="s">
        <v>123</v>
      </c>
      <c r="P158" s="11" t="s">
        <v>508</v>
      </c>
    </row>
    <row r="159" customFormat="false" ht="25.5" hidden="false" customHeight="true" outlineLevel="0" collapsed="false">
      <c r="A159" s="10" t="n">
        <v>158</v>
      </c>
      <c r="B159" s="10" t="n">
        <v>2</v>
      </c>
      <c r="C159" s="10" t="s">
        <v>125</v>
      </c>
      <c r="D159" s="13" t="s">
        <v>541</v>
      </c>
      <c r="E159" s="10" t="s">
        <v>117</v>
      </c>
      <c r="F159" s="11" t="s">
        <v>504</v>
      </c>
      <c r="G159" s="10" t="s">
        <v>505</v>
      </c>
      <c r="H159" s="10" t="s">
        <v>506</v>
      </c>
      <c r="I159" s="11" t="s">
        <v>121</v>
      </c>
      <c r="J159" s="13" t="s">
        <v>542</v>
      </c>
      <c r="K159" s="12" t="n">
        <f aca="false">ROUND((IF(E159="Transactional",5,IF(E159="Commercial",4,IF(E159="Comparison",3,IF(E159="Informational",2,3))))*LOG10(IF(ISNUMBER(L159),L159,IFERROR(VALUE(LEFT(F159,FIND("-",F159)-1)),100))+1))/IF(IF(ISBLANK(M159),G159,M159)="High",5,IF(IF(ISBLANK(M159),G159,M159)="Medium",3,1)),2)</f>
        <v>6.45</v>
      </c>
      <c r="L159" s="10"/>
      <c r="M159" s="10"/>
      <c r="N159" s="10"/>
      <c r="O159" s="10" t="s">
        <v>123</v>
      </c>
      <c r="P159" s="11"/>
    </row>
    <row r="160" customFormat="false" ht="25.5" hidden="false" customHeight="true" outlineLevel="0" collapsed="false">
      <c r="A160" s="10" t="n">
        <v>159</v>
      </c>
      <c r="B160" s="10" t="n">
        <v>2</v>
      </c>
      <c r="C160" s="10" t="s">
        <v>115</v>
      </c>
      <c r="D160" s="11" t="s">
        <v>543</v>
      </c>
      <c r="E160" s="10" t="s">
        <v>117</v>
      </c>
      <c r="F160" s="11" t="s">
        <v>504</v>
      </c>
      <c r="G160" s="10" t="s">
        <v>505</v>
      </c>
      <c r="H160" s="10" t="s">
        <v>506</v>
      </c>
      <c r="I160" s="11" t="s">
        <v>121</v>
      </c>
      <c r="J160" s="11" t="s">
        <v>544</v>
      </c>
      <c r="K160" s="12" t="n">
        <f aca="false">ROUND((IF(E160="Transactional",5,IF(E160="Commercial",4,IF(E160="Comparison",3,IF(E160="Informational",2,3))))*LOG10(IF(ISNUMBER(L160),L160,IFERROR(VALUE(LEFT(F160,FIND("-",F160)-1)),100))+1))/IF(IF(ISBLANK(M160),G160,M160)="High",5,IF(IF(ISBLANK(M160),G160,M160)="Medium",3,1)),2)</f>
        <v>6.45</v>
      </c>
      <c r="L160" s="10"/>
      <c r="M160" s="10"/>
      <c r="N160" s="10"/>
      <c r="O160" s="10" t="s">
        <v>123</v>
      </c>
      <c r="P160" s="11" t="s">
        <v>508</v>
      </c>
    </row>
    <row r="161" customFormat="false" ht="25.5" hidden="false" customHeight="true" outlineLevel="0" collapsed="false">
      <c r="A161" s="10" t="n">
        <v>160</v>
      </c>
      <c r="B161" s="10" t="n">
        <v>2</v>
      </c>
      <c r="C161" s="10" t="s">
        <v>125</v>
      </c>
      <c r="D161" s="13" t="s">
        <v>545</v>
      </c>
      <c r="E161" s="10" t="s">
        <v>117</v>
      </c>
      <c r="F161" s="11" t="s">
        <v>504</v>
      </c>
      <c r="G161" s="10" t="s">
        <v>505</v>
      </c>
      <c r="H161" s="10" t="s">
        <v>506</v>
      </c>
      <c r="I161" s="11" t="s">
        <v>121</v>
      </c>
      <c r="J161" s="13" t="s">
        <v>546</v>
      </c>
      <c r="K161" s="12" t="n">
        <f aca="false">ROUND((IF(E161="Transactional",5,IF(E161="Commercial",4,IF(E161="Comparison",3,IF(E161="Informational",2,3))))*LOG10(IF(ISNUMBER(L161),L161,IFERROR(VALUE(LEFT(F161,FIND("-",F161)-1)),100))+1))/IF(IF(ISBLANK(M161),G161,M161)="High",5,IF(IF(ISBLANK(M161),G161,M161)="Medium",3,1)),2)</f>
        <v>6.45</v>
      </c>
      <c r="L161" s="10"/>
      <c r="M161" s="10"/>
      <c r="N161" s="10"/>
      <c r="O161" s="10" t="s">
        <v>123</v>
      </c>
      <c r="P161" s="11"/>
    </row>
    <row r="162" customFormat="false" ht="25.5" hidden="false" customHeight="true" outlineLevel="0" collapsed="false">
      <c r="A162" s="10" t="n">
        <v>161</v>
      </c>
      <c r="B162" s="10" t="n">
        <v>2</v>
      </c>
      <c r="C162" s="10" t="s">
        <v>115</v>
      </c>
      <c r="D162" s="11" t="s">
        <v>547</v>
      </c>
      <c r="E162" s="10" t="s">
        <v>117</v>
      </c>
      <c r="F162" s="11" t="s">
        <v>504</v>
      </c>
      <c r="G162" s="10" t="s">
        <v>505</v>
      </c>
      <c r="H162" s="10" t="s">
        <v>506</v>
      </c>
      <c r="I162" s="11" t="s">
        <v>121</v>
      </c>
      <c r="J162" s="11" t="s">
        <v>548</v>
      </c>
      <c r="K162" s="12" t="n">
        <f aca="false">ROUND((IF(E162="Transactional",5,IF(E162="Commercial",4,IF(E162="Comparison",3,IF(E162="Informational",2,3))))*LOG10(IF(ISNUMBER(L162),L162,IFERROR(VALUE(LEFT(F162,FIND("-",F162)-1)),100))+1))/IF(IF(ISBLANK(M162),G162,M162)="High",5,IF(IF(ISBLANK(M162),G162,M162)="Medium",3,1)),2)</f>
        <v>6.45</v>
      </c>
      <c r="L162" s="10"/>
      <c r="M162" s="10"/>
      <c r="N162" s="10"/>
      <c r="O162" s="10" t="s">
        <v>123</v>
      </c>
      <c r="P162" s="11" t="s">
        <v>508</v>
      </c>
    </row>
    <row r="163" customFormat="false" ht="25.5" hidden="false" customHeight="true" outlineLevel="0" collapsed="false">
      <c r="A163" s="10" t="n">
        <v>162</v>
      </c>
      <c r="B163" s="10" t="n">
        <v>2</v>
      </c>
      <c r="C163" s="10" t="s">
        <v>125</v>
      </c>
      <c r="D163" s="13" t="s">
        <v>549</v>
      </c>
      <c r="E163" s="10" t="s">
        <v>117</v>
      </c>
      <c r="F163" s="11" t="s">
        <v>504</v>
      </c>
      <c r="G163" s="10" t="s">
        <v>505</v>
      </c>
      <c r="H163" s="10" t="s">
        <v>506</v>
      </c>
      <c r="I163" s="11" t="s">
        <v>121</v>
      </c>
      <c r="J163" s="13" t="s">
        <v>550</v>
      </c>
      <c r="K163" s="12" t="n">
        <f aca="false">ROUND((IF(E163="Transactional",5,IF(E163="Commercial",4,IF(E163="Comparison",3,IF(E163="Informational",2,3))))*LOG10(IF(ISNUMBER(L163),L163,IFERROR(VALUE(LEFT(F163,FIND("-",F163)-1)),100))+1))/IF(IF(ISBLANK(M163),G163,M163)="High",5,IF(IF(ISBLANK(M163),G163,M163)="Medium",3,1)),2)</f>
        <v>6.45</v>
      </c>
      <c r="L163" s="10"/>
      <c r="M163" s="10"/>
      <c r="N163" s="10"/>
      <c r="O163" s="10" t="s">
        <v>123</v>
      </c>
      <c r="P163" s="11"/>
    </row>
    <row r="164" customFormat="false" ht="25.5" hidden="false" customHeight="true" outlineLevel="0" collapsed="false">
      <c r="A164" s="10" t="n">
        <v>163</v>
      </c>
      <c r="B164" s="10" t="n">
        <v>2</v>
      </c>
      <c r="C164" s="10" t="s">
        <v>115</v>
      </c>
      <c r="D164" s="11" t="s">
        <v>551</v>
      </c>
      <c r="E164" s="10" t="s">
        <v>117</v>
      </c>
      <c r="F164" s="11" t="s">
        <v>504</v>
      </c>
      <c r="G164" s="10" t="s">
        <v>505</v>
      </c>
      <c r="H164" s="10" t="s">
        <v>506</v>
      </c>
      <c r="I164" s="11" t="s">
        <v>121</v>
      </c>
      <c r="J164" s="11" t="s">
        <v>552</v>
      </c>
      <c r="K164" s="12" t="n">
        <f aca="false">ROUND((IF(E164="Transactional",5,IF(E164="Commercial",4,IF(E164="Comparison",3,IF(E164="Informational",2,3))))*LOG10(IF(ISNUMBER(L164),L164,IFERROR(VALUE(LEFT(F164,FIND("-",F164)-1)),100))+1))/IF(IF(ISBLANK(M164),G164,M164)="High",5,IF(IF(ISBLANK(M164),G164,M164)="Medium",3,1)),2)</f>
        <v>6.45</v>
      </c>
      <c r="L164" s="10"/>
      <c r="M164" s="10"/>
      <c r="N164" s="10"/>
      <c r="O164" s="10" t="s">
        <v>123</v>
      </c>
      <c r="P164" s="11" t="s">
        <v>508</v>
      </c>
    </row>
    <row r="165" customFormat="false" ht="25.5" hidden="false" customHeight="true" outlineLevel="0" collapsed="false">
      <c r="A165" s="10" t="n">
        <v>164</v>
      </c>
      <c r="B165" s="10" t="n">
        <v>2</v>
      </c>
      <c r="C165" s="10" t="s">
        <v>125</v>
      </c>
      <c r="D165" s="13" t="s">
        <v>553</v>
      </c>
      <c r="E165" s="10" t="s">
        <v>117</v>
      </c>
      <c r="F165" s="11" t="s">
        <v>504</v>
      </c>
      <c r="G165" s="10" t="s">
        <v>505</v>
      </c>
      <c r="H165" s="10" t="s">
        <v>506</v>
      </c>
      <c r="I165" s="11" t="s">
        <v>121</v>
      </c>
      <c r="J165" s="13" t="s">
        <v>554</v>
      </c>
      <c r="K165" s="12" t="n">
        <f aca="false">ROUND((IF(E165="Transactional",5,IF(E165="Commercial",4,IF(E165="Comparison",3,IF(E165="Informational",2,3))))*LOG10(IF(ISNUMBER(L165),L165,IFERROR(VALUE(LEFT(F165,FIND("-",F165)-1)),100))+1))/IF(IF(ISBLANK(M165),G165,M165)="High",5,IF(IF(ISBLANK(M165),G165,M165)="Medium",3,1)),2)</f>
        <v>6.45</v>
      </c>
      <c r="L165" s="10"/>
      <c r="M165" s="10"/>
      <c r="N165" s="10"/>
      <c r="O165" s="10" t="s">
        <v>123</v>
      </c>
      <c r="P165" s="11"/>
    </row>
    <row r="166" customFormat="false" ht="25.5" hidden="false" customHeight="true" outlineLevel="0" collapsed="false">
      <c r="A166" s="10" t="n">
        <v>165</v>
      </c>
      <c r="B166" s="10" t="n">
        <v>2</v>
      </c>
      <c r="C166" s="10" t="s">
        <v>115</v>
      </c>
      <c r="D166" s="11" t="s">
        <v>555</v>
      </c>
      <c r="E166" s="10" t="s">
        <v>117</v>
      </c>
      <c r="F166" s="11" t="s">
        <v>504</v>
      </c>
      <c r="G166" s="10" t="s">
        <v>505</v>
      </c>
      <c r="H166" s="10" t="s">
        <v>506</v>
      </c>
      <c r="I166" s="11" t="s">
        <v>121</v>
      </c>
      <c r="J166" s="11" t="s">
        <v>556</v>
      </c>
      <c r="K166" s="12" t="n">
        <f aca="false">ROUND((IF(E166="Transactional",5,IF(E166="Commercial",4,IF(E166="Comparison",3,IF(E166="Informational",2,3))))*LOG10(IF(ISNUMBER(L166),L166,IFERROR(VALUE(LEFT(F166,FIND("-",F166)-1)),100))+1))/IF(IF(ISBLANK(M166),G166,M166)="High",5,IF(IF(ISBLANK(M166),G166,M166)="Medium",3,1)),2)</f>
        <v>6.45</v>
      </c>
      <c r="L166" s="10"/>
      <c r="M166" s="10"/>
      <c r="N166" s="10"/>
      <c r="O166" s="10" t="s">
        <v>123</v>
      </c>
      <c r="P166" s="11" t="s">
        <v>508</v>
      </c>
    </row>
    <row r="167" customFormat="false" ht="25.5" hidden="false" customHeight="true" outlineLevel="0" collapsed="false">
      <c r="A167" s="10" t="n">
        <v>166</v>
      </c>
      <c r="B167" s="10" t="n">
        <v>2</v>
      </c>
      <c r="C167" s="10" t="s">
        <v>125</v>
      </c>
      <c r="D167" s="13" t="s">
        <v>557</v>
      </c>
      <c r="E167" s="10" t="s">
        <v>117</v>
      </c>
      <c r="F167" s="11" t="s">
        <v>504</v>
      </c>
      <c r="G167" s="10" t="s">
        <v>505</v>
      </c>
      <c r="H167" s="10" t="s">
        <v>506</v>
      </c>
      <c r="I167" s="11" t="s">
        <v>121</v>
      </c>
      <c r="J167" s="13" t="s">
        <v>558</v>
      </c>
      <c r="K167" s="12" t="n">
        <f aca="false">ROUND((IF(E167="Transactional",5,IF(E167="Commercial",4,IF(E167="Comparison",3,IF(E167="Informational",2,3))))*LOG10(IF(ISNUMBER(L167),L167,IFERROR(VALUE(LEFT(F167,FIND("-",F167)-1)),100))+1))/IF(IF(ISBLANK(M167),G167,M167)="High",5,IF(IF(ISBLANK(M167),G167,M167)="Medium",3,1)),2)</f>
        <v>6.45</v>
      </c>
      <c r="L167" s="10"/>
      <c r="M167" s="10"/>
      <c r="N167" s="10"/>
      <c r="O167" s="10" t="s">
        <v>123</v>
      </c>
      <c r="P167" s="11"/>
    </row>
    <row r="168" customFormat="false" ht="25.5" hidden="false" customHeight="true" outlineLevel="0" collapsed="false">
      <c r="A168" s="10" t="n">
        <v>167</v>
      </c>
      <c r="B168" s="10" t="n">
        <v>2</v>
      </c>
      <c r="C168" s="10" t="s">
        <v>115</v>
      </c>
      <c r="D168" s="11" t="s">
        <v>559</v>
      </c>
      <c r="E168" s="10" t="s">
        <v>117</v>
      </c>
      <c r="F168" s="11" t="s">
        <v>504</v>
      </c>
      <c r="G168" s="10" t="s">
        <v>505</v>
      </c>
      <c r="H168" s="10" t="s">
        <v>506</v>
      </c>
      <c r="I168" s="11" t="s">
        <v>121</v>
      </c>
      <c r="J168" s="11" t="s">
        <v>560</v>
      </c>
      <c r="K168" s="12" t="n">
        <f aca="false">ROUND((IF(E168="Transactional",5,IF(E168="Commercial",4,IF(E168="Comparison",3,IF(E168="Informational",2,3))))*LOG10(IF(ISNUMBER(L168),L168,IFERROR(VALUE(LEFT(F168,FIND("-",F168)-1)),100))+1))/IF(IF(ISBLANK(M168),G168,M168)="High",5,IF(IF(ISBLANK(M168),G168,M168)="Medium",3,1)),2)</f>
        <v>6.45</v>
      </c>
      <c r="L168" s="10"/>
      <c r="M168" s="10"/>
      <c r="N168" s="10"/>
      <c r="O168" s="10" t="s">
        <v>123</v>
      </c>
      <c r="P168" s="11" t="s">
        <v>508</v>
      </c>
    </row>
    <row r="169" customFormat="false" ht="25.5" hidden="false" customHeight="true" outlineLevel="0" collapsed="false">
      <c r="A169" s="10" t="n">
        <v>168</v>
      </c>
      <c r="B169" s="10" t="n">
        <v>2</v>
      </c>
      <c r="C169" s="10" t="s">
        <v>125</v>
      </c>
      <c r="D169" s="13" t="s">
        <v>561</v>
      </c>
      <c r="E169" s="10" t="s">
        <v>117</v>
      </c>
      <c r="F169" s="11" t="s">
        <v>504</v>
      </c>
      <c r="G169" s="10" t="s">
        <v>505</v>
      </c>
      <c r="H169" s="10" t="s">
        <v>506</v>
      </c>
      <c r="I169" s="11" t="s">
        <v>121</v>
      </c>
      <c r="J169" s="13" t="s">
        <v>562</v>
      </c>
      <c r="K169" s="12" t="n">
        <f aca="false">ROUND((IF(E169="Transactional",5,IF(E169="Commercial",4,IF(E169="Comparison",3,IF(E169="Informational",2,3))))*LOG10(IF(ISNUMBER(L169),L169,IFERROR(VALUE(LEFT(F169,FIND("-",F169)-1)),100))+1))/IF(IF(ISBLANK(M169),G169,M169)="High",5,IF(IF(ISBLANK(M169),G169,M169)="Medium",3,1)),2)</f>
        <v>6.45</v>
      </c>
      <c r="L169" s="10"/>
      <c r="M169" s="10"/>
      <c r="N169" s="10"/>
      <c r="O169" s="10" t="s">
        <v>123</v>
      </c>
      <c r="P169" s="11"/>
    </row>
    <row r="170" customFormat="false" ht="25.5" hidden="false" customHeight="true" outlineLevel="0" collapsed="false">
      <c r="A170" s="10" t="n">
        <v>169</v>
      </c>
      <c r="B170" s="10" t="n">
        <v>2</v>
      </c>
      <c r="C170" s="10" t="s">
        <v>115</v>
      </c>
      <c r="D170" s="11" t="s">
        <v>563</v>
      </c>
      <c r="E170" s="10" t="s">
        <v>117</v>
      </c>
      <c r="F170" s="11" t="s">
        <v>504</v>
      </c>
      <c r="G170" s="10" t="s">
        <v>505</v>
      </c>
      <c r="H170" s="10" t="s">
        <v>506</v>
      </c>
      <c r="I170" s="11" t="s">
        <v>121</v>
      </c>
      <c r="J170" s="11" t="s">
        <v>564</v>
      </c>
      <c r="K170" s="12" t="n">
        <f aca="false">ROUND((IF(E170="Transactional",5,IF(E170="Commercial",4,IF(E170="Comparison",3,IF(E170="Informational",2,3))))*LOG10(IF(ISNUMBER(L170),L170,IFERROR(VALUE(LEFT(F170,FIND("-",F170)-1)),100))+1))/IF(IF(ISBLANK(M170),G170,M170)="High",5,IF(IF(ISBLANK(M170),G170,M170)="Medium",3,1)),2)</f>
        <v>6.45</v>
      </c>
      <c r="L170" s="10"/>
      <c r="M170" s="10"/>
      <c r="N170" s="10"/>
      <c r="O170" s="10" t="s">
        <v>123</v>
      </c>
      <c r="P170" s="11" t="s">
        <v>508</v>
      </c>
    </row>
    <row r="171" customFormat="false" ht="25.5" hidden="false" customHeight="true" outlineLevel="0" collapsed="false">
      <c r="A171" s="10" t="n">
        <v>170</v>
      </c>
      <c r="B171" s="10" t="n">
        <v>2</v>
      </c>
      <c r="C171" s="10" t="s">
        <v>125</v>
      </c>
      <c r="D171" s="13" t="s">
        <v>565</v>
      </c>
      <c r="E171" s="10" t="s">
        <v>117</v>
      </c>
      <c r="F171" s="11" t="s">
        <v>504</v>
      </c>
      <c r="G171" s="10" t="s">
        <v>505</v>
      </c>
      <c r="H171" s="10" t="s">
        <v>506</v>
      </c>
      <c r="I171" s="11" t="s">
        <v>121</v>
      </c>
      <c r="J171" s="13" t="s">
        <v>566</v>
      </c>
      <c r="K171" s="12" t="n">
        <f aca="false">ROUND((IF(E171="Transactional",5,IF(E171="Commercial",4,IF(E171="Comparison",3,IF(E171="Informational",2,3))))*LOG10(IF(ISNUMBER(L171),L171,IFERROR(VALUE(LEFT(F171,FIND("-",F171)-1)),100))+1))/IF(IF(ISBLANK(M171),G171,M171)="High",5,IF(IF(ISBLANK(M171),G171,M171)="Medium",3,1)),2)</f>
        <v>6.45</v>
      </c>
      <c r="L171" s="10"/>
      <c r="M171" s="10"/>
      <c r="N171" s="10"/>
      <c r="O171" s="10" t="s">
        <v>123</v>
      </c>
      <c r="P171" s="11"/>
    </row>
    <row r="172" customFormat="false" ht="25.5" hidden="false" customHeight="true" outlineLevel="0" collapsed="false">
      <c r="A172" s="10" t="n">
        <v>171</v>
      </c>
      <c r="B172" s="10" t="n">
        <v>2</v>
      </c>
      <c r="C172" s="10" t="s">
        <v>115</v>
      </c>
      <c r="D172" s="11" t="s">
        <v>567</v>
      </c>
      <c r="E172" s="10" t="s">
        <v>117</v>
      </c>
      <c r="F172" s="11" t="s">
        <v>504</v>
      </c>
      <c r="G172" s="10" t="s">
        <v>505</v>
      </c>
      <c r="H172" s="10" t="s">
        <v>506</v>
      </c>
      <c r="I172" s="11" t="s">
        <v>121</v>
      </c>
      <c r="J172" s="11" t="s">
        <v>568</v>
      </c>
      <c r="K172" s="12" t="n">
        <f aca="false">ROUND((IF(E172="Transactional",5,IF(E172="Commercial",4,IF(E172="Comparison",3,IF(E172="Informational",2,3))))*LOG10(IF(ISNUMBER(L172),L172,IFERROR(VALUE(LEFT(F172,FIND("-",F172)-1)),100))+1))/IF(IF(ISBLANK(M172),G172,M172)="High",5,IF(IF(ISBLANK(M172),G172,M172)="Medium",3,1)),2)</f>
        <v>6.45</v>
      </c>
      <c r="L172" s="10"/>
      <c r="M172" s="10"/>
      <c r="N172" s="10"/>
      <c r="O172" s="10" t="s">
        <v>123</v>
      </c>
      <c r="P172" s="11" t="s">
        <v>508</v>
      </c>
    </row>
    <row r="173" customFormat="false" ht="25.5" hidden="false" customHeight="true" outlineLevel="0" collapsed="false">
      <c r="A173" s="10" t="n">
        <v>172</v>
      </c>
      <c r="B173" s="10" t="n">
        <v>2</v>
      </c>
      <c r="C173" s="10" t="s">
        <v>125</v>
      </c>
      <c r="D173" s="13" t="s">
        <v>569</v>
      </c>
      <c r="E173" s="10" t="s">
        <v>117</v>
      </c>
      <c r="F173" s="11" t="s">
        <v>504</v>
      </c>
      <c r="G173" s="10" t="s">
        <v>505</v>
      </c>
      <c r="H173" s="10" t="s">
        <v>506</v>
      </c>
      <c r="I173" s="11" t="s">
        <v>121</v>
      </c>
      <c r="J173" s="13" t="s">
        <v>570</v>
      </c>
      <c r="K173" s="12" t="n">
        <f aca="false">ROUND((IF(E173="Transactional",5,IF(E173="Commercial",4,IF(E173="Comparison",3,IF(E173="Informational",2,3))))*LOG10(IF(ISNUMBER(L173),L173,IFERROR(VALUE(LEFT(F173,FIND("-",F173)-1)),100))+1))/IF(IF(ISBLANK(M173),G173,M173)="High",5,IF(IF(ISBLANK(M173),G173,M173)="Medium",3,1)),2)</f>
        <v>6.45</v>
      </c>
      <c r="L173" s="10"/>
      <c r="M173" s="10"/>
      <c r="N173" s="10"/>
      <c r="O173" s="10" t="s">
        <v>123</v>
      </c>
      <c r="P173" s="11"/>
    </row>
    <row r="174" customFormat="false" ht="25.5" hidden="false" customHeight="true" outlineLevel="0" collapsed="false">
      <c r="A174" s="10" t="n">
        <v>173</v>
      </c>
      <c r="B174" s="10" t="n">
        <v>2</v>
      </c>
      <c r="C174" s="10" t="s">
        <v>115</v>
      </c>
      <c r="D174" s="11" t="s">
        <v>571</v>
      </c>
      <c r="E174" s="10" t="s">
        <v>117</v>
      </c>
      <c r="F174" s="11" t="s">
        <v>572</v>
      </c>
      <c r="G174" s="10" t="s">
        <v>505</v>
      </c>
      <c r="H174" s="10" t="s">
        <v>506</v>
      </c>
      <c r="I174" s="11" t="s">
        <v>121</v>
      </c>
      <c r="J174" s="11" t="s">
        <v>573</v>
      </c>
      <c r="K174" s="12" t="n">
        <f aca="false">ROUND((IF(E174="Transactional",5,IF(E174="Commercial",4,IF(E174="Comparison",3,IF(E174="Informational",2,3))))*LOG10(IF(ISNUMBER(L174),L174,IFERROR(VALUE(LEFT(F174,FIND("-",F174)-1)),100))+1))/IF(IF(ISBLANK(M174),G174,M174)="High",5,IF(IF(ISBLANK(M174),G174,M174)="Medium",3,1)),2)</f>
        <v>5.97</v>
      </c>
      <c r="L174" s="10"/>
      <c r="M174" s="10"/>
      <c r="N174" s="10"/>
      <c r="O174" s="10" t="s">
        <v>123</v>
      </c>
      <c r="P174" s="11" t="s">
        <v>508</v>
      </c>
    </row>
    <row r="175" customFormat="false" ht="25.5" hidden="false" customHeight="true" outlineLevel="0" collapsed="false">
      <c r="A175" s="10" t="n">
        <v>174</v>
      </c>
      <c r="B175" s="10" t="n">
        <v>2</v>
      </c>
      <c r="C175" s="10" t="s">
        <v>125</v>
      </c>
      <c r="D175" s="13" t="s">
        <v>574</v>
      </c>
      <c r="E175" s="10" t="s">
        <v>117</v>
      </c>
      <c r="F175" s="11" t="s">
        <v>572</v>
      </c>
      <c r="G175" s="10" t="s">
        <v>505</v>
      </c>
      <c r="H175" s="10" t="s">
        <v>506</v>
      </c>
      <c r="I175" s="11" t="s">
        <v>121</v>
      </c>
      <c r="J175" s="13" t="s">
        <v>575</v>
      </c>
      <c r="K175" s="12" t="n">
        <f aca="false">ROUND((IF(E175="Transactional",5,IF(E175="Commercial",4,IF(E175="Comparison",3,IF(E175="Informational",2,3))))*LOG10(IF(ISNUMBER(L175),L175,IFERROR(VALUE(LEFT(F175,FIND("-",F175)-1)),100))+1))/IF(IF(ISBLANK(M175),G175,M175)="High",5,IF(IF(ISBLANK(M175),G175,M175)="Medium",3,1)),2)</f>
        <v>5.97</v>
      </c>
      <c r="L175" s="10"/>
      <c r="M175" s="10"/>
      <c r="N175" s="10"/>
      <c r="O175" s="10" t="s">
        <v>123</v>
      </c>
      <c r="P175" s="11"/>
    </row>
    <row r="176" customFormat="false" ht="25.5" hidden="false" customHeight="true" outlineLevel="0" collapsed="false">
      <c r="A176" s="10" t="n">
        <v>175</v>
      </c>
      <c r="B176" s="10" t="n">
        <v>2</v>
      </c>
      <c r="C176" s="10" t="s">
        <v>115</v>
      </c>
      <c r="D176" s="11" t="s">
        <v>576</v>
      </c>
      <c r="E176" s="10" t="s">
        <v>117</v>
      </c>
      <c r="F176" s="11" t="s">
        <v>572</v>
      </c>
      <c r="G176" s="10" t="s">
        <v>505</v>
      </c>
      <c r="H176" s="10" t="s">
        <v>506</v>
      </c>
      <c r="I176" s="11" t="s">
        <v>121</v>
      </c>
      <c r="J176" s="11" t="s">
        <v>577</v>
      </c>
      <c r="K176" s="12" t="n">
        <f aca="false">ROUND((IF(E176="Transactional",5,IF(E176="Commercial",4,IF(E176="Comparison",3,IF(E176="Informational",2,3))))*LOG10(IF(ISNUMBER(L176),L176,IFERROR(VALUE(LEFT(F176,FIND("-",F176)-1)),100))+1))/IF(IF(ISBLANK(M176),G176,M176)="High",5,IF(IF(ISBLANK(M176),G176,M176)="Medium",3,1)),2)</f>
        <v>5.97</v>
      </c>
      <c r="L176" s="10"/>
      <c r="M176" s="10"/>
      <c r="N176" s="10"/>
      <c r="O176" s="10" t="s">
        <v>123</v>
      </c>
      <c r="P176" s="11" t="s">
        <v>508</v>
      </c>
    </row>
    <row r="177" customFormat="false" ht="25.5" hidden="false" customHeight="true" outlineLevel="0" collapsed="false">
      <c r="A177" s="10" t="n">
        <v>176</v>
      </c>
      <c r="B177" s="10" t="n">
        <v>2</v>
      </c>
      <c r="C177" s="10" t="s">
        <v>125</v>
      </c>
      <c r="D177" s="13" t="s">
        <v>578</v>
      </c>
      <c r="E177" s="10" t="s">
        <v>117</v>
      </c>
      <c r="F177" s="11" t="s">
        <v>572</v>
      </c>
      <c r="G177" s="10" t="s">
        <v>505</v>
      </c>
      <c r="H177" s="10" t="s">
        <v>506</v>
      </c>
      <c r="I177" s="11" t="s">
        <v>121</v>
      </c>
      <c r="J177" s="13" t="s">
        <v>579</v>
      </c>
      <c r="K177" s="12" t="n">
        <f aca="false">ROUND((IF(E177="Transactional",5,IF(E177="Commercial",4,IF(E177="Comparison",3,IF(E177="Informational",2,3))))*LOG10(IF(ISNUMBER(L177),L177,IFERROR(VALUE(LEFT(F177,FIND("-",F177)-1)),100))+1))/IF(IF(ISBLANK(M177),G177,M177)="High",5,IF(IF(ISBLANK(M177),G177,M177)="Medium",3,1)),2)</f>
        <v>5.97</v>
      </c>
      <c r="L177" s="10"/>
      <c r="M177" s="10"/>
      <c r="N177" s="10"/>
      <c r="O177" s="10" t="s">
        <v>123</v>
      </c>
      <c r="P177" s="11"/>
    </row>
    <row r="178" customFormat="false" ht="25.5" hidden="false" customHeight="true" outlineLevel="0" collapsed="false">
      <c r="A178" s="10" t="n">
        <v>177</v>
      </c>
      <c r="B178" s="10" t="n">
        <v>2</v>
      </c>
      <c r="C178" s="10" t="s">
        <v>115</v>
      </c>
      <c r="D178" s="11" t="s">
        <v>580</v>
      </c>
      <c r="E178" s="10" t="s">
        <v>117</v>
      </c>
      <c r="F178" s="11" t="s">
        <v>572</v>
      </c>
      <c r="G178" s="10" t="s">
        <v>505</v>
      </c>
      <c r="H178" s="10" t="s">
        <v>506</v>
      </c>
      <c r="I178" s="11" t="s">
        <v>121</v>
      </c>
      <c r="J178" s="11" t="s">
        <v>581</v>
      </c>
      <c r="K178" s="12" t="n">
        <f aca="false">ROUND((IF(E178="Transactional",5,IF(E178="Commercial",4,IF(E178="Comparison",3,IF(E178="Informational",2,3))))*LOG10(IF(ISNUMBER(L178),L178,IFERROR(VALUE(LEFT(F178,FIND("-",F178)-1)),100))+1))/IF(IF(ISBLANK(M178),G178,M178)="High",5,IF(IF(ISBLANK(M178),G178,M178)="Medium",3,1)),2)</f>
        <v>5.97</v>
      </c>
      <c r="L178" s="10"/>
      <c r="M178" s="10"/>
      <c r="N178" s="10"/>
      <c r="O178" s="10" t="s">
        <v>123</v>
      </c>
      <c r="P178" s="11" t="s">
        <v>508</v>
      </c>
    </row>
    <row r="179" customFormat="false" ht="25.5" hidden="false" customHeight="true" outlineLevel="0" collapsed="false">
      <c r="A179" s="10" t="n">
        <v>178</v>
      </c>
      <c r="B179" s="10" t="n">
        <v>2</v>
      </c>
      <c r="C179" s="10" t="s">
        <v>125</v>
      </c>
      <c r="D179" s="13" t="s">
        <v>582</v>
      </c>
      <c r="E179" s="10" t="s">
        <v>117</v>
      </c>
      <c r="F179" s="11" t="s">
        <v>572</v>
      </c>
      <c r="G179" s="10" t="s">
        <v>505</v>
      </c>
      <c r="H179" s="10" t="s">
        <v>506</v>
      </c>
      <c r="I179" s="11" t="s">
        <v>121</v>
      </c>
      <c r="J179" s="13" t="s">
        <v>583</v>
      </c>
      <c r="K179" s="12" t="n">
        <f aca="false">ROUND((IF(E179="Transactional",5,IF(E179="Commercial",4,IF(E179="Comparison",3,IF(E179="Informational",2,3))))*LOG10(IF(ISNUMBER(L179),L179,IFERROR(VALUE(LEFT(F179,FIND("-",F179)-1)),100))+1))/IF(IF(ISBLANK(M179),G179,M179)="High",5,IF(IF(ISBLANK(M179),G179,M179)="Medium",3,1)),2)</f>
        <v>5.97</v>
      </c>
      <c r="L179" s="10"/>
      <c r="M179" s="10"/>
      <c r="N179" s="10"/>
      <c r="O179" s="10" t="s">
        <v>123</v>
      </c>
      <c r="P179" s="11"/>
    </row>
    <row r="180" customFormat="false" ht="25.5" hidden="false" customHeight="true" outlineLevel="0" collapsed="false">
      <c r="A180" s="10" t="n">
        <v>179</v>
      </c>
      <c r="B180" s="10" t="n">
        <v>2</v>
      </c>
      <c r="C180" s="10" t="s">
        <v>115</v>
      </c>
      <c r="D180" s="11" t="s">
        <v>584</v>
      </c>
      <c r="E180" s="10" t="s">
        <v>117</v>
      </c>
      <c r="F180" s="11" t="s">
        <v>572</v>
      </c>
      <c r="G180" s="10" t="s">
        <v>505</v>
      </c>
      <c r="H180" s="10" t="s">
        <v>506</v>
      </c>
      <c r="I180" s="11" t="s">
        <v>121</v>
      </c>
      <c r="J180" s="11" t="s">
        <v>585</v>
      </c>
      <c r="K180" s="12" t="n">
        <f aca="false">ROUND((IF(E180="Transactional",5,IF(E180="Commercial",4,IF(E180="Comparison",3,IF(E180="Informational",2,3))))*LOG10(IF(ISNUMBER(L180),L180,IFERROR(VALUE(LEFT(F180,FIND("-",F180)-1)),100))+1))/IF(IF(ISBLANK(M180),G180,M180)="High",5,IF(IF(ISBLANK(M180),G180,M180)="Medium",3,1)),2)</f>
        <v>5.97</v>
      </c>
      <c r="L180" s="10"/>
      <c r="M180" s="10"/>
      <c r="N180" s="10"/>
      <c r="O180" s="10" t="s">
        <v>123</v>
      </c>
      <c r="P180" s="11" t="s">
        <v>508</v>
      </c>
    </row>
    <row r="181" customFormat="false" ht="25.5" hidden="false" customHeight="true" outlineLevel="0" collapsed="false">
      <c r="A181" s="10" t="n">
        <v>180</v>
      </c>
      <c r="B181" s="10" t="n">
        <v>2</v>
      </c>
      <c r="C181" s="10" t="s">
        <v>125</v>
      </c>
      <c r="D181" s="13" t="s">
        <v>586</v>
      </c>
      <c r="E181" s="10" t="s">
        <v>117</v>
      </c>
      <c r="F181" s="11" t="s">
        <v>572</v>
      </c>
      <c r="G181" s="10" t="s">
        <v>505</v>
      </c>
      <c r="H181" s="10" t="s">
        <v>506</v>
      </c>
      <c r="I181" s="11" t="s">
        <v>121</v>
      </c>
      <c r="J181" s="13" t="s">
        <v>587</v>
      </c>
      <c r="K181" s="12" t="n">
        <f aca="false">ROUND((IF(E181="Transactional",5,IF(E181="Commercial",4,IF(E181="Comparison",3,IF(E181="Informational",2,3))))*LOG10(IF(ISNUMBER(L181),L181,IFERROR(VALUE(LEFT(F181,FIND("-",F181)-1)),100))+1))/IF(IF(ISBLANK(M181),G181,M181)="High",5,IF(IF(ISBLANK(M181),G181,M181)="Medium",3,1)),2)</f>
        <v>5.97</v>
      </c>
      <c r="L181" s="10"/>
      <c r="M181" s="10"/>
      <c r="N181" s="10"/>
      <c r="O181" s="10" t="s">
        <v>123</v>
      </c>
      <c r="P181" s="11"/>
    </row>
    <row r="182" customFormat="false" ht="25.5" hidden="false" customHeight="true" outlineLevel="0" collapsed="false">
      <c r="A182" s="10" t="n">
        <v>181</v>
      </c>
      <c r="B182" s="10" t="n">
        <v>2</v>
      </c>
      <c r="C182" s="10" t="s">
        <v>115</v>
      </c>
      <c r="D182" s="11" t="s">
        <v>588</v>
      </c>
      <c r="E182" s="10" t="s">
        <v>117</v>
      </c>
      <c r="F182" s="11" t="s">
        <v>572</v>
      </c>
      <c r="G182" s="10" t="s">
        <v>505</v>
      </c>
      <c r="H182" s="10" t="s">
        <v>506</v>
      </c>
      <c r="I182" s="11" t="s">
        <v>121</v>
      </c>
      <c r="J182" s="11" t="s">
        <v>589</v>
      </c>
      <c r="K182" s="12" t="n">
        <f aca="false">ROUND((IF(E182="Transactional",5,IF(E182="Commercial",4,IF(E182="Comparison",3,IF(E182="Informational",2,3))))*LOG10(IF(ISNUMBER(L182),L182,IFERROR(VALUE(LEFT(F182,FIND("-",F182)-1)),100))+1))/IF(IF(ISBLANK(M182),G182,M182)="High",5,IF(IF(ISBLANK(M182),G182,M182)="Medium",3,1)),2)</f>
        <v>5.97</v>
      </c>
      <c r="L182" s="10"/>
      <c r="M182" s="10"/>
      <c r="N182" s="10"/>
      <c r="O182" s="10" t="s">
        <v>123</v>
      </c>
      <c r="P182" s="11" t="s">
        <v>508</v>
      </c>
    </row>
    <row r="183" customFormat="false" ht="25.5" hidden="false" customHeight="true" outlineLevel="0" collapsed="false">
      <c r="A183" s="10" t="n">
        <v>182</v>
      </c>
      <c r="B183" s="10" t="n">
        <v>2</v>
      </c>
      <c r="C183" s="10" t="s">
        <v>125</v>
      </c>
      <c r="D183" s="13" t="s">
        <v>590</v>
      </c>
      <c r="E183" s="10" t="s">
        <v>117</v>
      </c>
      <c r="F183" s="11" t="s">
        <v>572</v>
      </c>
      <c r="G183" s="10" t="s">
        <v>505</v>
      </c>
      <c r="H183" s="10" t="s">
        <v>506</v>
      </c>
      <c r="I183" s="11" t="s">
        <v>121</v>
      </c>
      <c r="J183" s="13" t="s">
        <v>591</v>
      </c>
      <c r="K183" s="12" t="n">
        <f aca="false">ROUND((IF(E183="Transactional",5,IF(E183="Commercial",4,IF(E183="Comparison",3,IF(E183="Informational",2,3))))*LOG10(IF(ISNUMBER(L183),L183,IFERROR(VALUE(LEFT(F183,FIND("-",F183)-1)),100))+1))/IF(IF(ISBLANK(M183),G183,M183)="High",5,IF(IF(ISBLANK(M183),G183,M183)="Medium",3,1)),2)</f>
        <v>5.97</v>
      </c>
      <c r="L183" s="10"/>
      <c r="M183" s="10"/>
      <c r="N183" s="10"/>
      <c r="O183" s="10" t="s">
        <v>123</v>
      </c>
      <c r="P183" s="11"/>
    </row>
    <row r="184" customFormat="false" ht="25.5" hidden="false" customHeight="true" outlineLevel="0" collapsed="false">
      <c r="A184" s="10" t="n">
        <v>183</v>
      </c>
      <c r="B184" s="10" t="n">
        <v>2</v>
      </c>
      <c r="C184" s="10" t="s">
        <v>115</v>
      </c>
      <c r="D184" s="11" t="s">
        <v>592</v>
      </c>
      <c r="E184" s="10" t="s">
        <v>117</v>
      </c>
      <c r="F184" s="11" t="s">
        <v>572</v>
      </c>
      <c r="G184" s="10" t="s">
        <v>505</v>
      </c>
      <c r="H184" s="10" t="s">
        <v>506</v>
      </c>
      <c r="I184" s="11" t="s">
        <v>121</v>
      </c>
      <c r="J184" s="11" t="s">
        <v>593</v>
      </c>
      <c r="K184" s="12" t="n">
        <f aca="false">ROUND((IF(E184="Transactional",5,IF(E184="Commercial",4,IF(E184="Comparison",3,IF(E184="Informational",2,3))))*LOG10(IF(ISNUMBER(L184),L184,IFERROR(VALUE(LEFT(F184,FIND("-",F184)-1)),100))+1))/IF(IF(ISBLANK(M184),G184,M184)="High",5,IF(IF(ISBLANK(M184),G184,M184)="Medium",3,1)),2)</f>
        <v>5.97</v>
      </c>
      <c r="L184" s="10"/>
      <c r="M184" s="10"/>
      <c r="N184" s="10"/>
      <c r="O184" s="10" t="s">
        <v>123</v>
      </c>
      <c r="P184" s="11" t="s">
        <v>508</v>
      </c>
    </row>
    <row r="185" customFormat="false" ht="25.5" hidden="false" customHeight="true" outlineLevel="0" collapsed="false">
      <c r="A185" s="10" t="n">
        <v>184</v>
      </c>
      <c r="B185" s="10" t="n">
        <v>2</v>
      </c>
      <c r="C185" s="10" t="s">
        <v>125</v>
      </c>
      <c r="D185" s="13" t="s">
        <v>594</v>
      </c>
      <c r="E185" s="10" t="s">
        <v>117</v>
      </c>
      <c r="F185" s="11" t="s">
        <v>572</v>
      </c>
      <c r="G185" s="10" t="s">
        <v>505</v>
      </c>
      <c r="H185" s="10" t="s">
        <v>506</v>
      </c>
      <c r="I185" s="11" t="s">
        <v>121</v>
      </c>
      <c r="J185" s="13" t="s">
        <v>595</v>
      </c>
      <c r="K185" s="12" t="n">
        <f aca="false">ROUND((IF(E185="Transactional",5,IF(E185="Commercial",4,IF(E185="Comparison",3,IF(E185="Informational",2,3))))*LOG10(IF(ISNUMBER(L185),L185,IFERROR(VALUE(LEFT(F185,FIND("-",F185)-1)),100))+1))/IF(IF(ISBLANK(M185),G185,M185)="High",5,IF(IF(ISBLANK(M185),G185,M185)="Medium",3,1)),2)</f>
        <v>5.97</v>
      </c>
      <c r="L185" s="10"/>
      <c r="M185" s="10"/>
      <c r="N185" s="10"/>
      <c r="O185" s="10" t="s">
        <v>123</v>
      </c>
      <c r="P185" s="11"/>
    </row>
    <row r="186" customFormat="false" ht="25.5" hidden="false" customHeight="true" outlineLevel="0" collapsed="false">
      <c r="A186" s="10" t="n">
        <v>185</v>
      </c>
      <c r="B186" s="10" t="n">
        <v>2</v>
      </c>
      <c r="C186" s="10" t="s">
        <v>115</v>
      </c>
      <c r="D186" s="11" t="s">
        <v>596</v>
      </c>
      <c r="E186" s="10" t="s">
        <v>117</v>
      </c>
      <c r="F186" s="11" t="s">
        <v>572</v>
      </c>
      <c r="G186" s="10" t="s">
        <v>505</v>
      </c>
      <c r="H186" s="10" t="s">
        <v>506</v>
      </c>
      <c r="I186" s="11" t="s">
        <v>121</v>
      </c>
      <c r="J186" s="11" t="s">
        <v>597</v>
      </c>
      <c r="K186" s="12" t="n">
        <f aca="false">ROUND((IF(E186="Transactional",5,IF(E186="Commercial",4,IF(E186="Comparison",3,IF(E186="Informational",2,3))))*LOG10(IF(ISNUMBER(L186),L186,IFERROR(VALUE(LEFT(F186,FIND("-",F186)-1)),100))+1))/IF(IF(ISBLANK(M186),G186,M186)="High",5,IF(IF(ISBLANK(M186),G186,M186)="Medium",3,1)),2)</f>
        <v>5.97</v>
      </c>
      <c r="L186" s="10"/>
      <c r="M186" s="10"/>
      <c r="N186" s="10"/>
      <c r="O186" s="10" t="s">
        <v>123</v>
      </c>
      <c r="P186" s="11" t="s">
        <v>508</v>
      </c>
    </row>
    <row r="187" customFormat="false" ht="25.5" hidden="false" customHeight="true" outlineLevel="0" collapsed="false">
      <c r="A187" s="10" t="n">
        <v>186</v>
      </c>
      <c r="B187" s="10" t="n">
        <v>2</v>
      </c>
      <c r="C187" s="10" t="s">
        <v>125</v>
      </c>
      <c r="D187" s="13" t="s">
        <v>598</v>
      </c>
      <c r="E187" s="10" t="s">
        <v>117</v>
      </c>
      <c r="F187" s="11" t="s">
        <v>572</v>
      </c>
      <c r="G187" s="10" t="s">
        <v>505</v>
      </c>
      <c r="H187" s="10" t="s">
        <v>506</v>
      </c>
      <c r="I187" s="11" t="s">
        <v>121</v>
      </c>
      <c r="J187" s="13" t="s">
        <v>599</v>
      </c>
      <c r="K187" s="12" t="n">
        <f aca="false">ROUND((IF(E187="Transactional",5,IF(E187="Commercial",4,IF(E187="Comparison",3,IF(E187="Informational",2,3))))*LOG10(IF(ISNUMBER(L187),L187,IFERROR(VALUE(LEFT(F187,FIND("-",F187)-1)),100))+1))/IF(IF(ISBLANK(M187),G187,M187)="High",5,IF(IF(ISBLANK(M187),G187,M187)="Medium",3,1)),2)</f>
        <v>5.97</v>
      </c>
      <c r="L187" s="10"/>
      <c r="M187" s="10"/>
      <c r="N187" s="10"/>
      <c r="O187" s="10" t="s">
        <v>123</v>
      </c>
      <c r="P187" s="11"/>
    </row>
    <row r="188" customFormat="false" ht="25.5" hidden="false" customHeight="true" outlineLevel="0" collapsed="false">
      <c r="A188" s="10" t="n">
        <v>187</v>
      </c>
      <c r="B188" s="10" t="n">
        <v>2</v>
      </c>
      <c r="C188" s="10" t="s">
        <v>115</v>
      </c>
      <c r="D188" s="11" t="s">
        <v>600</v>
      </c>
      <c r="E188" s="10" t="s">
        <v>117</v>
      </c>
      <c r="F188" s="11" t="s">
        <v>572</v>
      </c>
      <c r="G188" s="10" t="s">
        <v>505</v>
      </c>
      <c r="H188" s="10" t="s">
        <v>506</v>
      </c>
      <c r="I188" s="11" t="s">
        <v>121</v>
      </c>
      <c r="J188" s="11" t="s">
        <v>601</v>
      </c>
      <c r="K188" s="12" t="n">
        <f aca="false">ROUND((IF(E188="Transactional",5,IF(E188="Commercial",4,IF(E188="Comparison",3,IF(E188="Informational",2,3))))*LOG10(IF(ISNUMBER(L188),L188,IFERROR(VALUE(LEFT(F188,FIND("-",F188)-1)),100))+1))/IF(IF(ISBLANK(M188),G188,M188)="High",5,IF(IF(ISBLANK(M188),G188,M188)="Medium",3,1)),2)</f>
        <v>5.97</v>
      </c>
      <c r="L188" s="10"/>
      <c r="M188" s="10"/>
      <c r="N188" s="10"/>
      <c r="O188" s="10" t="s">
        <v>123</v>
      </c>
      <c r="P188" s="11" t="s">
        <v>508</v>
      </c>
    </row>
    <row r="189" customFormat="false" ht="25.5" hidden="false" customHeight="true" outlineLevel="0" collapsed="false">
      <c r="A189" s="10" t="n">
        <v>188</v>
      </c>
      <c r="B189" s="10" t="n">
        <v>2</v>
      </c>
      <c r="C189" s="10" t="s">
        <v>125</v>
      </c>
      <c r="D189" s="13" t="s">
        <v>602</v>
      </c>
      <c r="E189" s="10" t="s">
        <v>117</v>
      </c>
      <c r="F189" s="11" t="s">
        <v>572</v>
      </c>
      <c r="G189" s="10" t="s">
        <v>505</v>
      </c>
      <c r="H189" s="10" t="s">
        <v>506</v>
      </c>
      <c r="I189" s="11" t="s">
        <v>121</v>
      </c>
      <c r="J189" s="13" t="s">
        <v>603</v>
      </c>
      <c r="K189" s="12" t="n">
        <f aca="false">ROUND((IF(E189="Transactional",5,IF(E189="Commercial",4,IF(E189="Comparison",3,IF(E189="Informational",2,3))))*LOG10(IF(ISNUMBER(L189),L189,IFERROR(VALUE(LEFT(F189,FIND("-",F189)-1)),100))+1))/IF(IF(ISBLANK(M189),G189,M189)="High",5,IF(IF(ISBLANK(M189),G189,M189)="Medium",3,1)),2)</f>
        <v>5.97</v>
      </c>
      <c r="L189" s="10"/>
      <c r="M189" s="10"/>
      <c r="N189" s="10"/>
      <c r="O189" s="10" t="s">
        <v>123</v>
      </c>
      <c r="P189" s="11"/>
    </row>
    <row r="190" customFormat="false" ht="25.5" hidden="false" customHeight="true" outlineLevel="0" collapsed="false">
      <c r="A190" s="10" t="n">
        <v>189</v>
      </c>
      <c r="B190" s="10" t="n">
        <v>2</v>
      </c>
      <c r="C190" s="10" t="s">
        <v>115</v>
      </c>
      <c r="D190" s="11" t="s">
        <v>604</v>
      </c>
      <c r="E190" s="10" t="s">
        <v>117</v>
      </c>
      <c r="F190" s="11" t="s">
        <v>572</v>
      </c>
      <c r="G190" s="10" t="s">
        <v>505</v>
      </c>
      <c r="H190" s="10" t="s">
        <v>506</v>
      </c>
      <c r="I190" s="11" t="s">
        <v>121</v>
      </c>
      <c r="J190" s="11" t="s">
        <v>605</v>
      </c>
      <c r="K190" s="12" t="n">
        <f aca="false">ROUND((IF(E190="Transactional",5,IF(E190="Commercial",4,IF(E190="Comparison",3,IF(E190="Informational",2,3))))*LOG10(IF(ISNUMBER(L190),L190,IFERROR(VALUE(LEFT(F190,FIND("-",F190)-1)),100))+1))/IF(IF(ISBLANK(M190),G190,M190)="High",5,IF(IF(ISBLANK(M190),G190,M190)="Medium",3,1)),2)</f>
        <v>5.97</v>
      </c>
      <c r="L190" s="10"/>
      <c r="M190" s="10"/>
      <c r="N190" s="10"/>
      <c r="O190" s="10" t="s">
        <v>123</v>
      </c>
      <c r="P190" s="11" t="s">
        <v>508</v>
      </c>
    </row>
    <row r="191" customFormat="false" ht="25.5" hidden="false" customHeight="true" outlineLevel="0" collapsed="false">
      <c r="A191" s="10" t="n">
        <v>190</v>
      </c>
      <c r="B191" s="10" t="n">
        <v>2</v>
      </c>
      <c r="C191" s="10" t="s">
        <v>125</v>
      </c>
      <c r="D191" s="13" t="s">
        <v>606</v>
      </c>
      <c r="E191" s="10" t="s">
        <v>117</v>
      </c>
      <c r="F191" s="11" t="s">
        <v>572</v>
      </c>
      <c r="G191" s="10" t="s">
        <v>505</v>
      </c>
      <c r="H191" s="10" t="s">
        <v>506</v>
      </c>
      <c r="I191" s="11" t="s">
        <v>121</v>
      </c>
      <c r="J191" s="13" t="s">
        <v>607</v>
      </c>
      <c r="K191" s="12" t="n">
        <f aca="false">ROUND((IF(E191="Transactional",5,IF(E191="Commercial",4,IF(E191="Comparison",3,IF(E191="Informational",2,3))))*LOG10(IF(ISNUMBER(L191),L191,IFERROR(VALUE(LEFT(F191,FIND("-",F191)-1)),100))+1))/IF(IF(ISBLANK(M191),G191,M191)="High",5,IF(IF(ISBLANK(M191),G191,M191)="Medium",3,1)),2)</f>
        <v>5.97</v>
      </c>
      <c r="L191" s="10"/>
      <c r="M191" s="10"/>
      <c r="N191" s="10"/>
      <c r="O191" s="10" t="s">
        <v>123</v>
      </c>
      <c r="P191" s="11"/>
    </row>
    <row r="192" customFormat="false" ht="25.5" hidden="false" customHeight="true" outlineLevel="0" collapsed="false">
      <c r="A192" s="10" t="n">
        <v>191</v>
      </c>
      <c r="B192" s="10" t="n">
        <v>2</v>
      </c>
      <c r="C192" s="10" t="s">
        <v>115</v>
      </c>
      <c r="D192" s="11" t="s">
        <v>608</v>
      </c>
      <c r="E192" s="10" t="s">
        <v>117</v>
      </c>
      <c r="F192" s="11" t="s">
        <v>572</v>
      </c>
      <c r="G192" s="10" t="s">
        <v>505</v>
      </c>
      <c r="H192" s="10" t="s">
        <v>506</v>
      </c>
      <c r="I192" s="11" t="s">
        <v>121</v>
      </c>
      <c r="J192" s="11" t="s">
        <v>609</v>
      </c>
      <c r="K192" s="12" t="n">
        <f aca="false">ROUND((IF(E192="Transactional",5,IF(E192="Commercial",4,IF(E192="Comparison",3,IF(E192="Informational",2,3))))*LOG10(IF(ISNUMBER(L192),L192,IFERROR(VALUE(LEFT(F192,FIND("-",F192)-1)),100))+1))/IF(IF(ISBLANK(M192),G192,M192)="High",5,IF(IF(ISBLANK(M192),G192,M192)="Medium",3,1)),2)</f>
        <v>5.97</v>
      </c>
      <c r="L192" s="10"/>
      <c r="M192" s="10"/>
      <c r="N192" s="10"/>
      <c r="O192" s="10" t="s">
        <v>123</v>
      </c>
      <c r="P192" s="11" t="s">
        <v>508</v>
      </c>
    </row>
    <row r="193" customFormat="false" ht="25.5" hidden="false" customHeight="true" outlineLevel="0" collapsed="false">
      <c r="A193" s="10" t="n">
        <v>192</v>
      </c>
      <c r="B193" s="10" t="n">
        <v>2</v>
      </c>
      <c r="C193" s="10" t="s">
        <v>125</v>
      </c>
      <c r="D193" s="13" t="s">
        <v>610</v>
      </c>
      <c r="E193" s="10" t="s">
        <v>117</v>
      </c>
      <c r="F193" s="11" t="s">
        <v>572</v>
      </c>
      <c r="G193" s="10" t="s">
        <v>505</v>
      </c>
      <c r="H193" s="10" t="s">
        <v>506</v>
      </c>
      <c r="I193" s="11" t="s">
        <v>121</v>
      </c>
      <c r="J193" s="13" t="s">
        <v>611</v>
      </c>
      <c r="K193" s="12" t="n">
        <f aca="false">ROUND((IF(E193="Transactional",5,IF(E193="Commercial",4,IF(E193="Comparison",3,IF(E193="Informational",2,3))))*LOG10(IF(ISNUMBER(L193),L193,IFERROR(VALUE(LEFT(F193,FIND("-",F193)-1)),100))+1))/IF(IF(ISBLANK(M193),G193,M193)="High",5,IF(IF(ISBLANK(M193),G193,M193)="Medium",3,1)),2)</f>
        <v>5.97</v>
      </c>
      <c r="L193" s="10"/>
      <c r="M193" s="10"/>
      <c r="N193" s="10"/>
      <c r="O193" s="10" t="s">
        <v>123</v>
      </c>
      <c r="P193" s="11"/>
    </row>
    <row r="194" customFormat="false" ht="25.5" hidden="false" customHeight="true" outlineLevel="0" collapsed="false">
      <c r="A194" s="10" t="n">
        <v>193</v>
      </c>
      <c r="B194" s="10" t="n">
        <v>2</v>
      </c>
      <c r="C194" s="10" t="s">
        <v>115</v>
      </c>
      <c r="D194" s="11" t="s">
        <v>612</v>
      </c>
      <c r="E194" s="10" t="s">
        <v>117</v>
      </c>
      <c r="F194" s="11" t="s">
        <v>572</v>
      </c>
      <c r="G194" s="10" t="s">
        <v>505</v>
      </c>
      <c r="H194" s="10" t="s">
        <v>506</v>
      </c>
      <c r="I194" s="11" t="s">
        <v>121</v>
      </c>
      <c r="J194" s="11" t="s">
        <v>613</v>
      </c>
      <c r="K194" s="12" t="n">
        <f aca="false">ROUND((IF(E194="Transactional",5,IF(E194="Commercial",4,IF(E194="Comparison",3,IF(E194="Informational",2,3))))*LOG10(IF(ISNUMBER(L194),L194,IFERROR(VALUE(LEFT(F194,FIND("-",F194)-1)),100))+1))/IF(IF(ISBLANK(M194),G194,M194)="High",5,IF(IF(ISBLANK(M194),G194,M194)="Medium",3,1)),2)</f>
        <v>5.97</v>
      </c>
      <c r="L194" s="10"/>
      <c r="M194" s="10"/>
      <c r="N194" s="10"/>
      <c r="O194" s="10" t="s">
        <v>123</v>
      </c>
      <c r="P194" s="11" t="s">
        <v>508</v>
      </c>
    </row>
    <row r="195" customFormat="false" ht="25.5" hidden="false" customHeight="true" outlineLevel="0" collapsed="false">
      <c r="A195" s="10" t="n">
        <v>194</v>
      </c>
      <c r="B195" s="10" t="n">
        <v>2</v>
      </c>
      <c r="C195" s="10" t="s">
        <v>125</v>
      </c>
      <c r="D195" s="13" t="s">
        <v>614</v>
      </c>
      <c r="E195" s="10" t="s">
        <v>117</v>
      </c>
      <c r="F195" s="11" t="s">
        <v>572</v>
      </c>
      <c r="G195" s="10" t="s">
        <v>505</v>
      </c>
      <c r="H195" s="10" t="s">
        <v>506</v>
      </c>
      <c r="I195" s="11" t="s">
        <v>121</v>
      </c>
      <c r="J195" s="13" t="s">
        <v>615</v>
      </c>
      <c r="K195" s="12" t="n">
        <f aca="false">ROUND((IF(E195="Transactional",5,IF(E195="Commercial",4,IF(E195="Comparison",3,IF(E195="Informational",2,3))))*LOG10(IF(ISNUMBER(L195),L195,IFERROR(VALUE(LEFT(F195,FIND("-",F195)-1)),100))+1))/IF(IF(ISBLANK(M195),G195,M195)="High",5,IF(IF(ISBLANK(M195),G195,M195)="Medium",3,1)),2)</f>
        <v>5.97</v>
      </c>
      <c r="L195" s="10"/>
      <c r="M195" s="10"/>
      <c r="N195" s="10"/>
      <c r="O195" s="10" t="s">
        <v>123</v>
      </c>
      <c r="P195" s="11"/>
    </row>
    <row r="196" customFormat="false" ht="25.5" hidden="false" customHeight="true" outlineLevel="0" collapsed="false">
      <c r="A196" s="10" t="n">
        <v>195</v>
      </c>
      <c r="B196" s="10" t="n">
        <v>2</v>
      </c>
      <c r="C196" s="10" t="s">
        <v>115</v>
      </c>
      <c r="D196" s="11" t="s">
        <v>616</v>
      </c>
      <c r="E196" s="10" t="s">
        <v>117</v>
      </c>
      <c r="F196" s="11" t="s">
        <v>572</v>
      </c>
      <c r="G196" s="10" t="s">
        <v>505</v>
      </c>
      <c r="H196" s="10" t="s">
        <v>506</v>
      </c>
      <c r="I196" s="11" t="s">
        <v>121</v>
      </c>
      <c r="J196" s="11" t="s">
        <v>617</v>
      </c>
      <c r="K196" s="12" t="n">
        <f aca="false">ROUND((IF(E196="Transactional",5,IF(E196="Commercial",4,IF(E196="Comparison",3,IF(E196="Informational",2,3))))*LOG10(IF(ISNUMBER(L196),L196,IFERROR(VALUE(LEFT(F196,FIND("-",F196)-1)),100))+1))/IF(IF(ISBLANK(M196),G196,M196)="High",5,IF(IF(ISBLANK(M196),G196,M196)="Medium",3,1)),2)</f>
        <v>5.97</v>
      </c>
      <c r="L196" s="10"/>
      <c r="M196" s="10"/>
      <c r="N196" s="10"/>
      <c r="O196" s="10" t="s">
        <v>123</v>
      </c>
      <c r="P196" s="11" t="s">
        <v>508</v>
      </c>
    </row>
    <row r="197" customFormat="false" ht="25.5" hidden="false" customHeight="true" outlineLevel="0" collapsed="false">
      <c r="A197" s="10" t="n">
        <v>196</v>
      </c>
      <c r="B197" s="10" t="n">
        <v>2</v>
      </c>
      <c r="C197" s="10" t="s">
        <v>125</v>
      </c>
      <c r="D197" s="13" t="s">
        <v>618</v>
      </c>
      <c r="E197" s="10" t="s">
        <v>117</v>
      </c>
      <c r="F197" s="11" t="s">
        <v>572</v>
      </c>
      <c r="G197" s="10" t="s">
        <v>505</v>
      </c>
      <c r="H197" s="10" t="s">
        <v>506</v>
      </c>
      <c r="I197" s="11" t="s">
        <v>121</v>
      </c>
      <c r="J197" s="13" t="s">
        <v>619</v>
      </c>
      <c r="K197" s="12" t="n">
        <f aca="false">ROUND((IF(E197="Transactional",5,IF(E197="Commercial",4,IF(E197="Comparison",3,IF(E197="Informational",2,3))))*LOG10(IF(ISNUMBER(L197),L197,IFERROR(VALUE(LEFT(F197,FIND("-",F197)-1)),100))+1))/IF(IF(ISBLANK(M197),G197,M197)="High",5,IF(IF(ISBLANK(M197),G197,M197)="Medium",3,1)),2)</f>
        <v>5.97</v>
      </c>
      <c r="L197" s="10"/>
      <c r="M197" s="10"/>
      <c r="N197" s="10"/>
      <c r="O197" s="10" t="s">
        <v>123</v>
      </c>
      <c r="P197" s="11"/>
    </row>
    <row r="198" customFormat="false" ht="25.5" hidden="false" customHeight="true" outlineLevel="0" collapsed="false">
      <c r="A198" s="10" t="n">
        <v>197</v>
      </c>
      <c r="B198" s="10" t="n">
        <v>2</v>
      </c>
      <c r="C198" s="10" t="s">
        <v>115</v>
      </c>
      <c r="D198" s="11" t="s">
        <v>620</v>
      </c>
      <c r="E198" s="10" t="s">
        <v>117</v>
      </c>
      <c r="F198" s="11" t="s">
        <v>572</v>
      </c>
      <c r="G198" s="10" t="s">
        <v>505</v>
      </c>
      <c r="H198" s="10" t="s">
        <v>506</v>
      </c>
      <c r="I198" s="11" t="s">
        <v>121</v>
      </c>
      <c r="J198" s="11" t="s">
        <v>621</v>
      </c>
      <c r="K198" s="12" t="n">
        <f aca="false">ROUND((IF(E198="Transactional",5,IF(E198="Commercial",4,IF(E198="Comparison",3,IF(E198="Informational",2,3))))*LOG10(IF(ISNUMBER(L198),L198,IFERROR(VALUE(LEFT(F198,FIND("-",F198)-1)),100))+1))/IF(IF(ISBLANK(M198),G198,M198)="High",5,IF(IF(ISBLANK(M198),G198,M198)="Medium",3,1)),2)</f>
        <v>5.97</v>
      </c>
      <c r="L198" s="10"/>
      <c r="M198" s="10"/>
      <c r="N198" s="10"/>
      <c r="O198" s="10" t="s">
        <v>123</v>
      </c>
      <c r="P198" s="11" t="s">
        <v>508</v>
      </c>
    </row>
    <row r="199" customFormat="false" ht="25.5" hidden="false" customHeight="true" outlineLevel="0" collapsed="false">
      <c r="A199" s="10" t="n">
        <v>198</v>
      </c>
      <c r="B199" s="10" t="n">
        <v>2</v>
      </c>
      <c r="C199" s="10" t="s">
        <v>125</v>
      </c>
      <c r="D199" s="13" t="s">
        <v>622</v>
      </c>
      <c r="E199" s="10" t="s">
        <v>117</v>
      </c>
      <c r="F199" s="11" t="s">
        <v>572</v>
      </c>
      <c r="G199" s="10" t="s">
        <v>505</v>
      </c>
      <c r="H199" s="10" t="s">
        <v>506</v>
      </c>
      <c r="I199" s="11" t="s">
        <v>121</v>
      </c>
      <c r="J199" s="13" t="s">
        <v>623</v>
      </c>
      <c r="K199" s="12" t="n">
        <f aca="false">ROUND((IF(E199="Transactional",5,IF(E199="Commercial",4,IF(E199="Comparison",3,IF(E199="Informational",2,3))))*LOG10(IF(ISNUMBER(L199),L199,IFERROR(VALUE(LEFT(F199,FIND("-",F199)-1)),100))+1))/IF(IF(ISBLANK(M199),G199,M199)="High",5,IF(IF(ISBLANK(M199),G199,M199)="Medium",3,1)),2)</f>
        <v>5.97</v>
      </c>
      <c r="L199" s="10"/>
      <c r="M199" s="10"/>
      <c r="N199" s="10"/>
      <c r="O199" s="10" t="s">
        <v>123</v>
      </c>
      <c r="P199" s="11"/>
    </row>
    <row r="200" customFormat="false" ht="25.5" hidden="false" customHeight="true" outlineLevel="0" collapsed="false">
      <c r="A200" s="10" t="n">
        <v>199</v>
      </c>
      <c r="B200" s="10" t="n">
        <v>2</v>
      </c>
      <c r="C200" s="10" t="s">
        <v>115</v>
      </c>
      <c r="D200" s="11" t="s">
        <v>624</v>
      </c>
      <c r="E200" s="10" t="s">
        <v>117</v>
      </c>
      <c r="F200" s="11" t="s">
        <v>572</v>
      </c>
      <c r="G200" s="10" t="s">
        <v>505</v>
      </c>
      <c r="H200" s="10" t="s">
        <v>506</v>
      </c>
      <c r="I200" s="11" t="s">
        <v>121</v>
      </c>
      <c r="J200" s="11" t="s">
        <v>625</v>
      </c>
      <c r="K200" s="12" t="n">
        <f aca="false">ROUND((IF(E200="Transactional",5,IF(E200="Commercial",4,IF(E200="Comparison",3,IF(E200="Informational",2,3))))*LOG10(IF(ISNUMBER(L200),L200,IFERROR(VALUE(LEFT(F200,FIND("-",F200)-1)),100))+1))/IF(IF(ISBLANK(M200),G200,M200)="High",5,IF(IF(ISBLANK(M200),G200,M200)="Medium",3,1)),2)</f>
        <v>5.97</v>
      </c>
      <c r="L200" s="10"/>
      <c r="M200" s="10"/>
      <c r="N200" s="10"/>
      <c r="O200" s="10" t="s">
        <v>123</v>
      </c>
      <c r="P200" s="11" t="s">
        <v>508</v>
      </c>
    </row>
    <row r="201" customFormat="false" ht="25.5" hidden="false" customHeight="true" outlineLevel="0" collapsed="false">
      <c r="A201" s="10" t="n">
        <v>200</v>
      </c>
      <c r="B201" s="10" t="n">
        <v>2</v>
      </c>
      <c r="C201" s="10" t="s">
        <v>125</v>
      </c>
      <c r="D201" s="13" t="s">
        <v>626</v>
      </c>
      <c r="E201" s="10" t="s">
        <v>117</v>
      </c>
      <c r="F201" s="11" t="s">
        <v>572</v>
      </c>
      <c r="G201" s="10" t="s">
        <v>505</v>
      </c>
      <c r="H201" s="10" t="s">
        <v>506</v>
      </c>
      <c r="I201" s="11" t="s">
        <v>121</v>
      </c>
      <c r="J201" s="13" t="s">
        <v>627</v>
      </c>
      <c r="K201" s="12" t="n">
        <f aca="false">ROUND((IF(E201="Transactional",5,IF(E201="Commercial",4,IF(E201="Comparison",3,IF(E201="Informational",2,3))))*LOG10(IF(ISNUMBER(L201),L201,IFERROR(VALUE(LEFT(F201,FIND("-",F201)-1)),100))+1))/IF(IF(ISBLANK(M201),G201,M201)="High",5,IF(IF(ISBLANK(M201),G201,M201)="Medium",3,1)),2)</f>
        <v>5.97</v>
      </c>
      <c r="L201" s="10"/>
      <c r="M201" s="10"/>
      <c r="N201" s="10"/>
      <c r="O201" s="10" t="s">
        <v>123</v>
      </c>
      <c r="P201" s="11"/>
    </row>
    <row r="202" customFormat="false" ht="25.5" hidden="false" customHeight="true" outlineLevel="0" collapsed="false">
      <c r="A202" s="10" t="n">
        <v>201</v>
      </c>
      <c r="B202" s="10" t="n">
        <v>2</v>
      </c>
      <c r="C202" s="10" t="s">
        <v>115</v>
      </c>
      <c r="D202" s="11" t="s">
        <v>628</v>
      </c>
      <c r="E202" s="10" t="s">
        <v>117</v>
      </c>
      <c r="F202" s="11" t="s">
        <v>572</v>
      </c>
      <c r="G202" s="10" t="s">
        <v>505</v>
      </c>
      <c r="H202" s="10" t="s">
        <v>506</v>
      </c>
      <c r="I202" s="11" t="s">
        <v>121</v>
      </c>
      <c r="J202" s="11" t="s">
        <v>629</v>
      </c>
      <c r="K202" s="12" t="n">
        <f aca="false">ROUND((IF(E202="Transactional",5,IF(E202="Commercial",4,IF(E202="Comparison",3,IF(E202="Informational",2,3))))*LOG10(IF(ISNUMBER(L202),L202,IFERROR(VALUE(LEFT(F202,FIND("-",F202)-1)),100))+1))/IF(IF(ISBLANK(M202),G202,M202)="High",5,IF(IF(ISBLANK(M202),G202,M202)="Medium",3,1)),2)</f>
        <v>5.97</v>
      </c>
      <c r="L202" s="10"/>
      <c r="M202" s="10"/>
      <c r="N202" s="10"/>
      <c r="O202" s="10" t="s">
        <v>123</v>
      </c>
      <c r="P202" s="11" t="s">
        <v>508</v>
      </c>
    </row>
    <row r="203" customFormat="false" ht="25.5" hidden="false" customHeight="true" outlineLevel="0" collapsed="false">
      <c r="A203" s="10" t="n">
        <v>202</v>
      </c>
      <c r="B203" s="10" t="n">
        <v>2</v>
      </c>
      <c r="C203" s="10" t="s">
        <v>125</v>
      </c>
      <c r="D203" s="13" t="s">
        <v>630</v>
      </c>
      <c r="E203" s="10" t="s">
        <v>117</v>
      </c>
      <c r="F203" s="11" t="s">
        <v>572</v>
      </c>
      <c r="G203" s="10" t="s">
        <v>505</v>
      </c>
      <c r="H203" s="10" t="s">
        <v>506</v>
      </c>
      <c r="I203" s="11" t="s">
        <v>121</v>
      </c>
      <c r="J203" s="13" t="s">
        <v>631</v>
      </c>
      <c r="K203" s="12" t="n">
        <f aca="false">ROUND((IF(E203="Transactional",5,IF(E203="Commercial",4,IF(E203="Comparison",3,IF(E203="Informational",2,3))))*LOG10(IF(ISNUMBER(L203),L203,IFERROR(VALUE(LEFT(F203,FIND("-",F203)-1)),100))+1))/IF(IF(ISBLANK(M203),G203,M203)="High",5,IF(IF(ISBLANK(M203),G203,M203)="Medium",3,1)),2)</f>
        <v>5.97</v>
      </c>
      <c r="L203" s="10"/>
      <c r="M203" s="10"/>
      <c r="N203" s="10"/>
      <c r="O203" s="10" t="s">
        <v>123</v>
      </c>
      <c r="P203" s="11"/>
    </row>
    <row r="204" customFormat="false" ht="25.5" hidden="false" customHeight="true" outlineLevel="0" collapsed="false">
      <c r="A204" s="10" t="n">
        <v>203</v>
      </c>
      <c r="B204" s="10" t="n">
        <v>2</v>
      </c>
      <c r="C204" s="10" t="s">
        <v>115</v>
      </c>
      <c r="D204" s="11" t="s">
        <v>632</v>
      </c>
      <c r="E204" s="10" t="s">
        <v>117</v>
      </c>
      <c r="F204" s="11" t="s">
        <v>572</v>
      </c>
      <c r="G204" s="10" t="s">
        <v>505</v>
      </c>
      <c r="H204" s="10" t="s">
        <v>506</v>
      </c>
      <c r="I204" s="11" t="s">
        <v>121</v>
      </c>
      <c r="J204" s="11" t="s">
        <v>633</v>
      </c>
      <c r="K204" s="12" t="n">
        <f aca="false">ROUND((IF(E204="Transactional",5,IF(E204="Commercial",4,IF(E204="Comparison",3,IF(E204="Informational",2,3))))*LOG10(IF(ISNUMBER(L204),L204,IFERROR(VALUE(LEFT(F204,FIND("-",F204)-1)),100))+1))/IF(IF(ISBLANK(M204),G204,M204)="High",5,IF(IF(ISBLANK(M204),G204,M204)="Medium",3,1)),2)</f>
        <v>5.97</v>
      </c>
      <c r="L204" s="10"/>
      <c r="M204" s="10"/>
      <c r="N204" s="10"/>
      <c r="O204" s="10" t="s">
        <v>123</v>
      </c>
      <c r="P204" s="11" t="s">
        <v>508</v>
      </c>
    </row>
    <row r="205" customFormat="false" ht="25.5" hidden="false" customHeight="true" outlineLevel="0" collapsed="false">
      <c r="A205" s="10" t="n">
        <v>204</v>
      </c>
      <c r="B205" s="10" t="n">
        <v>2</v>
      </c>
      <c r="C205" s="10" t="s">
        <v>125</v>
      </c>
      <c r="D205" s="13" t="s">
        <v>634</v>
      </c>
      <c r="E205" s="10" t="s">
        <v>117</v>
      </c>
      <c r="F205" s="11" t="s">
        <v>572</v>
      </c>
      <c r="G205" s="10" t="s">
        <v>505</v>
      </c>
      <c r="H205" s="10" t="s">
        <v>506</v>
      </c>
      <c r="I205" s="11" t="s">
        <v>121</v>
      </c>
      <c r="J205" s="13" t="s">
        <v>635</v>
      </c>
      <c r="K205" s="12" t="n">
        <f aca="false">ROUND((IF(E205="Transactional",5,IF(E205="Commercial",4,IF(E205="Comparison",3,IF(E205="Informational",2,3))))*LOG10(IF(ISNUMBER(L205),L205,IFERROR(VALUE(LEFT(F205,FIND("-",F205)-1)),100))+1))/IF(IF(ISBLANK(M205),G205,M205)="High",5,IF(IF(ISBLANK(M205),G205,M205)="Medium",3,1)),2)</f>
        <v>5.97</v>
      </c>
      <c r="L205" s="10"/>
      <c r="M205" s="10"/>
      <c r="N205" s="10"/>
      <c r="O205" s="10" t="s">
        <v>123</v>
      </c>
      <c r="P205" s="11"/>
    </row>
    <row r="206" customFormat="false" ht="25.5" hidden="false" customHeight="true" outlineLevel="0" collapsed="false">
      <c r="A206" s="10" t="n">
        <v>205</v>
      </c>
      <c r="B206" s="10" t="n">
        <v>2</v>
      </c>
      <c r="C206" s="10" t="s">
        <v>115</v>
      </c>
      <c r="D206" s="11" t="s">
        <v>636</v>
      </c>
      <c r="E206" s="10" t="s">
        <v>117</v>
      </c>
      <c r="F206" s="11" t="s">
        <v>572</v>
      </c>
      <c r="G206" s="10" t="s">
        <v>505</v>
      </c>
      <c r="H206" s="10" t="s">
        <v>506</v>
      </c>
      <c r="I206" s="11" t="s">
        <v>121</v>
      </c>
      <c r="J206" s="11" t="s">
        <v>637</v>
      </c>
      <c r="K206" s="12" t="n">
        <f aca="false">ROUND((IF(E206="Transactional",5,IF(E206="Commercial",4,IF(E206="Comparison",3,IF(E206="Informational",2,3))))*LOG10(IF(ISNUMBER(L206),L206,IFERROR(VALUE(LEFT(F206,FIND("-",F206)-1)),100))+1))/IF(IF(ISBLANK(M206),G206,M206)="High",5,IF(IF(ISBLANK(M206),G206,M206)="Medium",3,1)),2)</f>
        <v>5.97</v>
      </c>
      <c r="L206" s="10"/>
      <c r="M206" s="10"/>
      <c r="N206" s="10"/>
      <c r="O206" s="10" t="s">
        <v>123</v>
      </c>
      <c r="P206" s="11" t="s">
        <v>508</v>
      </c>
    </row>
    <row r="207" customFormat="false" ht="25.5" hidden="false" customHeight="true" outlineLevel="0" collapsed="false">
      <c r="A207" s="10" t="n">
        <v>206</v>
      </c>
      <c r="B207" s="10" t="n">
        <v>2</v>
      </c>
      <c r="C207" s="10" t="s">
        <v>125</v>
      </c>
      <c r="D207" s="13" t="s">
        <v>638</v>
      </c>
      <c r="E207" s="10" t="s">
        <v>117</v>
      </c>
      <c r="F207" s="11" t="s">
        <v>572</v>
      </c>
      <c r="G207" s="10" t="s">
        <v>505</v>
      </c>
      <c r="H207" s="10" t="s">
        <v>506</v>
      </c>
      <c r="I207" s="11" t="s">
        <v>121</v>
      </c>
      <c r="J207" s="13" t="s">
        <v>639</v>
      </c>
      <c r="K207" s="12" t="n">
        <f aca="false">ROUND((IF(E207="Transactional",5,IF(E207="Commercial",4,IF(E207="Comparison",3,IF(E207="Informational",2,3))))*LOG10(IF(ISNUMBER(L207),L207,IFERROR(VALUE(LEFT(F207,FIND("-",F207)-1)),100))+1))/IF(IF(ISBLANK(M207),G207,M207)="High",5,IF(IF(ISBLANK(M207),G207,M207)="Medium",3,1)),2)</f>
        <v>5.97</v>
      </c>
      <c r="L207" s="10"/>
      <c r="M207" s="10"/>
      <c r="N207" s="10"/>
      <c r="O207" s="10" t="s">
        <v>123</v>
      </c>
      <c r="P207" s="11"/>
    </row>
    <row r="208" customFormat="false" ht="25.5" hidden="false" customHeight="true" outlineLevel="0" collapsed="false">
      <c r="A208" s="10" t="n">
        <v>207</v>
      </c>
      <c r="B208" s="10" t="n">
        <v>2</v>
      </c>
      <c r="C208" s="10" t="s">
        <v>115</v>
      </c>
      <c r="D208" s="11" t="s">
        <v>640</v>
      </c>
      <c r="E208" s="10" t="s">
        <v>117</v>
      </c>
      <c r="F208" s="11" t="s">
        <v>572</v>
      </c>
      <c r="G208" s="10" t="s">
        <v>505</v>
      </c>
      <c r="H208" s="10" t="s">
        <v>506</v>
      </c>
      <c r="I208" s="11" t="s">
        <v>121</v>
      </c>
      <c r="J208" s="11" t="s">
        <v>641</v>
      </c>
      <c r="K208" s="12" t="n">
        <f aca="false">ROUND((IF(E208="Transactional",5,IF(E208="Commercial",4,IF(E208="Comparison",3,IF(E208="Informational",2,3))))*LOG10(IF(ISNUMBER(L208),L208,IFERROR(VALUE(LEFT(F208,FIND("-",F208)-1)),100))+1))/IF(IF(ISBLANK(M208),G208,M208)="High",5,IF(IF(ISBLANK(M208),G208,M208)="Medium",3,1)),2)</f>
        <v>5.97</v>
      </c>
      <c r="L208" s="10"/>
      <c r="M208" s="10"/>
      <c r="N208" s="10"/>
      <c r="O208" s="10" t="s">
        <v>123</v>
      </c>
      <c r="P208" s="11" t="s">
        <v>508</v>
      </c>
    </row>
    <row r="209" customFormat="false" ht="25.5" hidden="false" customHeight="true" outlineLevel="0" collapsed="false">
      <c r="A209" s="10" t="n">
        <v>208</v>
      </c>
      <c r="B209" s="10" t="n">
        <v>2</v>
      </c>
      <c r="C209" s="10" t="s">
        <v>125</v>
      </c>
      <c r="D209" s="13" t="s">
        <v>642</v>
      </c>
      <c r="E209" s="10" t="s">
        <v>117</v>
      </c>
      <c r="F209" s="11" t="s">
        <v>572</v>
      </c>
      <c r="G209" s="10" t="s">
        <v>505</v>
      </c>
      <c r="H209" s="10" t="s">
        <v>506</v>
      </c>
      <c r="I209" s="11" t="s">
        <v>121</v>
      </c>
      <c r="J209" s="13" t="s">
        <v>643</v>
      </c>
      <c r="K209" s="12" t="n">
        <f aca="false">ROUND((IF(E209="Transactional",5,IF(E209="Commercial",4,IF(E209="Comparison",3,IF(E209="Informational",2,3))))*LOG10(IF(ISNUMBER(L209),L209,IFERROR(VALUE(LEFT(F209,FIND("-",F209)-1)),100))+1))/IF(IF(ISBLANK(M209),G209,M209)="High",5,IF(IF(ISBLANK(M209),G209,M209)="Medium",3,1)),2)</f>
        <v>5.97</v>
      </c>
      <c r="L209" s="10"/>
      <c r="M209" s="10"/>
      <c r="N209" s="10"/>
      <c r="O209" s="10" t="s">
        <v>123</v>
      </c>
      <c r="P209" s="11"/>
    </row>
    <row r="210" customFormat="false" ht="25.5" hidden="false" customHeight="true" outlineLevel="0" collapsed="false">
      <c r="A210" s="10" t="n">
        <v>209</v>
      </c>
      <c r="B210" s="10" t="n">
        <v>2</v>
      </c>
      <c r="C210" s="10" t="s">
        <v>115</v>
      </c>
      <c r="D210" s="11" t="s">
        <v>644</v>
      </c>
      <c r="E210" s="10" t="s">
        <v>117</v>
      </c>
      <c r="F210" s="11" t="s">
        <v>572</v>
      </c>
      <c r="G210" s="10" t="s">
        <v>505</v>
      </c>
      <c r="H210" s="10" t="s">
        <v>506</v>
      </c>
      <c r="I210" s="11" t="s">
        <v>121</v>
      </c>
      <c r="J210" s="11" t="s">
        <v>645</v>
      </c>
      <c r="K210" s="12" t="n">
        <f aca="false">ROUND((IF(E210="Transactional",5,IF(E210="Commercial",4,IF(E210="Comparison",3,IF(E210="Informational",2,3))))*LOG10(IF(ISNUMBER(L210),L210,IFERROR(VALUE(LEFT(F210,FIND("-",F210)-1)),100))+1))/IF(IF(ISBLANK(M210),G210,M210)="High",5,IF(IF(ISBLANK(M210),G210,M210)="Medium",3,1)),2)</f>
        <v>5.97</v>
      </c>
      <c r="L210" s="10"/>
      <c r="M210" s="10"/>
      <c r="N210" s="10"/>
      <c r="O210" s="10" t="s">
        <v>123</v>
      </c>
      <c r="P210" s="11" t="s">
        <v>508</v>
      </c>
    </row>
    <row r="211" customFormat="false" ht="25.5" hidden="false" customHeight="true" outlineLevel="0" collapsed="false">
      <c r="A211" s="10" t="n">
        <v>210</v>
      </c>
      <c r="B211" s="10" t="n">
        <v>2</v>
      </c>
      <c r="C211" s="10" t="s">
        <v>125</v>
      </c>
      <c r="D211" s="13" t="s">
        <v>646</v>
      </c>
      <c r="E211" s="10" t="s">
        <v>117</v>
      </c>
      <c r="F211" s="11" t="s">
        <v>572</v>
      </c>
      <c r="G211" s="10" t="s">
        <v>505</v>
      </c>
      <c r="H211" s="10" t="s">
        <v>506</v>
      </c>
      <c r="I211" s="11" t="s">
        <v>121</v>
      </c>
      <c r="J211" s="13" t="s">
        <v>647</v>
      </c>
      <c r="K211" s="12" t="n">
        <f aca="false">ROUND((IF(E211="Transactional",5,IF(E211="Commercial",4,IF(E211="Comparison",3,IF(E211="Informational",2,3))))*LOG10(IF(ISNUMBER(L211),L211,IFERROR(VALUE(LEFT(F211,FIND("-",F211)-1)),100))+1))/IF(IF(ISBLANK(M211),G211,M211)="High",5,IF(IF(ISBLANK(M211),G211,M211)="Medium",3,1)),2)</f>
        <v>5.97</v>
      </c>
      <c r="L211" s="10"/>
      <c r="M211" s="10"/>
      <c r="N211" s="10"/>
      <c r="O211" s="10" t="s">
        <v>123</v>
      </c>
      <c r="P211" s="11"/>
    </row>
    <row r="212" customFormat="false" ht="25.5" hidden="false" customHeight="true" outlineLevel="0" collapsed="false">
      <c r="A212" s="10" t="n">
        <v>211</v>
      </c>
      <c r="B212" s="10" t="n">
        <v>2</v>
      </c>
      <c r="C212" s="10" t="s">
        <v>115</v>
      </c>
      <c r="D212" s="11" t="s">
        <v>648</v>
      </c>
      <c r="E212" s="10" t="s">
        <v>117</v>
      </c>
      <c r="F212" s="11" t="s">
        <v>572</v>
      </c>
      <c r="G212" s="10" t="s">
        <v>505</v>
      </c>
      <c r="H212" s="10" t="s">
        <v>506</v>
      </c>
      <c r="I212" s="11" t="s">
        <v>121</v>
      </c>
      <c r="J212" s="11" t="s">
        <v>649</v>
      </c>
      <c r="K212" s="12" t="n">
        <f aca="false">ROUND((IF(E212="Transactional",5,IF(E212="Commercial",4,IF(E212="Comparison",3,IF(E212="Informational",2,3))))*LOG10(IF(ISNUMBER(L212),L212,IFERROR(VALUE(LEFT(F212,FIND("-",F212)-1)),100))+1))/IF(IF(ISBLANK(M212),G212,M212)="High",5,IF(IF(ISBLANK(M212),G212,M212)="Medium",3,1)),2)</f>
        <v>5.97</v>
      </c>
      <c r="L212" s="10"/>
      <c r="M212" s="10"/>
      <c r="N212" s="10"/>
      <c r="O212" s="10" t="s">
        <v>123</v>
      </c>
      <c r="P212" s="11" t="s">
        <v>508</v>
      </c>
    </row>
    <row r="213" customFormat="false" ht="25.5" hidden="false" customHeight="true" outlineLevel="0" collapsed="false">
      <c r="A213" s="10" t="n">
        <v>212</v>
      </c>
      <c r="B213" s="10" t="n">
        <v>2</v>
      </c>
      <c r="C213" s="10" t="s">
        <v>125</v>
      </c>
      <c r="D213" s="13" t="s">
        <v>650</v>
      </c>
      <c r="E213" s="10" t="s">
        <v>117</v>
      </c>
      <c r="F213" s="11" t="s">
        <v>572</v>
      </c>
      <c r="G213" s="10" t="s">
        <v>505</v>
      </c>
      <c r="H213" s="10" t="s">
        <v>506</v>
      </c>
      <c r="I213" s="11" t="s">
        <v>121</v>
      </c>
      <c r="J213" s="13" t="s">
        <v>651</v>
      </c>
      <c r="K213" s="12" t="n">
        <f aca="false">ROUND((IF(E213="Transactional",5,IF(E213="Commercial",4,IF(E213="Comparison",3,IF(E213="Informational",2,3))))*LOG10(IF(ISNUMBER(L213),L213,IFERROR(VALUE(LEFT(F213,FIND("-",F213)-1)),100))+1))/IF(IF(ISBLANK(M213),G213,M213)="High",5,IF(IF(ISBLANK(M213),G213,M213)="Medium",3,1)),2)</f>
        <v>5.97</v>
      </c>
      <c r="L213" s="10"/>
      <c r="M213" s="10"/>
      <c r="N213" s="10"/>
      <c r="O213" s="10" t="s">
        <v>123</v>
      </c>
      <c r="P213" s="11"/>
    </row>
    <row r="214" customFormat="false" ht="25.5" hidden="false" customHeight="true" outlineLevel="0" collapsed="false">
      <c r="A214" s="10" t="n">
        <v>213</v>
      </c>
      <c r="B214" s="10" t="n">
        <v>2</v>
      </c>
      <c r="C214" s="10" t="s">
        <v>115</v>
      </c>
      <c r="D214" s="11" t="s">
        <v>652</v>
      </c>
      <c r="E214" s="10" t="s">
        <v>117</v>
      </c>
      <c r="F214" s="11" t="s">
        <v>572</v>
      </c>
      <c r="G214" s="10" t="s">
        <v>505</v>
      </c>
      <c r="H214" s="10" t="s">
        <v>506</v>
      </c>
      <c r="I214" s="11" t="s">
        <v>121</v>
      </c>
      <c r="J214" s="11" t="s">
        <v>653</v>
      </c>
      <c r="K214" s="12" t="n">
        <f aca="false">ROUND((IF(E214="Transactional",5,IF(E214="Commercial",4,IF(E214="Comparison",3,IF(E214="Informational",2,3))))*LOG10(IF(ISNUMBER(L214),L214,IFERROR(VALUE(LEFT(F214,FIND("-",F214)-1)),100))+1))/IF(IF(ISBLANK(M214),G214,M214)="High",5,IF(IF(ISBLANK(M214),G214,M214)="Medium",3,1)),2)</f>
        <v>5.97</v>
      </c>
      <c r="L214" s="10"/>
      <c r="M214" s="10"/>
      <c r="N214" s="10"/>
      <c r="O214" s="10" t="s">
        <v>123</v>
      </c>
      <c r="P214" s="11" t="s">
        <v>508</v>
      </c>
    </row>
    <row r="215" customFormat="false" ht="25.5" hidden="false" customHeight="true" outlineLevel="0" collapsed="false">
      <c r="A215" s="10" t="n">
        <v>214</v>
      </c>
      <c r="B215" s="10" t="n">
        <v>2</v>
      </c>
      <c r="C215" s="10" t="s">
        <v>125</v>
      </c>
      <c r="D215" s="13" t="s">
        <v>654</v>
      </c>
      <c r="E215" s="10" t="s">
        <v>117</v>
      </c>
      <c r="F215" s="11" t="s">
        <v>572</v>
      </c>
      <c r="G215" s="10" t="s">
        <v>505</v>
      </c>
      <c r="H215" s="10" t="s">
        <v>506</v>
      </c>
      <c r="I215" s="11" t="s">
        <v>121</v>
      </c>
      <c r="J215" s="13" t="s">
        <v>655</v>
      </c>
      <c r="K215" s="12" t="n">
        <f aca="false">ROUND((IF(E215="Transactional",5,IF(E215="Commercial",4,IF(E215="Comparison",3,IF(E215="Informational",2,3))))*LOG10(IF(ISNUMBER(L215),L215,IFERROR(VALUE(LEFT(F215,FIND("-",F215)-1)),100))+1))/IF(IF(ISBLANK(M215),G215,M215)="High",5,IF(IF(ISBLANK(M215),G215,M215)="Medium",3,1)),2)</f>
        <v>5.97</v>
      </c>
      <c r="L215" s="10"/>
      <c r="M215" s="10"/>
      <c r="N215" s="10"/>
      <c r="O215" s="10" t="s">
        <v>123</v>
      </c>
      <c r="P215" s="11"/>
    </row>
    <row r="216" customFormat="false" ht="25.5" hidden="false" customHeight="true" outlineLevel="0" collapsed="false">
      <c r="A216" s="10" t="n">
        <v>215</v>
      </c>
      <c r="B216" s="10" t="n">
        <v>2</v>
      </c>
      <c r="C216" s="10" t="s">
        <v>115</v>
      </c>
      <c r="D216" s="11" t="s">
        <v>656</v>
      </c>
      <c r="E216" s="10" t="s">
        <v>117</v>
      </c>
      <c r="F216" s="11" t="s">
        <v>572</v>
      </c>
      <c r="G216" s="10" t="s">
        <v>505</v>
      </c>
      <c r="H216" s="10" t="s">
        <v>506</v>
      </c>
      <c r="I216" s="11" t="s">
        <v>121</v>
      </c>
      <c r="J216" s="11" t="s">
        <v>657</v>
      </c>
      <c r="K216" s="12" t="n">
        <f aca="false">ROUND((IF(E216="Transactional",5,IF(E216="Commercial",4,IF(E216="Comparison",3,IF(E216="Informational",2,3))))*LOG10(IF(ISNUMBER(L216),L216,IFERROR(VALUE(LEFT(F216,FIND("-",F216)-1)),100))+1))/IF(IF(ISBLANK(M216),G216,M216)="High",5,IF(IF(ISBLANK(M216),G216,M216)="Medium",3,1)),2)</f>
        <v>5.97</v>
      </c>
      <c r="L216" s="10"/>
      <c r="M216" s="10"/>
      <c r="N216" s="10"/>
      <c r="O216" s="10" t="s">
        <v>123</v>
      </c>
      <c r="P216" s="11" t="s">
        <v>508</v>
      </c>
    </row>
    <row r="217" customFormat="false" ht="25.5" hidden="false" customHeight="true" outlineLevel="0" collapsed="false">
      <c r="A217" s="10" t="n">
        <v>216</v>
      </c>
      <c r="B217" s="10" t="n">
        <v>2</v>
      </c>
      <c r="C217" s="10" t="s">
        <v>125</v>
      </c>
      <c r="D217" s="13" t="s">
        <v>658</v>
      </c>
      <c r="E217" s="10" t="s">
        <v>117</v>
      </c>
      <c r="F217" s="11" t="s">
        <v>572</v>
      </c>
      <c r="G217" s="10" t="s">
        <v>505</v>
      </c>
      <c r="H217" s="10" t="s">
        <v>506</v>
      </c>
      <c r="I217" s="11" t="s">
        <v>121</v>
      </c>
      <c r="J217" s="13" t="s">
        <v>659</v>
      </c>
      <c r="K217" s="12" t="n">
        <f aca="false">ROUND((IF(E217="Transactional",5,IF(E217="Commercial",4,IF(E217="Comparison",3,IF(E217="Informational",2,3))))*LOG10(IF(ISNUMBER(L217),L217,IFERROR(VALUE(LEFT(F217,FIND("-",F217)-1)),100))+1))/IF(IF(ISBLANK(M217),G217,M217)="High",5,IF(IF(ISBLANK(M217),G217,M217)="Medium",3,1)),2)</f>
        <v>5.97</v>
      </c>
      <c r="L217" s="10"/>
      <c r="M217" s="10"/>
      <c r="N217" s="10"/>
      <c r="O217" s="10" t="s">
        <v>123</v>
      </c>
      <c r="P217" s="11"/>
    </row>
    <row r="218" customFormat="false" ht="25.5" hidden="false" customHeight="true" outlineLevel="0" collapsed="false">
      <c r="A218" s="10" t="n">
        <v>217</v>
      </c>
      <c r="B218" s="10" t="n">
        <v>2</v>
      </c>
      <c r="C218" s="10" t="s">
        <v>115</v>
      </c>
      <c r="D218" s="11" t="s">
        <v>660</v>
      </c>
      <c r="E218" s="10" t="s">
        <v>117</v>
      </c>
      <c r="F218" s="11" t="s">
        <v>572</v>
      </c>
      <c r="G218" s="10" t="s">
        <v>505</v>
      </c>
      <c r="H218" s="10" t="s">
        <v>506</v>
      </c>
      <c r="I218" s="11" t="s">
        <v>121</v>
      </c>
      <c r="J218" s="11" t="s">
        <v>661</v>
      </c>
      <c r="K218" s="12" t="n">
        <f aca="false">ROUND((IF(E218="Transactional",5,IF(E218="Commercial",4,IF(E218="Comparison",3,IF(E218="Informational",2,3))))*LOG10(IF(ISNUMBER(L218),L218,IFERROR(VALUE(LEFT(F218,FIND("-",F218)-1)),100))+1))/IF(IF(ISBLANK(M218),G218,M218)="High",5,IF(IF(ISBLANK(M218),G218,M218)="Medium",3,1)),2)</f>
        <v>5.97</v>
      </c>
      <c r="L218" s="10"/>
      <c r="M218" s="10"/>
      <c r="N218" s="10"/>
      <c r="O218" s="10" t="s">
        <v>123</v>
      </c>
      <c r="P218" s="11" t="s">
        <v>508</v>
      </c>
    </row>
    <row r="219" customFormat="false" ht="25.5" hidden="false" customHeight="true" outlineLevel="0" collapsed="false">
      <c r="A219" s="10" t="n">
        <v>218</v>
      </c>
      <c r="B219" s="10" t="n">
        <v>2</v>
      </c>
      <c r="C219" s="10" t="s">
        <v>125</v>
      </c>
      <c r="D219" s="13" t="s">
        <v>662</v>
      </c>
      <c r="E219" s="10" t="s">
        <v>117</v>
      </c>
      <c r="F219" s="11" t="s">
        <v>572</v>
      </c>
      <c r="G219" s="10" t="s">
        <v>505</v>
      </c>
      <c r="H219" s="10" t="s">
        <v>506</v>
      </c>
      <c r="I219" s="11" t="s">
        <v>121</v>
      </c>
      <c r="J219" s="13" t="s">
        <v>663</v>
      </c>
      <c r="K219" s="12" t="n">
        <f aca="false">ROUND((IF(E219="Transactional",5,IF(E219="Commercial",4,IF(E219="Comparison",3,IF(E219="Informational",2,3))))*LOG10(IF(ISNUMBER(L219),L219,IFERROR(VALUE(LEFT(F219,FIND("-",F219)-1)),100))+1))/IF(IF(ISBLANK(M219),G219,M219)="High",5,IF(IF(ISBLANK(M219),G219,M219)="Medium",3,1)),2)</f>
        <v>5.97</v>
      </c>
      <c r="L219" s="10"/>
      <c r="M219" s="10"/>
      <c r="N219" s="10"/>
      <c r="O219" s="10" t="s">
        <v>123</v>
      </c>
      <c r="P219" s="11"/>
    </row>
    <row r="220" customFormat="false" ht="25.5" hidden="false" customHeight="true" outlineLevel="0" collapsed="false">
      <c r="A220" s="10" t="n">
        <v>219</v>
      </c>
      <c r="B220" s="10" t="n">
        <v>2</v>
      </c>
      <c r="C220" s="10" t="s">
        <v>115</v>
      </c>
      <c r="D220" s="11" t="s">
        <v>664</v>
      </c>
      <c r="E220" s="10" t="s">
        <v>117</v>
      </c>
      <c r="F220" s="11" t="s">
        <v>572</v>
      </c>
      <c r="G220" s="10" t="s">
        <v>505</v>
      </c>
      <c r="H220" s="10" t="s">
        <v>506</v>
      </c>
      <c r="I220" s="11" t="s">
        <v>121</v>
      </c>
      <c r="J220" s="11" t="s">
        <v>665</v>
      </c>
      <c r="K220" s="12" t="n">
        <f aca="false">ROUND((IF(E220="Transactional",5,IF(E220="Commercial",4,IF(E220="Comparison",3,IF(E220="Informational",2,3))))*LOG10(IF(ISNUMBER(L220),L220,IFERROR(VALUE(LEFT(F220,FIND("-",F220)-1)),100))+1))/IF(IF(ISBLANK(M220),G220,M220)="High",5,IF(IF(ISBLANK(M220),G220,M220)="Medium",3,1)),2)</f>
        <v>5.97</v>
      </c>
      <c r="L220" s="10"/>
      <c r="M220" s="10"/>
      <c r="N220" s="10"/>
      <c r="O220" s="10" t="s">
        <v>123</v>
      </c>
      <c r="P220" s="11" t="s">
        <v>508</v>
      </c>
    </row>
    <row r="221" customFormat="false" ht="25.5" hidden="false" customHeight="true" outlineLevel="0" collapsed="false">
      <c r="A221" s="10" t="n">
        <v>220</v>
      </c>
      <c r="B221" s="10" t="n">
        <v>2</v>
      </c>
      <c r="C221" s="10" t="s">
        <v>125</v>
      </c>
      <c r="D221" s="13" t="s">
        <v>666</v>
      </c>
      <c r="E221" s="10" t="s">
        <v>117</v>
      </c>
      <c r="F221" s="11" t="s">
        <v>572</v>
      </c>
      <c r="G221" s="10" t="s">
        <v>505</v>
      </c>
      <c r="H221" s="10" t="s">
        <v>506</v>
      </c>
      <c r="I221" s="11" t="s">
        <v>121</v>
      </c>
      <c r="J221" s="13" t="s">
        <v>667</v>
      </c>
      <c r="K221" s="12" t="n">
        <f aca="false">ROUND((IF(E221="Transactional",5,IF(E221="Commercial",4,IF(E221="Comparison",3,IF(E221="Informational",2,3))))*LOG10(IF(ISNUMBER(L221),L221,IFERROR(VALUE(LEFT(F221,FIND("-",F221)-1)),100))+1))/IF(IF(ISBLANK(M221),G221,M221)="High",5,IF(IF(ISBLANK(M221),G221,M221)="Medium",3,1)),2)</f>
        <v>5.97</v>
      </c>
      <c r="L221" s="10"/>
      <c r="M221" s="10"/>
      <c r="N221" s="10"/>
      <c r="O221" s="10" t="s">
        <v>123</v>
      </c>
      <c r="P221" s="11"/>
    </row>
    <row r="222" customFormat="false" ht="25.5" hidden="false" customHeight="true" outlineLevel="0" collapsed="false">
      <c r="A222" s="10" t="n">
        <v>221</v>
      </c>
      <c r="B222" s="10" t="n">
        <v>2</v>
      </c>
      <c r="C222" s="10" t="s">
        <v>115</v>
      </c>
      <c r="D222" s="11" t="s">
        <v>668</v>
      </c>
      <c r="E222" s="10" t="s">
        <v>117</v>
      </c>
      <c r="F222" s="11" t="s">
        <v>504</v>
      </c>
      <c r="G222" s="10" t="s">
        <v>505</v>
      </c>
      <c r="H222" s="10" t="s">
        <v>506</v>
      </c>
      <c r="I222" s="11" t="s">
        <v>121</v>
      </c>
      <c r="J222" s="11" t="s">
        <v>669</v>
      </c>
      <c r="K222" s="12" t="n">
        <f aca="false">ROUND((IF(E222="Transactional",5,IF(E222="Commercial",4,IF(E222="Comparison",3,IF(E222="Informational",2,3))))*LOG10(IF(ISNUMBER(L222),L222,IFERROR(VALUE(LEFT(F222,FIND("-",F222)-1)),100))+1))/IF(IF(ISBLANK(M222),G222,M222)="High",5,IF(IF(ISBLANK(M222),G222,M222)="Medium",3,1)),2)</f>
        <v>6.45</v>
      </c>
      <c r="L222" s="10"/>
      <c r="M222" s="10"/>
      <c r="N222" s="10"/>
      <c r="O222" s="10" t="s">
        <v>123</v>
      </c>
      <c r="P222" s="11" t="s">
        <v>508</v>
      </c>
    </row>
    <row r="223" customFormat="false" ht="25.5" hidden="false" customHeight="true" outlineLevel="0" collapsed="false">
      <c r="A223" s="10" t="n">
        <v>222</v>
      </c>
      <c r="B223" s="10" t="n">
        <v>2</v>
      </c>
      <c r="C223" s="10" t="s">
        <v>125</v>
      </c>
      <c r="D223" s="13" t="s">
        <v>670</v>
      </c>
      <c r="E223" s="10" t="s">
        <v>117</v>
      </c>
      <c r="F223" s="11" t="s">
        <v>504</v>
      </c>
      <c r="G223" s="10" t="s">
        <v>505</v>
      </c>
      <c r="H223" s="10" t="s">
        <v>506</v>
      </c>
      <c r="I223" s="11" t="s">
        <v>121</v>
      </c>
      <c r="J223" s="13" t="s">
        <v>671</v>
      </c>
      <c r="K223" s="12" t="n">
        <f aca="false">ROUND((IF(E223="Transactional",5,IF(E223="Commercial",4,IF(E223="Comparison",3,IF(E223="Informational",2,3))))*LOG10(IF(ISNUMBER(L223),L223,IFERROR(VALUE(LEFT(F223,FIND("-",F223)-1)),100))+1))/IF(IF(ISBLANK(M223),G223,M223)="High",5,IF(IF(ISBLANK(M223),G223,M223)="Medium",3,1)),2)</f>
        <v>6.45</v>
      </c>
      <c r="L223" s="10"/>
      <c r="M223" s="10"/>
      <c r="N223" s="10"/>
      <c r="O223" s="10" t="s">
        <v>123</v>
      </c>
      <c r="P223" s="11"/>
    </row>
    <row r="224" customFormat="false" ht="25.5" hidden="false" customHeight="true" outlineLevel="0" collapsed="false">
      <c r="A224" s="10" t="n">
        <v>223</v>
      </c>
      <c r="B224" s="10" t="n">
        <v>2</v>
      </c>
      <c r="C224" s="10" t="s">
        <v>115</v>
      </c>
      <c r="D224" s="11" t="s">
        <v>672</v>
      </c>
      <c r="E224" s="10" t="s">
        <v>117</v>
      </c>
      <c r="F224" s="11" t="s">
        <v>504</v>
      </c>
      <c r="G224" s="10" t="s">
        <v>505</v>
      </c>
      <c r="H224" s="10" t="s">
        <v>506</v>
      </c>
      <c r="I224" s="11" t="s">
        <v>121</v>
      </c>
      <c r="J224" s="11" t="s">
        <v>673</v>
      </c>
      <c r="K224" s="12" t="n">
        <f aca="false">ROUND((IF(E224="Transactional",5,IF(E224="Commercial",4,IF(E224="Comparison",3,IF(E224="Informational",2,3))))*LOG10(IF(ISNUMBER(L224),L224,IFERROR(VALUE(LEFT(F224,FIND("-",F224)-1)),100))+1))/IF(IF(ISBLANK(M224),G224,M224)="High",5,IF(IF(ISBLANK(M224),G224,M224)="Medium",3,1)),2)</f>
        <v>6.45</v>
      </c>
      <c r="L224" s="10"/>
      <c r="M224" s="10"/>
      <c r="N224" s="10"/>
      <c r="O224" s="10" t="s">
        <v>123</v>
      </c>
      <c r="P224" s="11" t="s">
        <v>508</v>
      </c>
    </row>
    <row r="225" customFormat="false" ht="25.5" hidden="false" customHeight="true" outlineLevel="0" collapsed="false">
      <c r="A225" s="10" t="n">
        <v>224</v>
      </c>
      <c r="B225" s="10" t="n">
        <v>2</v>
      </c>
      <c r="C225" s="10" t="s">
        <v>125</v>
      </c>
      <c r="D225" s="13" t="s">
        <v>674</v>
      </c>
      <c r="E225" s="10" t="s">
        <v>117</v>
      </c>
      <c r="F225" s="11" t="s">
        <v>504</v>
      </c>
      <c r="G225" s="10" t="s">
        <v>505</v>
      </c>
      <c r="H225" s="10" t="s">
        <v>506</v>
      </c>
      <c r="I225" s="11" t="s">
        <v>121</v>
      </c>
      <c r="J225" s="13" t="s">
        <v>675</v>
      </c>
      <c r="K225" s="12" t="n">
        <f aca="false">ROUND((IF(E225="Transactional",5,IF(E225="Commercial",4,IF(E225="Comparison",3,IF(E225="Informational",2,3))))*LOG10(IF(ISNUMBER(L225),L225,IFERROR(VALUE(LEFT(F225,FIND("-",F225)-1)),100))+1))/IF(IF(ISBLANK(M225),G225,M225)="High",5,IF(IF(ISBLANK(M225),G225,M225)="Medium",3,1)),2)</f>
        <v>6.45</v>
      </c>
      <c r="L225" s="10"/>
      <c r="M225" s="10"/>
      <c r="N225" s="10"/>
      <c r="O225" s="10" t="s">
        <v>123</v>
      </c>
      <c r="P225" s="11"/>
    </row>
    <row r="226" customFormat="false" ht="25.5" hidden="false" customHeight="true" outlineLevel="0" collapsed="false">
      <c r="A226" s="10" t="n">
        <v>225</v>
      </c>
      <c r="B226" s="10" t="n">
        <v>2</v>
      </c>
      <c r="C226" s="10" t="s">
        <v>115</v>
      </c>
      <c r="D226" s="11" t="s">
        <v>676</v>
      </c>
      <c r="E226" s="10" t="s">
        <v>117</v>
      </c>
      <c r="F226" s="11" t="s">
        <v>504</v>
      </c>
      <c r="G226" s="10" t="s">
        <v>505</v>
      </c>
      <c r="H226" s="10" t="s">
        <v>506</v>
      </c>
      <c r="I226" s="11" t="s">
        <v>121</v>
      </c>
      <c r="J226" s="11" t="s">
        <v>677</v>
      </c>
      <c r="K226" s="12" t="n">
        <f aca="false">ROUND((IF(E226="Transactional",5,IF(E226="Commercial",4,IF(E226="Comparison",3,IF(E226="Informational",2,3))))*LOG10(IF(ISNUMBER(L226),L226,IFERROR(VALUE(LEFT(F226,FIND("-",F226)-1)),100))+1))/IF(IF(ISBLANK(M226),G226,M226)="High",5,IF(IF(ISBLANK(M226),G226,M226)="Medium",3,1)),2)</f>
        <v>6.45</v>
      </c>
      <c r="L226" s="10"/>
      <c r="M226" s="10"/>
      <c r="N226" s="10"/>
      <c r="O226" s="10" t="s">
        <v>123</v>
      </c>
      <c r="P226" s="11" t="s">
        <v>508</v>
      </c>
    </row>
    <row r="227" customFormat="false" ht="25.5" hidden="false" customHeight="true" outlineLevel="0" collapsed="false">
      <c r="A227" s="10" t="n">
        <v>226</v>
      </c>
      <c r="B227" s="10" t="n">
        <v>2</v>
      </c>
      <c r="C227" s="10" t="s">
        <v>125</v>
      </c>
      <c r="D227" s="13" t="s">
        <v>678</v>
      </c>
      <c r="E227" s="10" t="s">
        <v>117</v>
      </c>
      <c r="F227" s="11" t="s">
        <v>504</v>
      </c>
      <c r="G227" s="10" t="s">
        <v>505</v>
      </c>
      <c r="H227" s="10" t="s">
        <v>506</v>
      </c>
      <c r="I227" s="11" t="s">
        <v>121</v>
      </c>
      <c r="J227" s="13" t="s">
        <v>679</v>
      </c>
      <c r="K227" s="12" t="n">
        <f aca="false">ROUND((IF(E227="Transactional",5,IF(E227="Commercial",4,IF(E227="Comparison",3,IF(E227="Informational",2,3))))*LOG10(IF(ISNUMBER(L227),L227,IFERROR(VALUE(LEFT(F227,FIND("-",F227)-1)),100))+1))/IF(IF(ISBLANK(M227),G227,M227)="High",5,IF(IF(ISBLANK(M227),G227,M227)="Medium",3,1)),2)</f>
        <v>6.45</v>
      </c>
      <c r="L227" s="10"/>
      <c r="M227" s="10"/>
      <c r="N227" s="10"/>
      <c r="O227" s="10" t="s">
        <v>123</v>
      </c>
      <c r="P227" s="11"/>
    </row>
    <row r="228" customFormat="false" ht="25.5" hidden="false" customHeight="true" outlineLevel="0" collapsed="false">
      <c r="A228" s="10" t="n">
        <v>227</v>
      </c>
      <c r="B228" s="10" t="n">
        <v>2</v>
      </c>
      <c r="C228" s="10" t="s">
        <v>115</v>
      </c>
      <c r="D228" s="11" t="s">
        <v>680</v>
      </c>
      <c r="E228" s="10" t="s">
        <v>117</v>
      </c>
      <c r="F228" s="11" t="s">
        <v>504</v>
      </c>
      <c r="G228" s="10" t="s">
        <v>505</v>
      </c>
      <c r="H228" s="10" t="s">
        <v>506</v>
      </c>
      <c r="I228" s="11" t="s">
        <v>121</v>
      </c>
      <c r="J228" s="11" t="s">
        <v>681</v>
      </c>
      <c r="K228" s="12" t="n">
        <f aca="false">ROUND((IF(E228="Transactional",5,IF(E228="Commercial",4,IF(E228="Comparison",3,IF(E228="Informational",2,3))))*LOG10(IF(ISNUMBER(L228),L228,IFERROR(VALUE(LEFT(F228,FIND("-",F228)-1)),100))+1))/IF(IF(ISBLANK(M228),G228,M228)="High",5,IF(IF(ISBLANK(M228),G228,M228)="Medium",3,1)),2)</f>
        <v>6.45</v>
      </c>
      <c r="L228" s="10"/>
      <c r="M228" s="10"/>
      <c r="N228" s="10"/>
      <c r="O228" s="10" t="s">
        <v>123</v>
      </c>
      <c r="P228" s="11" t="s">
        <v>508</v>
      </c>
    </row>
    <row r="229" customFormat="false" ht="25.5" hidden="false" customHeight="true" outlineLevel="0" collapsed="false">
      <c r="A229" s="10" t="n">
        <v>228</v>
      </c>
      <c r="B229" s="10" t="n">
        <v>2</v>
      </c>
      <c r="C229" s="10" t="s">
        <v>125</v>
      </c>
      <c r="D229" s="13" t="s">
        <v>682</v>
      </c>
      <c r="E229" s="10" t="s">
        <v>117</v>
      </c>
      <c r="F229" s="11" t="s">
        <v>504</v>
      </c>
      <c r="G229" s="10" t="s">
        <v>505</v>
      </c>
      <c r="H229" s="10" t="s">
        <v>506</v>
      </c>
      <c r="I229" s="11" t="s">
        <v>121</v>
      </c>
      <c r="J229" s="13" t="s">
        <v>683</v>
      </c>
      <c r="K229" s="12" t="n">
        <f aca="false">ROUND((IF(E229="Transactional",5,IF(E229="Commercial",4,IF(E229="Comparison",3,IF(E229="Informational",2,3))))*LOG10(IF(ISNUMBER(L229),L229,IFERROR(VALUE(LEFT(F229,FIND("-",F229)-1)),100))+1))/IF(IF(ISBLANK(M229),G229,M229)="High",5,IF(IF(ISBLANK(M229),G229,M229)="Medium",3,1)),2)</f>
        <v>6.45</v>
      </c>
      <c r="L229" s="10"/>
      <c r="M229" s="10"/>
      <c r="N229" s="10"/>
      <c r="O229" s="10" t="s">
        <v>123</v>
      </c>
      <c r="P229" s="11"/>
    </row>
    <row r="230" customFormat="false" ht="25.5" hidden="false" customHeight="true" outlineLevel="0" collapsed="false">
      <c r="A230" s="10" t="n">
        <v>229</v>
      </c>
      <c r="B230" s="10" t="n">
        <v>2</v>
      </c>
      <c r="C230" s="10" t="s">
        <v>115</v>
      </c>
      <c r="D230" s="11" t="s">
        <v>684</v>
      </c>
      <c r="E230" s="10" t="s">
        <v>117</v>
      </c>
      <c r="F230" s="11" t="s">
        <v>504</v>
      </c>
      <c r="G230" s="10" t="s">
        <v>505</v>
      </c>
      <c r="H230" s="10" t="s">
        <v>506</v>
      </c>
      <c r="I230" s="11" t="s">
        <v>121</v>
      </c>
      <c r="J230" s="11" t="s">
        <v>685</v>
      </c>
      <c r="K230" s="12" t="n">
        <f aca="false">ROUND((IF(E230="Transactional",5,IF(E230="Commercial",4,IF(E230="Comparison",3,IF(E230="Informational",2,3))))*LOG10(IF(ISNUMBER(L230),L230,IFERROR(VALUE(LEFT(F230,FIND("-",F230)-1)),100))+1))/IF(IF(ISBLANK(M230),G230,M230)="High",5,IF(IF(ISBLANK(M230),G230,M230)="Medium",3,1)),2)</f>
        <v>6.45</v>
      </c>
      <c r="L230" s="10"/>
      <c r="M230" s="10"/>
      <c r="N230" s="10"/>
      <c r="O230" s="10" t="s">
        <v>123</v>
      </c>
      <c r="P230" s="11" t="s">
        <v>508</v>
      </c>
    </row>
    <row r="231" customFormat="false" ht="25.5" hidden="false" customHeight="true" outlineLevel="0" collapsed="false">
      <c r="A231" s="10" t="n">
        <v>230</v>
      </c>
      <c r="B231" s="10" t="n">
        <v>2</v>
      </c>
      <c r="C231" s="10" t="s">
        <v>125</v>
      </c>
      <c r="D231" s="13" t="s">
        <v>686</v>
      </c>
      <c r="E231" s="10" t="s">
        <v>117</v>
      </c>
      <c r="F231" s="11" t="s">
        <v>504</v>
      </c>
      <c r="G231" s="10" t="s">
        <v>505</v>
      </c>
      <c r="H231" s="10" t="s">
        <v>506</v>
      </c>
      <c r="I231" s="11" t="s">
        <v>121</v>
      </c>
      <c r="J231" s="13" t="s">
        <v>687</v>
      </c>
      <c r="K231" s="12" t="n">
        <f aca="false">ROUND((IF(E231="Transactional",5,IF(E231="Commercial",4,IF(E231="Comparison",3,IF(E231="Informational",2,3))))*LOG10(IF(ISNUMBER(L231),L231,IFERROR(VALUE(LEFT(F231,FIND("-",F231)-1)),100))+1))/IF(IF(ISBLANK(M231),G231,M231)="High",5,IF(IF(ISBLANK(M231),G231,M231)="Medium",3,1)),2)</f>
        <v>6.45</v>
      </c>
      <c r="L231" s="10"/>
      <c r="M231" s="10"/>
      <c r="N231" s="10"/>
      <c r="O231" s="10" t="s">
        <v>123</v>
      </c>
      <c r="P231" s="11"/>
    </row>
    <row r="232" customFormat="false" ht="25.5" hidden="false" customHeight="true" outlineLevel="0" collapsed="false">
      <c r="A232" s="10" t="n">
        <v>231</v>
      </c>
      <c r="B232" s="10" t="n">
        <v>2</v>
      </c>
      <c r="C232" s="10" t="s">
        <v>115</v>
      </c>
      <c r="D232" s="11" t="s">
        <v>688</v>
      </c>
      <c r="E232" s="10" t="s">
        <v>117</v>
      </c>
      <c r="F232" s="11" t="s">
        <v>504</v>
      </c>
      <c r="G232" s="10" t="s">
        <v>505</v>
      </c>
      <c r="H232" s="10" t="s">
        <v>506</v>
      </c>
      <c r="I232" s="11" t="s">
        <v>121</v>
      </c>
      <c r="J232" s="11" t="s">
        <v>689</v>
      </c>
      <c r="K232" s="12" t="n">
        <f aca="false">ROUND((IF(E232="Transactional",5,IF(E232="Commercial",4,IF(E232="Comparison",3,IF(E232="Informational",2,3))))*LOG10(IF(ISNUMBER(L232),L232,IFERROR(VALUE(LEFT(F232,FIND("-",F232)-1)),100))+1))/IF(IF(ISBLANK(M232),G232,M232)="High",5,IF(IF(ISBLANK(M232),G232,M232)="Medium",3,1)),2)</f>
        <v>6.45</v>
      </c>
      <c r="L232" s="10"/>
      <c r="M232" s="10"/>
      <c r="N232" s="10"/>
      <c r="O232" s="10" t="s">
        <v>123</v>
      </c>
      <c r="P232" s="11" t="s">
        <v>508</v>
      </c>
    </row>
    <row r="233" customFormat="false" ht="25.5" hidden="false" customHeight="true" outlineLevel="0" collapsed="false">
      <c r="A233" s="10" t="n">
        <v>232</v>
      </c>
      <c r="B233" s="10" t="n">
        <v>2</v>
      </c>
      <c r="C233" s="10" t="s">
        <v>125</v>
      </c>
      <c r="D233" s="13" t="s">
        <v>690</v>
      </c>
      <c r="E233" s="10" t="s">
        <v>117</v>
      </c>
      <c r="F233" s="11" t="s">
        <v>504</v>
      </c>
      <c r="G233" s="10" t="s">
        <v>505</v>
      </c>
      <c r="H233" s="10" t="s">
        <v>506</v>
      </c>
      <c r="I233" s="11" t="s">
        <v>121</v>
      </c>
      <c r="J233" s="13" t="s">
        <v>691</v>
      </c>
      <c r="K233" s="12" t="n">
        <f aca="false">ROUND((IF(E233="Transactional",5,IF(E233="Commercial",4,IF(E233="Comparison",3,IF(E233="Informational",2,3))))*LOG10(IF(ISNUMBER(L233),L233,IFERROR(VALUE(LEFT(F233,FIND("-",F233)-1)),100))+1))/IF(IF(ISBLANK(M233),G233,M233)="High",5,IF(IF(ISBLANK(M233),G233,M233)="Medium",3,1)),2)</f>
        <v>6.45</v>
      </c>
      <c r="L233" s="10"/>
      <c r="M233" s="10"/>
      <c r="N233" s="10"/>
      <c r="O233" s="10" t="s">
        <v>123</v>
      </c>
      <c r="P233" s="11"/>
    </row>
    <row r="234" customFormat="false" ht="25.5" hidden="false" customHeight="true" outlineLevel="0" collapsed="false">
      <c r="A234" s="10" t="n">
        <v>233</v>
      </c>
      <c r="B234" s="10" t="n">
        <v>2</v>
      </c>
      <c r="C234" s="10" t="s">
        <v>115</v>
      </c>
      <c r="D234" s="11" t="s">
        <v>692</v>
      </c>
      <c r="E234" s="10" t="s">
        <v>117</v>
      </c>
      <c r="F234" s="11" t="s">
        <v>504</v>
      </c>
      <c r="G234" s="10" t="s">
        <v>505</v>
      </c>
      <c r="H234" s="10" t="s">
        <v>506</v>
      </c>
      <c r="I234" s="11" t="s">
        <v>121</v>
      </c>
      <c r="J234" s="11" t="s">
        <v>693</v>
      </c>
      <c r="K234" s="12" t="n">
        <f aca="false">ROUND((IF(E234="Transactional",5,IF(E234="Commercial",4,IF(E234="Comparison",3,IF(E234="Informational",2,3))))*LOG10(IF(ISNUMBER(L234),L234,IFERROR(VALUE(LEFT(F234,FIND("-",F234)-1)),100))+1))/IF(IF(ISBLANK(M234),G234,M234)="High",5,IF(IF(ISBLANK(M234),G234,M234)="Medium",3,1)),2)</f>
        <v>6.45</v>
      </c>
      <c r="L234" s="10"/>
      <c r="M234" s="10"/>
      <c r="N234" s="10"/>
      <c r="O234" s="10" t="s">
        <v>123</v>
      </c>
      <c r="P234" s="11" t="s">
        <v>508</v>
      </c>
    </row>
    <row r="235" customFormat="false" ht="25.5" hidden="false" customHeight="true" outlineLevel="0" collapsed="false">
      <c r="A235" s="10" t="n">
        <v>234</v>
      </c>
      <c r="B235" s="10" t="n">
        <v>2</v>
      </c>
      <c r="C235" s="10" t="s">
        <v>125</v>
      </c>
      <c r="D235" s="13" t="s">
        <v>694</v>
      </c>
      <c r="E235" s="10" t="s">
        <v>117</v>
      </c>
      <c r="F235" s="11" t="s">
        <v>504</v>
      </c>
      <c r="G235" s="10" t="s">
        <v>505</v>
      </c>
      <c r="H235" s="10" t="s">
        <v>506</v>
      </c>
      <c r="I235" s="11" t="s">
        <v>121</v>
      </c>
      <c r="J235" s="13" t="s">
        <v>695</v>
      </c>
      <c r="K235" s="12" t="n">
        <f aca="false">ROUND((IF(E235="Transactional",5,IF(E235="Commercial",4,IF(E235="Comparison",3,IF(E235="Informational",2,3))))*LOG10(IF(ISNUMBER(L235),L235,IFERROR(VALUE(LEFT(F235,FIND("-",F235)-1)),100))+1))/IF(IF(ISBLANK(M235),G235,M235)="High",5,IF(IF(ISBLANK(M235),G235,M235)="Medium",3,1)),2)</f>
        <v>6.45</v>
      </c>
      <c r="L235" s="10"/>
      <c r="M235" s="10"/>
      <c r="N235" s="10"/>
      <c r="O235" s="10" t="s">
        <v>123</v>
      </c>
      <c r="P235" s="11"/>
    </row>
    <row r="236" customFormat="false" ht="25.5" hidden="false" customHeight="true" outlineLevel="0" collapsed="false">
      <c r="A236" s="10" t="n">
        <v>235</v>
      </c>
      <c r="B236" s="10" t="n">
        <v>2</v>
      </c>
      <c r="C236" s="10" t="s">
        <v>115</v>
      </c>
      <c r="D236" s="11" t="s">
        <v>696</v>
      </c>
      <c r="E236" s="10" t="s">
        <v>117</v>
      </c>
      <c r="F236" s="11" t="s">
        <v>504</v>
      </c>
      <c r="G236" s="10" t="s">
        <v>505</v>
      </c>
      <c r="H236" s="10" t="s">
        <v>506</v>
      </c>
      <c r="I236" s="11" t="s">
        <v>121</v>
      </c>
      <c r="J236" s="11" t="s">
        <v>697</v>
      </c>
      <c r="K236" s="12" t="n">
        <f aca="false">ROUND((IF(E236="Transactional",5,IF(E236="Commercial",4,IF(E236="Comparison",3,IF(E236="Informational",2,3))))*LOG10(IF(ISNUMBER(L236),L236,IFERROR(VALUE(LEFT(F236,FIND("-",F236)-1)),100))+1))/IF(IF(ISBLANK(M236),G236,M236)="High",5,IF(IF(ISBLANK(M236),G236,M236)="Medium",3,1)),2)</f>
        <v>6.45</v>
      </c>
      <c r="L236" s="10"/>
      <c r="M236" s="10"/>
      <c r="N236" s="10"/>
      <c r="O236" s="10" t="s">
        <v>123</v>
      </c>
      <c r="P236" s="11" t="s">
        <v>508</v>
      </c>
    </row>
    <row r="237" customFormat="false" ht="25.5" hidden="false" customHeight="true" outlineLevel="0" collapsed="false">
      <c r="A237" s="10" t="n">
        <v>236</v>
      </c>
      <c r="B237" s="10" t="n">
        <v>2</v>
      </c>
      <c r="C237" s="10" t="s">
        <v>125</v>
      </c>
      <c r="D237" s="13" t="s">
        <v>698</v>
      </c>
      <c r="E237" s="10" t="s">
        <v>117</v>
      </c>
      <c r="F237" s="11" t="s">
        <v>504</v>
      </c>
      <c r="G237" s="10" t="s">
        <v>505</v>
      </c>
      <c r="H237" s="10" t="s">
        <v>506</v>
      </c>
      <c r="I237" s="11" t="s">
        <v>121</v>
      </c>
      <c r="J237" s="13" t="s">
        <v>699</v>
      </c>
      <c r="K237" s="12" t="n">
        <f aca="false">ROUND((IF(E237="Transactional",5,IF(E237="Commercial",4,IF(E237="Comparison",3,IF(E237="Informational",2,3))))*LOG10(IF(ISNUMBER(L237),L237,IFERROR(VALUE(LEFT(F237,FIND("-",F237)-1)),100))+1))/IF(IF(ISBLANK(M237),G237,M237)="High",5,IF(IF(ISBLANK(M237),G237,M237)="Medium",3,1)),2)</f>
        <v>6.45</v>
      </c>
      <c r="L237" s="10"/>
      <c r="M237" s="10"/>
      <c r="N237" s="10"/>
      <c r="O237" s="10" t="s">
        <v>123</v>
      </c>
      <c r="P237" s="11"/>
    </row>
    <row r="238" customFormat="false" ht="25.5" hidden="false" customHeight="true" outlineLevel="0" collapsed="false">
      <c r="A238" s="10" t="n">
        <v>237</v>
      </c>
      <c r="B238" s="10" t="n">
        <v>2</v>
      </c>
      <c r="C238" s="10" t="s">
        <v>115</v>
      </c>
      <c r="D238" s="11" t="s">
        <v>700</v>
      </c>
      <c r="E238" s="10" t="s">
        <v>117</v>
      </c>
      <c r="F238" s="11" t="s">
        <v>572</v>
      </c>
      <c r="G238" s="10" t="s">
        <v>505</v>
      </c>
      <c r="H238" s="10" t="s">
        <v>506</v>
      </c>
      <c r="I238" s="11" t="s">
        <v>121</v>
      </c>
      <c r="J238" s="11" t="s">
        <v>701</v>
      </c>
      <c r="K238" s="12" t="n">
        <f aca="false">ROUND((IF(E238="Transactional",5,IF(E238="Commercial",4,IF(E238="Comparison",3,IF(E238="Informational",2,3))))*LOG10(IF(ISNUMBER(L238),L238,IFERROR(VALUE(LEFT(F238,FIND("-",F238)-1)),100))+1))/IF(IF(ISBLANK(M238),G238,M238)="High",5,IF(IF(ISBLANK(M238),G238,M238)="Medium",3,1)),2)</f>
        <v>5.97</v>
      </c>
      <c r="L238" s="10"/>
      <c r="M238" s="10"/>
      <c r="N238" s="10"/>
      <c r="O238" s="10" t="s">
        <v>123</v>
      </c>
      <c r="P238" s="11" t="s">
        <v>508</v>
      </c>
    </row>
    <row r="239" customFormat="false" ht="25.5" hidden="false" customHeight="true" outlineLevel="0" collapsed="false">
      <c r="A239" s="10" t="n">
        <v>238</v>
      </c>
      <c r="B239" s="10" t="n">
        <v>2</v>
      </c>
      <c r="C239" s="10" t="s">
        <v>125</v>
      </c>
      <c r="D239" s="13" t="s">
        <v>702</v>
      </c>
      <c r="E239" s="10" t="s">
        <v>117</v>
      </c>
      <c r="F239" s="11" t="s">
        <v>572</v>
      </c>
      <c r="G239" s="10" t="s">
        <v>505</v>
      </c>
      <c r="H239" s="10" t="s">
        <v>506</v>
      </c>
      <c r="I239" s="11" t="s">
        <v>121</v>
      </c>
      <c r="J239" s="13" t="s">
        <v>703</v>
      </c>
      <c r="K239" s="12" t="n">
        <f aca="false">ROUND((IF(E239="Transactional",5,IF(E239="Commercial",4,IF(E239="Comparison",3,IF(E239="Informational",2,3))))*LOG10(IF(ISNUMBER(L239),L239,IFERROR(VALUE(LEFT(F239,FIND("-",F239)-1)),100))+1))/IF(IF(ISBLANK(M239),G239,M239)="High",5,IF(IF(ISBLANK(M239),G239,M239)="Medium",3,1)),2)</f>
        <v>5.97</v>
      </c>
      <c r="L239" s="10"/>
      <c r="M239" s="10"/>
      <c r="N239" s="10"/>
      <c r="O239" s="10" t="s">
        <v>123</v>
      </c>
      <c r="P239" s="11"/>
    </row>
    <row r="240" customFormat="false" ht="25.5" hidden="false" customHeight="true" outlineLevel="0" collapsed="false">
      <c r="A240" s="10" t="n">
        <v>239</v>
      </c>
      <c r="B240" s="10" t="n">
        <v>2</v>
      </c>
      <c r="C240" s="10" t="s">
        <v>115</v>
      </c>
      <c r="D240" s="11" t="s">
        <v>704</v>
      </c>
      <c r="E240" s="10" t="s">
        <v>117</v>
      </c>
      <c r="F240" s="11" t="s">
        <v>572</v>
      </c>
      <c r="G240" s="10" t="s">
        <v>505</v>
      </c>
      <c r="H240" s="10" t="s">
        <v>506</v>
      </c>
      <c r="I240" s="11" t="s">
        <v>121</v>
      </c>
      <c r="J240" s="11" t="s">
        <v>705</v>
      </c>
      <c r="K240" s="12" t="n">
        <f aca="false">ROUND((IF(E240="Transactional",5,IF(E240="Commercial",4,IF(E240="Comparison",3,IF(E240="Informational",2,3))))*LOG10(IF(ISNUMBER(L240),L240,IFERROR(VALUE(LEFT(F240,FIND("-",F240)-1)),100))+1))/IF(IF(ISBLANK(M240),G240,M240)="High",5,IF(IF(ISBLANK(M240),G240,M240)="Medium",3,1)),2)</f>
        <v>5.97</v>
      </c>
      <c r="L240" s="10"/>
      <c r="M240" s="10"/>
      <c r="N240" s="10"/>
      <c r="O240" s="10" t="s">
        <v>123</v>
      </c>
      <c r="P240" s="11" t="s">
        <v>508</v>
      </c>
    </row>
    <row r="241" customFormat="false" ht="25.5" hidden="false" customHeight="true" outlineLevel="0" collapsed="false">
      <c r="A241" s="10" t="n">
        <v>240</v>
      </c>
      <c r="B241" s="10" t="n">
        <v>2</v>
      </c>
      <c r="C241" s="10" t="s">
        <v>125</v>
      </c>
      <c r="D241" s="13" t="s">
        <v>706</v>
      </c>
      <c r="E241" s="10" t="s">
        <v>117</v>
      </c>
      <c r="F241" s="11" t="s">
        <v>572</v>
      </c>
      <c r="G241" s="10" t="s">
        <v>505</v>
      </c>
      <c r="H241" s="10" t="s">
        <v>506</v>
      </c>
      <c r="I241" s="11" t="s">
        <v>121</v>
      </c>
      <c r="J241" s="13" t="s">
        <v>707</v>
      </c>
      <c r="K241" s="12" t="n">
        <f aca="false">ROUND((IF(E241="Transactional",5,IF(E241="Commercial",4,IF(E241="Comparison",3,IF(E241="Informational",2,3))))*LOG10(IF(ISNUMBER(L241),L241,IFERROR(VALUE(LEFT(F241,FIND("-",F241)-1)),100))+1))/IF(IF(ISBLANK(M241),G241,M241)="High",5,IF(IF(ISBLANK(M241),G241,M241)="Medium",3,1)),2)</f>
        <v>5.97</v>
      </c>
      <c r="L241" s="10"/>
      <c r="M241" s="10"/>
      <c r="N241" s="10"/>
      <c r="O241" s="10" t="s">
        <v>123</v>
      </c>
      <c r="P241" s="11"/>
    </row>
    <row r="242" customFormat="false" ht="25.5" hidden="false" customHeight="true" outlineLevel="0" collapsed="false">
      <c r="A242" s="10" t="n">
        <v>241</v>
      </c>
      <c r="B242" s="10" t="n">
        <v>2</v>
      </c>
      <c r="C242" s="10" t="s">
        <v>115</v>
      </c>
      <c r="D242" s="11" t="s">
        <v>708</v>
      </c>
      <c r="E242" s="10" t="s">
        <v>117</v>
      </c>
      <c r="F242" s="11" t="s">
        <v>572</v>
      </c>
      <c r="G242" s="10" t="s">
        <v>505</v>
      </c>
      <c r="H242" s="10" t="s">
        <v>506</v>
      </c>
      <c r="I242" s="11" t="s">
        <v>121</v>
      </c>
      <c r="J242" s="11" t="s">
        <v>709</v>
      </c>
      <c r="K242" s="12" t="n">
        <f aca="false">ROUND((IF(E242="Transactional",5,IF(E242="Commercial",4,IF(E242="Comparison",3,IF(E242="Informational",2,3))))*LOG10(IF(ISNUMBER(L242),L242,IFERROR(VALUE(LEFT(F242,FIND("-",F242)-1)),100))+1))/IF(IF(ISBLANK(M242),G242,M242)="High",5,IF(IF(ISBLANK(M242),G242,M242)="Medium",3,1)),2)</f>
        <v>5.97</v>
      </c>
      <c r="L242" s="10"/>
      <c r="M242" s="10"/>
      <c r="N242" s="10"/>
      <c r="O242" s="10" t="s">
        <v>123</v>
      </c>
      <c r="P242" s="11" t="s">
        <v>508</v>
      </c>
    </row>
    <row r="243" customFormat="false" ht="25.5" hidden="false" customHeight="true" outlineLevel="0" collapsed="false">
      <c r="A243" s="10" t="n">
        <v>242</v>
      </c>
      <c r="B243" s="10" t="n">
        <v>2</v>
      </c>
      <c r="C243" s="10" t="s">
        <v>125</v>
      </c>
      <c r="D243" s="13" t="s">
        <v>710</v>
      </c>
      <c r="E243" s="10" t="s">
        <v>117</v>
      </c>
      <c r="F243" s="11" t="s">
        <v>572</v>
      </c>
      <c r="G243" s="10" t="s">
        <v>505</v>
      </c>
      <c r="H243" s="10" t="s">
        <v>506</v>
      </c>
      <c r="I243" s="11" t="s">
        <v>121</v>
      </c>
      <c r="J243" s="13" t="s">
        <v>711</v>
      </c>
      <c r="K243" s="12" t="n">
        <f aca="false">ROUND((IF(E243="Transactional",5,IF(E243="Commercial",4,IF(E243="Comparison",3,IF(E243="Informational",2,3))))*LOG10(IF(ISNUMBER(L243),L243,IFERROR(VALUE(LEFT(F243,FIND("-",F243)-1)),100))+1))/IF(IF(ISBLANK(M243),G243,M243)="High",5,IF(IF(ISBLANK(M243),G243,M243)="Medium",3,1)),2)</f>
        <v>5.97</v>
      </c>
      <c r="L243" s="10"/>
      <c r="M243" s="10"/>
      <c r="N243" s="10"/>
      <c r="O243" s="10" t="s">
        <v>123</v>
      </c>
      <c r="P243" s="11"/>
    </row>
    <row r="244" customFormat="false" ht="25.5" hidden="false" customHeight="true" outlineLevel="0" collapsed="false">
      <c r="A244" s="10" t="n">
        <v>243</v>
      </c>
      <c r="B244" s="10" t="n">
        <v>2</v>
      </c>
      <c r="C244" s="10" t="s">
        <v>115</v>
      </c>
      <c r="D244" s="11" t="s">
        <v>712</v>
      </c>
      <c r="E244" s="10" t="s">
        <v>117</v>
      </c>
      <c r="F244" s="11" t="s">
        <v>572</v>
      </c>
      <c r="G244" s="10" t="s">
        <v>505</v>
      </c>
      <c r="H244" s="10" t="s">
        <v>506</v>
      </c>
      <c r="I244" s="11" t="s">
        <v>121</v>
      </c>
      <c r="J244" s="11" t="s">
        <v>713</v>
      </c>
      <c r="K244" s="12" t="n">
        <f aca="false">ROUND((IF(E244="Transactional",5,IF(E244="Commercial",4,IF(E244="Comparison",3,IF(E244="Informational",2,3))))*LOG10(IF(ISNUMBER(L244),L244,IFERROR(VALUE(LEFT(F244,FIND("-",F244)-1)),100))+1))/IF(IF(ISBLANK(M244),G244,M244)="High",5,IF(IF(ISBLANK(M244),G244,M244)="Medium",3,1)),2)</f>
        <v>5.97</v>
      </c>
      <c r="L244" s="10"/>
      <c r="M244" s="10"/>
      <c r="N244" s="10"/>
      <c r="O244" s="10" t="s">
        <v>123</v>
      </c>
      <c r="P244" s="11" t="s">
        <v>508</v>
      </c>
    </row>
    <row r="245" customFormat="false" ht="25.5" hidden="false" customHeight="true" outlineLevel="0" collapsed="false">
      <c r="A245" s="10" t="n">
        <v>244</v>
      </c>
      <c r="B245" s="10" t="n">
        <v>2</v>
      </c>
      <c r="C245" s="10" t="s">
        <v>125</v>
      </c>
      <c r="D245" s="13" t="s">
        <v>714</v>
      </c>
      <c r="E245" s="10" t="s">
        <v>117</v>
      </c>
      <c r="F245" s="11" t="s">
        <v>572</v>
      </c>
      <c r="G245" s="10" t="s">
        <v>505</v>
      </c>
      <c r="H245" s="10" t="s">
        <v>506</v>
      </c>
      <c r="I245" s="11" t="s">
        <v>121</v>
      </c>
      <c r="J245" s="13" t="s">
        <v>715</v>
      </c>
      <c r="K245" s="12" t="n">
        <f aca="false">ROUND((IF(E245="Transactional",5,IF(E245="Commercial",4,IF(E245="Comparison",3,IF(E245="Informational",2,3))))*LOG10(IF(ISNUMBER(L245),L245,IFERROR(VALUE(LEFT(F245,FIND("-",F245)-1)),100))+1))/IF(IF(ISBLANK(M245),G245,M245)="High",5,IF(IF(ISBLANK(M245),G245,M245)="Medium",3,1)),2)</f>
        <v>5.97</v>
      </c>
      <c r="L245" s="10"/>
      <c r="M245" s="10"/>
      <c r="N245" s="10"/>
      <c r="O245" s="10" t="s">
        <v>123</v>
      </c>
      <c r="P245" s="11"/>
    </row>
    <row r="246" customFormat="false" ht="25.5" hidden="false" customHeight="true" outlineLevel="0" collapsed="false">
      <c r="A246" s="10" t="n">
        <v>245</v>
      </c>
      <c r="B246" s="10" t="n">
        <v>2</v>
      </c>
      <c r="C246" s="10" t="s">
        <v>115</v>
      </c>
      <c r="D246" s="11" t="s">
        <v>716</v>
      </c>
      <c r="E246" s="10" t="s">
        <v>117</v>
      </c>
      <c r="F246" s="11" t="s">
        <v>572</v>
      </c>
      <c r="G246" s="10" t="s">
        <v>505</v>
      </c>
      <c r="H246" s="10" t="s">
        <v>506</v>
      </c>
      <c r="I246" s="11" t="s">
        <v>121</v>
      </c>
      <c r="J246" s="11" t="s">
        <v>717</v>
      </c>
      <c r="K246" s="12" t="n">
        <f aca="false">ROUND((IF(E246="Transactional",5,IF(E246="Commercial",4,IF(E246="Comparison",3,IF(E246="Informational",2,3))))*LOG10(IF(ISNUMBER(L246),L246,IFERROR(VALUE(LEFT(F246,FIND("-",F246)-1)),100))+1))/IF(IF(ISBLANK(M246),G246,M246)="High",5,IF(IF(ISBLANK(M246),G246,M246)="Medium",3,1)),2)</f>
        <v>5.97</v>
      </c>
      <c r="L246" s="10"/>
      <c r="M246" s="10"/>
      <c r="N246" s="10"/>
      <c r="O246" s="10" t="s">
        <v>123</v>
      </c>
      <c r="P246" s="11" t="s">
        <v>508</v>
      </c>
    </row>
    <row r="247" customFormat="false" ht="25.5" hidden="false" customHeight="true" outlineLevel="0" collapsed="false">
      <c r="A247" s="10" t="n">
        <v>246</v>
      </c>
      <c r="B247" s="10" t="n">
        <v>2</v>
      </c>
      <c r="C247" s="10" t="s">
        <v>125</v>
      </c>
      <c r="D247" s="13" t="s">
        <v>718</v>
      </c>
      <c r="E247" s="10" t="s">
        <v>117</v>
      </c>
      <c r="F247" s="11" t="s">
        <v>572</v>
      </c>
      <c r="G247" s="10" t="s">
        <v>505</v>
      </c>
      <c r="H247" s="10" t="s">
        <v>506</v>
      </c>
      <c r="I247" s="11" t="s">
        <v>121</v>
      </c>
      <c r="J247" s="13" t="s">
        <v>719</v>
      </c>
      <c r="K247" s="12" t="n">
        <f aca="false">ROUND((IF(E247="Transactional",5,IF(E247="Commercial",4,IF(E247="Comparison",3,IF(E247="Informational",2,3))))*LOG10(IF(ISNUMBER(L247),L247,IFERROR(VALUE(LEFT(F247,FIND("-",F247)-1)),100))+1))/IF(IF(ISBLANK(M247),G247,M247)="High",5,IF(IF(ISBLANK(M247),G247,M247)="Medium",3,1)),2)</f>
        <v>5.97</v>
      </c>
      <c r="L247" s="10"/>
      <c r="M247" s="10"/>
      <c r="N247" s="10"/>
      <c r="O247" s="10" t="s">
        <v>123</v>
      </c>
      <c r="P247" s="11"/>
    </row>
    <row r="248" customFormat="false" ht="25.5" hidden="false" customHeight="true" outlineLevel="0" collapsed="false">
      <c r="A248" s="10" t="n">
        <v>247</v>
      </c>
      <c r="B248" s="10" t="n">
        <v>2</v>
      </c>
      <c r="C248" s="10" t="s">
        <v>115</v>
      </c>
      <c r="D248" s="11" t="s">
        <v>720</v>
      </c>
      <c r="E248" s="10" t="s">
        <v>117</v>
      </c>
      <c r="F248" s="11" t="s">
        <v>572</v>
      </c>
      <c r="G248" s="10" t="s">
        <v>505</v>
      </c>
      <c r="H248" s="10" t="s">
        <v>506</v>
      </c>
      <c r="I248" s="11" t="s">
        <v>121</v>
      </c>
      <c r="J248" s="11" t="s">
        <v>721</v>
      </c>
      <c r="K248" s="12" t="n">
        <f aca="false">ROUND((IF(E248="Transactional",5,IF(E248="Commercial",4,IF(E248="Comparison",3,IF(E248="Informational",2,3))))*LOG10(IF(ISNUMBER(L248),L248,IFERROR(VALUE(LEFT(F248,FIND("-",F248)-1)),100))+1))/IF(IF(ISBLANK(M248),G248,M248)="High",5,IF(IF(ISBLANK(M248),G248,M248)="Medium",3,1)),2)</f>
        <v>5.97</v>
      </c>
      <c r="L248" s="10"/>
      <c r="M248" s="10"/>
      <c r="N248" s="10"/>
      <c r="O248" s="10" t="s">
        <v>123</v>
      </c>
      <c r="P248" s="11" t="s">
        <v>508</v>
      </c>
    </row>
    <row r="249" customFormat="false" ht="25.5" hidden="false" customHeight="true" outlineLevel="0" collapsed="false">
      <c r="A249" s="10" t="n">
        <v>248</v>
      </c>
      <c r="B249" s="10" t="n">
        <v>2</v>
      </c>
      <c r="C249" s="10" t="s">
        <v>125</v>
      </c>
      <c r="D249" s="13" t="s">
        <v>722</v>
      </c>
      <c r="E249" s="10" t="s">
        <v>117</v>
      </c>
      <c r="F249" s="11" t="s">
        <v>572</v>
      </c>
      <c r="G249" s="10" t="s">
        <v>505</v>
      </c>
      <c r="H249" s="10" t="s">
        <v>506</v>
      </c>
      <c r="I249" s="11" t="s">
        <v>121</v>
      </c>
      <c r="J249" s="13" t="s">
        <v>723</v>
      </c>
      <c r="K249" s="12" t="n">
        <f aca="false">ROUND((IF(E249="Transactional",5,IF(E249="Commercial",4,IF(E249="Comparison",3,IF(E249="Informational",2,3))))*LOG10(IF(ISNUMBER(L249),L249,IFERROR(VALUE(LEFT(F249,FIND("-",F249)-1)),100))+1))/IF(IF(ISBLANK(M249),G249,M249)="High",5,IF(IF(ISBLANK(M249),G249,M249)="Medium",3,1)),2)</f>
        <v>5.97</v>
      </c>
      <c r="L249" s="10"/>
      <c r="M249" s="10"/>
      <c r="N249" s="10"/>
      <c r="O249" s="10" t="s">
        <v>123</v>
      </c>
      <c r="P249" s="11"/>
    </row>
    <row r="250" customFormat="false" ht="25.5" hidden="false" customHeight="true" outlineLevel="0" collapsed="false">
      <c r="A250" s="10" t="n">
        <v>249</v>
      </c>
      <c r="B250" s="10" t="n">
        <v>2</v>
      </c>
      <c r="C250" s="10" t="s">
        <v>115</v>
      </c>
      <c r="D250" s="11" t="s">
        <v>724</v>
      </c>
      <c r="E250" s="10" t="s">
        <v>117</v>
      </c>
      <c r="F250" s="11" t="s">
        <v>572</v>
      </c>
      <c r="G250" s="10" t="s">
        <v>505</v>
      </c>
      <c r="H250" s="10" t="s">
        <v>506</v>
      </c>
      <c r="I250" s="11" t="s">
        <v>121</v>
      </c>
      <c r="J250" s="11" t="s">
        <v>725</v>
      </c>
      <c r="K250" s="12" t="n">
        <f aca="false">ROUND((IF(E250="Transactional",5,IF(E250="Commercial",4,IF(E250="Comparison",3,IF(E250="Informational",2,3))))*LOG10(IF(ISNUMBER(L250),L250,IFERROR(VALUE(LEFT(F250,FIND("-",F250)-1)),100))+1))/IF(IF(ISBLANK(M250),G250,M250)="High",5,IF(IF(ISBLANK(M250),G250,M250)="Medium",3,1)),2)</f>
        <v>5.97</v>
      </c>
      <c r="L250" s="10"/>
      <c r="M250" s="10"/>
      <c r="N250" s="10"/>
      <c r="O250" s="10" t="s">
        <v>123</v>
      </c>
      <c r="P250" s="11" t="s">
        <v>508</v>
      </c>
    </row>
    <row r="251" customFormat="false" ht="25.5" hidden="false" customHeight="true" outlineLevel="0" collapsed="false">
      <c r="A251" s="10" t="n">
        <v>250</v>
      </c>
      <c r="B251" s="10" t="n">
        <v>2</v>
      </c>
      <c r="C251" s="10" t="s">
        <v>125</v>
      </c>
      <c r="D251" s="13" t="s">
        <v>726</v>
      </c>
      <c r="E251" s="10" t="s">
        <v>117</v>
      </c>
      <c r="F251" s="11" t="s">
        <v>572</v>
      </c>
      <c r="G251" s="10" t="s">
        <v>505</v>
      </c>
      <c r="H251" s="10" t="s">
        <v>506</v>
      </c>
      <c r="I251" s="11" t="s">
        <v>121</v>
      </c>
      <c r="J251" s="13" t="s">
        <v>727</v>
      </c>
      <c r="K251" s="12" t="n">
        <f aca="false">ROUND((IF(E251="Transactional",5,IF(E251="Commercial",4,IF(E251="Comparison",3,IF(E251="Informational",2,3))))*LOG10(IF(ISNUMBER(L251),L251,IFERROR(VALUE(LEFT(F251,FIND("-",F251)-1)),100))+1))/IF(IF(ISBLANK(M251),G251,M251)="High",5,IF(IF(ISBLANK(M251),G251,M251)="Medium",3,1)),2)</f>
        <v>5.97</v>
      </c>
      <c r="L251" s="10"/>
      <c r="M251" s="10"/>
      <c r="N251" s="10"/>
      <c r="O251" s="10" t="s">
        <v>123</v>
      </c>
      <c r="P251" s="11"/>
    </row>
    <row r="252" customFormat="false" ht="25.5" hidden="false" customHeight="true" outlineLevel="0" collapsed="false">
      <c r="A252" s="10" t="n">
        <v>251</v>
      </c>
      <c r="B252" s="10" t="n">
        <v>2</v>
      </c>
      <c r="C252" s="10" t="s">
        <v>115</v>
      </c>
      <c r="D252" s="11" t="s">
        <v>728</v>
      </c>
      <c r="E252" s="10" t="s">
        <v>117</v>
      </c>
      <c r="F252" s="11" t="s">
        <v>572</v>
      </c>
      <c r="G252" s="10" t="s">
        <v>505</v>
      </c>
      <c r="H252" s="10" t="s">
        <v>506</v>
      </c>
      <c r="I252" s="11" t="s">
        <v>121</v>
      </c>
      <c r="J252" s="11" t="s">
        <v>729</v>
      </c>
      <c r="K252" s="12" t="n">
        <f aca="false">ROUND((IF(E252="Transactional",5,IF(E252="Commercial",4,IF(E252="Comparison",3,IF(E252="Informational",2,3))))*LOG10(IF(ISNUMBER(L252),L252,IFERROR(VALUE(LEFT(F252,FIND("-",F252)-1)),100))+1))/IF(IF(ISBLANK(M252),G252,M252)="High",5,IF(IF(ISBLANK(M252),G252,M252)="Medium",3,1)),2)</f>
        <v>5.97</v>
      </c>
      <c r="L252" s="10"/>
      <c r="M252" s="10"/>
      <c r="N252" s="10"/>
      <c r="O252" s="10" t="s">
        <v>123</v>
      </c>
      <c r="P252" s="11" t="s">
        <v>508</v>
      </c>
    </row>
    <row r="253" customFormat="false" ht="25.5" hidden="false" customHeight="true" outlineLevel="0" collapsed="false">
      <c r="A253" s="10" t="n">
        <v>252</v>
      </c>
      <c r="B253" s="10" t="n">
        <v>2</v>
      </c>
      <c r="C253" s="10" t="s">
        <v>125</v>
      </c>
      <c r="D253" s="13" t="s">
        <v>730</v>
      </c>
      <c r="E253" s="10" t="s">
        <v>117</v>
      </c>
      <c r="F253" s="11" t="s">
        <v>572</v>
      </c>
      <c r="G253" s="10" t="s">
        <v>505</v>
      </c>
      <c r="H253" s="10" t="s">
        <v>506</v>
      </c>
      <c r="I253" s="11" t="s">
        <v>121</v>
      </c>
      <c r="J253" s="13" t="s">
        <v>731</v>
      </c>
      <c r="K253" s="12" t="n">
        <f aca="false">ROUND((IF(E253="Transactional",5,IF(E253="Commercial",4,IF(E253="Comparison",3,IF(E253="Informational",2,3))))*LOG10(IF(ISNUMBER(L253),L253,IFERROR(VALUE(LEFT(F253,FIND("-",F253)-1)),100))+1))/IF(IF(ISBLANK(M253),G253,M253)="High",5,IF(IF(ISBLANK(M253),G253,M253)="Medium",3,1)),2)</f>
        <v>5.97</v>
      </c>
      <c r="L253" s="10"/>
      <c r="M253" s="10"/>
      <c r="N253" s="10"/>
      <c r="O253" s="10" t="s">
        <v>123</v>
      </c>
      <c r="P253" s="11"/>
    </row>
    <row r="254" customFormat="false" ht="25.5" hidden="false" customHeight="true" outlineLevel="0" collapsed="false">
      <c r="A254" s="10" t="n">
        <v>253</v>
      </c>
      <c r="B254" s="10" t="n">
        <v>2</v>
      </c>
      <c r="C254" s="10" t="s">
        <v>115</v>
      </c>
      <c r="D254" s="11" t="s">
        <v>732</v>
      </c>
      <c r="E254" s="10" t="s">
        <v>117</v>
      </c>
      <c r="F254" s="11" t="s">
        <v>572</v>
      </c>
      <c r="G254" s="10" t="s">
        <v>505</v>
      </c>
      <c r="H254" s="10" t="s">
        <v>506</v>
      </c>
      <c r="I254" s="11" t="s">
        <v>121</v>
      </c>
      <c r="J254" s="11" t="s">
        <v>733</v>
      </c>
      <c r="K254" s="12" t="n">
        <f aca="false">ROUND((IF(E254="Transactional",5,IF(E254="Commercial",4,IF(E254="Comparison",3,IF(E254="Informational",2,3))))*LOG10(IF(ISNUMBER(L254),L254,IFERROR(VALUE(LEFT(F254,FIND("-",F254)-1)),100))+1))/IF(IF(ISBLANK(M254),G254,M254)="High",5,IF(IF(ISBLANK(M254),G254,M254)="Medium",3,1)),2)</f>
        <v>5.97</v>
      </c>
      <c r="L254" s="10"/>
      <c r="M254" s="10"/>
      <c r="N254" s="10"/>
      <c r="O254" s="10" t="s">
        <v>123</v>
      </c>
      <c r="P254" s="11" t="s">
        <v>508</v>
      </c>
    </row>
    <row r="255" customFormat="false" ht="25.5" hidden="false" customHeight="true" outlineLevel="0" collapsed="false">
      <c r="A255" s="10" t="n">
        <v>254</v>
      </c>
      <c r="B255" s="10" t="n">
        <v>2</v>
      </c>
      <c r="C255" s="10" t="s">
        <v>125</v>
      </c>
      <c r="D255" s="13" t="s">
        <v>734</v>
      </c>
      <c r="E255" s="10" t="s">
        <v>117</v>
      </c>
      <c r="F255" s="11" t="s">
        <v>572</v>
      </c>
      <c r="G255" s="10" t="s">
        <v>505</v>
      </c>
      <c r="H255" s="10" t="s">
        <v>506</v>
      </c>
      <c r="I255" s="11" t="s">
        <v>121</v>
      </c>
      <c r="J255" s="13" t="s">
        <v>735</v>
      </c>
      <c r="K255" s="12" t="n">
        <f aca="false">ROUND((IF(E255="Transactional",5,IF(E255="Commercial",4,IF(E255="Comparison",3,IF(E255="Informational",2,3))))*LOG10(IF(ISNUMBER(L255),L255,IFERROR(VALUE(LEFT(F255,FIND("-",F255)-1)),100))+1))/IF(IF(ISBLANK(M255),G255,M255)="High",5,IF(IF(ISBLANK(M255),G255,M255)="Medium",3,1)),2)</f>
        <v>5.97</v>
      </c>
      <c r="L255" s="10"/>
      <c r="M255" s="10"/>
      <c r="N255" s="10"/>
      <c r="O255" s="10" t="s">
        <v>123</v>
      </c>
      <c r="P255" s="11"/>
    </row>
    <row r="256" customFormat="false" ht="25.5" hidden="false" customHeight="true" outlineLevel="0" collapsed="false">
      <c r="A256" s="10" t="n">
        <v>255</v>
      </c>
      <c r="B256" s="10" t="n">
        <v>2</v>
      </c>
      <c r="C256" s="10" t="s">
        <v>115</v>
      </c>
      <c r="D256" s="11" t="s">
        <v>736</v>
      </c>
      <c r="E256" s="10" t="s">
        <v>117</v>
      </c>
      <c r="F256" s="11" t="s">
        <v>572</v>
      </c>
      <c r="G256" s="10" t="s">
        <v>505</v>
      </c>
      <c r="H256" s="10" t="s">
        <v>506</v>
      </c>
      <c r="I256" s="11" t="s">
        <v>121</v>
      </c>
      <c r="J256" s="11" t="s">
        <v>737</v>
      </c>
      <c r="K256" s="12" t="n">
        <f aca="false">ROUND((IF(E256="Transactional",5,IF(E256="Commercial",4,IF(E256="Comparison",3,IF(E256="Informational",2,3))))*LOG10(IF(ISNUMBER(L256),L256,IFERROR(VALUE(LEFT(F256,FIND("-",F256)-1)),100))+1))/IF(IF(ISBLANK(M256),G256,M256)="High",5,IF(IF(ISBLANK(M256),G256,M256)="Medium",3,1)),2)</f>
        <v>5.97</v>
      </c>
      <c r="L256" s="10"/>
      <c r="M256" s="10"/>
      <c r="N256" s="10"/>
      <c r="O256" s="10" t="s">
        <v>123</v>
      </c>
      <c r="P256" s="11" t="s">
        <v>508</v>
      </c>
    </row>
    <row r="257" customFormat="false" ht="25.5" hidden="false" customHeight="true" outlineLevel="0" collapsed="false">
      <c r="A257" s="10" t="n">
        <v>256</v>
      </c>
      <c r="B257" s="10" t="n">
        <v>2</v>
      </c>
      <c r="C257" s="10" t="s">
        <v>125</v>
      </c>
      <c r="D257" s="13" t="s">
        <v>738</v>
      </c>
      <c r="E257" s="10" t="s">
        <v>117</v>
      </c>
      <c r="F257" s="11" t="s">
        <v>572</v>
      </c>
      <c r="G257" s="10" t="s">
        <v>505</v>
      </c>
      <c r="H257" s="10" t="s">
        <v>506</v>
      </c>
      <c r="I257" s="11" t="s">
        <v>121</v>
      </c>
      <c r="J257" s="13" t="s">
        <v>739</v>
      </c>
      <c r="K257" s="12" t="n">
        <f aca="false">ROUND((IF(E257="Transactional",5,IF(E257="Commercial",4,IF(E257="Comparison",3,IF(E257="Informational",2,3))))*LOG10(IF(ISNUMBER(L257),L257,IFERROR(VALUE(LEFT(F257,FIND("-",F257)-1)),100))+1))/IF(IF(ISBLANK(M257),G257,M257)="High",5,IF(IF(ISBLANK(M257),G257,M257)="Medium",3,1)),2)</f>
        <v>5.97</v>
      </c>
      <c r="L257" s="10"/>
      <c r="M257" s="10"/>
      <c r="N257" s="10"/>
      <c r="O257" s="10" t="s">
        <v>123</v>
      </c>
      <c r="P257" s="11"/>
    </row>
    <row r="258" customFormat="false" ht="25.5" hidden="false" customHeight="true" outlineLevel="0" collapsed="false">
      <c r="A258" s="10" t="n">
        <v>257</v>
      </c>
      <c r="B258" s="10" t="n">
        <v>2</v>
      </c>
      <c r="C258" s="10" t="s">
        <v>115</v>
      </c>
      <c r="D258" s="11" t="s">
        <v>740</v>
      </c>
      <c r="E258" s="10" t="s">
        <v>117</v>
      </c>
      <c r="F258" s="11" t="s">
        <v>572</v>
      </c>
      <c r="G258" s="10" t="s">
        <v>505</v>
      </c>
      <c r="H258" s="10" t="s">
        <v>506</v>
      </c>
      <c r="I258" s="11" t="s">
        <v>121</v>
      </c>
      <c r="J258" s="11" t="s">
        <v>741</v>
      </c>
      <c r="K258" s="12" t="n">
        <f aca="false">ROUND((IF(E258="Transactional",5,IF(E258="Commercial",4,IF(E258="Comparison",3,IF(E258="Informational",2,3))))*LOG10(IF(ISNUMBER(L258),L258,IFERROR(VALUE(LEFT(F258,FIND("-",F258)-1)),100))+1))/IF(IF(ISBLANK(M258),G258,M258)="High",5,IF(IF(ISBLANK(M258),G258,M258)="Medium",3,1)),2)</f>
        <v>5.97</v>
      </c>
      <c r="L258" s="10"/>
      <c r="M258" s="10"/>
      <c r="N258" s="10"/>
      <c r="O258" s="10" t="s">
        <v>123</v>
      </c>
      <c r="P258" s="11" t="s">
        <v>508</v>
      </c>
    </row>
    <row r="259" customFormat="false" ht="25.5" hidden="false" customHeight="true" outlineLevel="0" collapsed="false">
      <c r="A259" s="10" t="n">
        <v>258</v>
      </c>
      <c r="B259" s="10" t="n">
        <v>2</v>
      </c>
      <c r="C259" s="10" t="s">
        <v>125</v>
      </c>
      <c r="D259" s="13" t="s">
        <v>742</v>
      </c>
      <c r="E259" s="10" t="s">
        <v>117</v>
      </c>
      <c r="F259" s="11" t="s">
        <v>572</v>
      </c>
      <c r="G259" s="10" t="s">
        <v>505</v>
      </c>
      <c r="H259" s="10" t="s">
        <v>506</v>
      </c>
      <c r="I259" s="11" t="s">
        <v>121</v>
      </c>
      <c r="J259" s="13" t="s">
        <v>743</v>
      </c>
      <c r="K259" s="12" t="n">
        <f aca="false">ROUND((IF(E259="Transactional",5,IF(E259="Commercial",4,IF(E259="Comparison",3,IF(E259="Informational",2,3))))*LOG10(IF(ISNUMBER(L259),L259,IFERROR(VALUE(LEFT(F259,FIND("-",F259)-1)),100))+1))/IF(IF(ISBLANK(M259),G259,M259)="High",5,IF(IF(ISBLANK(M259),G259,M259)="Medium",3,1)),2)</f>
        <v>5.97</v>
      </c>
      <c r="L259" s="10"/>
      <c r="M259" s="10"/>
      <c r="N259" s="10"/>
      <c r="O259" s="10" t="s">
        <v>123</v>
      </c>
      <c r="P259" s="11"/>
    </row>
    <row r="260" customFormat="false" ht="25.5" hidden="false" customHeight="true" outlineLevel="0" collapsed="false">
      <c r="A260" s="10" t="n">
        <v>259</v>
      </c>
      <c r="B260" s="10" t="n">
        <v>2</v>
      </c>
      <c r="C260" s="10" t="s">
        <v>115</v>
      </c>
      <c r="D260" s="11" t="s">
        <v>744</v>
      </c>
      <c r="E260" s="10" t="s">
        <v>117</v>
      </c>
      <c r="F260" s="11" t="s">
        <v>572</v>
      </c>
      <c r="G260" s="10" t="s">
        <v>505</v>
      </c>
      <c r="H260" s="10" t="s">
        <v>506</v>
      </c>
      <c r="I260" s="11" t="s">
        <v>121</v>
      </c>
      <c r="J260" s="11" t="s">
        <v>745</v>
      </c>
      <c r="K260" s="12" t="n">
        <f aca="false">ROUND((IF(E260="Transactional",5,IF(E260="Commercial",4,IF(E260="Comparison",3,IF(E260="Informational",2,3))))*LOG10(IF(ISNUMBER(L260),L260,IFERROR(VALUE(LEFT(F260,FIND("-",F260)-1)),100))+1))/IF(IF(ISBLANK(M260),G260,M260)="High",5,IF(IF(ISBLANK(M260),G260,M260)="Medium",3,1)),2)</f>
        <v>5.97</v>
      </c>
      <c r="L260" s="10"/>
      <c r="M260" s="10"/>
      <c r="N260" s="10"/>
      <c r="O260" s="10" t="s">
        <v>123</v>
      </c>
      <c r="P260" s="11" t="s">
        <v>508</v>
      </c>
    </row>
    <row r="261" customFormat="false" ht="25.5" hidden="false" customHeight="true" outlineLevel="0" collapsed="false">
      <c r="A261" s="10" t="n">
        <v>260</v>
      </c>
      <c r="B261" s="10" t="n">
        <v>2</v>
      </c>
      <c r="C261" s="10" t="s">
        <v>125</v>
      </c>
      <c r="D261" s="13" t="s">
        <v>746</v>
      </c>
      <c r="E261" s="10" t="s">
        <v>117</v>
      </c>
      <c r="F261" s="11" t="s">
        <v>572</v>
      </c>
      <c r="G261" s="10" t="s">
        <v>505</v>
      </c>
      <c r="H261" s="10" t="s">
        <v>506</v>
      </c>
      <c r="I261" s="11" t="s">
        <v>121</v>
      </c>
      <c r="J261" s="13" t="s">
        <v>747</v>
      </c>
      <c r="K261" s="12" t="n">
        <f aca="false">ROUND((IF(E261="Transactional",5,IF(E261="Commercial",4,IF(E261="Comparison",3,IF(E261="Informational",2,3))))*LOG10(IF(ISNUMBER(L261),L261,IFERROR(VALUE(LEFT(F261,FIND("-",F261)-1)),100))+1))/IF(IF(ISBLANK(M261),G261,M261)="High",5,IF(IF(ISBLANK(M261),G261,M261)="Medium",3,1)),2)</f>
        <v>5.97</v>
      </c>
      <c r="L261" s="10"/>
      <c r="M261" s="10"/>
      <c r="N261" s="10"/>
      <c r="O261" s="10" t="s">
        <v>123</v>
      </c>
      <c r="P261" s="11"/>
    </row>
    <row r="262" customFormat="false" ht="25.5" hidden="false" customHeight="true" outlineLevel="0" collapsed="false">
      <c r="A262" s="10" t="n">
        <v>261</v>
      </c>
      <c r="B262" s="10" t="n">
        <v>2</v>
      </c>
      <c r="C262" s="10" t="s">
        <v>115</v>
      </c>
      <c r="D262" s="11" t="s">
        <v>748</v>
      </c>
      <c r="E262" s="10" t="s">
        <v>117</v>
      </c>
      <c r="F262" s="11" t="s">
        <v>572</v>
      </c>
      <c r="G262" s="10" t="s">
        <v>505</v>
      </c>
      <c r="H262" s="10" t="s">
        <v>506</v>
      </c>
      <c r="I262" s="11" t="s">
        <v>121</v>
      </c>
      <c r="J262" s="11" t="s">
        <v>749</v>
      </c>
      <c r="K262" s="12" t="n">
        <f aca="false">ROUND((IF(E262="Transactional",5,IF(E262="Commercial",4,IF(E262="Comparison",3,IF(E262="Informational",2,3))))*LOG10(IF(ISNUMBER(L262),L262,IFERROR(VALUE(LEFT(F262,FIND("-",F262)-1)),100))+1))/IF(IF(ISBLANK(M262),G262,M262)="High",5,IF(IF(ISBLANK(M262),G262,M262)="Medium",3,1)),2)</f>
        <v>5.97</v>
      </c>
      <c r="L262" s="10"/>
      <c r="M262" s="10"/>
      <c r="N262" s="10"/>
      <c r="O262" s="10" t="s">
        <v>123</v>
      </c>
      <c r="P262" s="11" t="s">
        <v>508</v>
      </c>
    </row>
    <row r="263" customFormat="false" ht="25.5" hidden="false" customHeight="true" outlineLevel="0" collapsed="false">
      <c r="A263" s="10" t="n">
        <v>262</v>
      </c>
      <c r="B263" s="10" t="n">
        <v>2</v>
      </c>
      <c r="C263" s="10" t="s">
        <v>125</v>
      </c>
      <c r="D263" s="13" t="s">
        <v>750</v>
      </c>
      <c r="E263" s="10" t="s">
        <v>117</v>
      </c>
      <c r="F263" s="11" t="s">
        <v>572</v>
      </c>
      <c r="G263" s="10" t="s">
        <v>505</v>
      </c>
      <c r="H263" s="10" t="s">
        <v>506</v>
      </c>
      <c r="I263" s="11" t="s">
        <v>121</v>
      </c>
      <c r="J263" s="13" t="s">
        <v>751</v>
      </c>
      <c r="K263" s="12" t="n">
        <f aca="false">ROUND((IF(E263="Transactional",5,IF(E263="Commercial",4,IF(E263="Comparison",3,IF(E263="Informational",2,3))))*LOG10(IF(ISNUMBER(L263),L263,IFERROR(VALUE(LEFT(F263,FIND("-",F263)-1)),100))+1))/IF(IF(ISBLANK(M263),G263,M263)="High",5,IF(IF(ISBLANK(M263),G263,M263)="Medium",3,1)),2)</f>
        <v>5.97</v>
      </c>
      <c r="L263" s="10"/>
      <c r="M263" s="10"/>
      <c r="N263" s="10"/>
      <c r="O263" s="10" t="s">
        <v>123</v>
      </c>
      <c r="P263" s="11"/>
    </row>
    <row r="264" customFormat="false" ht="25.5" hidden="false" customHeight="true" outlineLevel="0" collapsed="false">
      <c r="A264" s="10" t="n">
        <v>263</v>
      </c>
      <c r="B264" s="10" t="n">
        <v>2</v>
      </c>
      <c r="C264" s="10" t="s">
        <v>115</v>
      </c>
      <c r="D264" s="11" t="s">
        <v>752</v>
      </c>
      <c r="E264" s="10" t="s">
        <v>117</v>
      </c>
      <c r="F264" s="11" t="s">
        <v>572</v>
      </c>
      <c r="G264" s="10" t="s">
        <v>505</v>
      </c>
      <c r="H264" s="10" t="s">
        <v>506</v>
      </c>
      <c r="I264" s="11" t="s">
        <v>121</v>
      </c>
      <c r="J264" s="11" t="s">
        <v>753</v>
      </c>
      <c r="K264" s="12" t="n">
        <f aca="false">ROUND((IF(E264="Transactional",5,IF(E264="Commercial",4,IF(E264="Comparison",3,IF(E264="Informational",2,3))))*LOG10(IF(ISNUMBER(L264),L264,IFERROR(VALUE(LEFT(F264,FIND("-",F264)-1)),100))+1))/IF(IF(ISBLANK(M264),G264,M264)="High",5,IF(IF(ISBLANK(M264),G264,M264)="Medium",3,1)),2)</f>
        <v>5.97</v>
      </c>
      <c r="L264" s="10"/>
      <c r="M264" s="10"/>
      <c r="N264" s="10"/>
      <c r="O264" s="10" t="s">
        <v>123</v>
      </c>
      <c r="P264" s="11" t="s">
        <v>508</v>
      </c>
    </row>
    <row r="265" customFormat="false" ht="25.5" hidden="false" customHeight="true" outlineLevel="0" collapsed="false">
      <c r="A265" s="10" t="n">
        <v>264</v>
      </c>
      <c r="B265" s="10" t="n">
        <v>2</v>
      </c>
      <c r="C265" s="10" t="s">
        <v>125</v>
      </c>
      <c r="D265" s="13" t="s">
        <v>754</v>
      </c>
      <c r="E265" s="10" t="s">
        <v>117</v>
      </c>
      <c r="F265" s="11" t="s">
        <v>572</v>
      </c>
      <c r="G265" s="10" t="s">
        <v>505</v>
      </c>
      <c r="H265" s="10" t="s">
        <v>506</v>
      </c>
      <c r="I265" s="11" t="s">
        <v>121</v>
      </c>
      <c r="J265" s="13" t="s">
        <v>755</v>
      </c>
      <c r="K265" s="12" t="n">
        <f aca="false">ROUND((IF(E265="Transactional",5,IF(E265="Commercial",4,IF(E265="Comparison",3,IF(E265="Informational",2,3))))*LOG10(IF(ISNUMBER(L265),L265,IFERROR(VALUE(LEFT(F265,FIND("-",F265)-1)),100))+1))/IF(IF(ISBLANK(M265),G265,M265)="High",5,IF(IF(ISBLANK(M265),G265,M265)="Medium",3,1)),2)</f>
        <v>5.97</v>
      </c>
      <c r="L265" s="10"/>
      <c r="M265" s="10"/>
      <c r="N265" s="10"/>
      <c r="O265" s="10" t="s">
        <v>123</v>
      </c>
      <c r="P265" s="11"/>
    </row>
    <row r="266" customFormat="false" ht="25.5" hidden="false" customHeight="true" outlineLevel="0" collapsed="false">
      <c r="A266" s="10" t="n">
        <v>265</v>
      </c>
      <c r="B266" s="10" t="n">
        <v>2</v>
      </c>
      <c r="C266" s="10" t="s">
        <v>115</v>
      </c>
      <c r="D266" s="11" t="s">
        <v>756</v>
      </c>
      <c r="E266" s="10" t="s">
        <v>117</v>
      </c>
      <c r="F266" s="11" t="s">
        <v>572</v>
      </c>
      <c r="G266" s="10" t="s">
        <v>505</v>
      </c>
      <c r="H266" s="10" t="s">
        <v>506</v>
      </c>
      <c r="I266" s="11" t="s">
        <v>121</v>
      </c>
      <c r="J266" s="11" t="s">
        <v>757</v>
      </c>
      <c r="K266" s="12" t="n">
        <f aca="false">ROUND((IF(E266="Transactional",5,IF(E266="Commercial",4,IF(E266="Comparison",3,IF(E266="Informational",2,3))))*LOG10(IF(ISNUMBER(L266),L266,IFERROR(VALUE(LEFT(F266,FIND("-",F266)-1)),100))+1))/IF(IF(ISBLANK(M266),G266,M266)="High",5,IF(IF(ISBLANK(M266),G266,M266)="Medium",3,1)),2)</f>
        <v>5.97</v>
      </c>
      <c r="L266" s="10"/>
      <c r="M266" s="10"/>
      <c r="N266" s="10"/>
      <c r="O266" s="10" t="s">
        <v>123</v>
      </c>
      <c r="P266" s="11" t="s">
        <v>508</v>
      </c>
    </row>
    <row r="267" customFormat="false" ht="25.5" hidden="false" customHeight="true" outlineLevel="0" collapsed="false">
      <c r="A267" s="10" t="n">
        <v>266</v>
      </c>
      <c r="B267" s="10" t="n">
        <v>2</v>
      </c>
      <c r="C267" s="10" t="s">
        <v>125</v>
      </c>
      <c r="D267" s="13" t="s">
        <v>758</v>
      </c>
      <c r="E267" s="10" t="s">
        <v>117</v>
      </c>
      <c r="F267" s="11" t="s">
        <v>572</v>
      </c>
      <c r="G267" s="10" t="s">
        <v>505</v>
      </c>
      <c r="H267" s="10" t="s">
        <v>506</v>
      </c>
      <c r="I267" s="11" t="s">
        <v>121</v>
      </c>
      <c r="J267" s="13" t="s">
        <v>759</v>
      </c>
      <c r="K267" s="12" t="n">
        <f aca="false">ROUND((IF(E267="Transactional",5,IF(E267="Commercial",4,IF(E267="Comparison",3,IF(E267="Informational",2,3))))*LOG10(IF(ISNUMBER(L267),L267,IFERROR(VALUE(LEFT(F267,FIND("-",F267)-1)),100))+1))/IF(IF(ISBLANK(M267),G267,M267)="High",5,IF(IF(ISBLANK(M267),G267,M267)="Medium",3,1)),2)</f>
        <v>5.97</v>
      </c>
      <c r="L267" s="10"/>
      <c r="M267" s="10"/>
      <c r="N267" s="10"/>
      <c r="O267" s="10" t="s">
        <v>123</v>
      </c>
      <c r="P267" s="11"/>
    </row>
    <row r="268" customFormat="false" ht="25.5" hidden="false" customHeight="true" outlineLevel="0" collapsed="false">
      <c r="A268" s="10" t="n">
        <v>267</v>
      </c>
      <c r="B268" s="10" t="n">
        <v>2</v>
      </c>
      <c r="C268" s="10" t="s">
        <v>115</v>
      </c>
      <c r="D268" s="11" t="s">
        <v>760</v>
      </c>
      <c r="E268" s="10" t="s">
        <v>117</v>
      </c>
      <c r="F268" s="11" t="s">
        <v>572</v>
      </c>
      <c r="G268" s="10" t="s">
        <v>505</v>
      </c>
      <c r="H268" s="10" t="s">
        <v>506</v>
      </c>
      <c r="I268" s="11" t="s">
        <v>121</v>
      </c>
      <c r="J268" s="11" t="s">
        <v>761</v>
      </c>
      <c r="K268" s="12" t="n">
        <f aca="false">ROUND((IF(E268="Transactional",5,IF(E268="Commercial",4,IF(E268="Comparison",3,IF(E268="Informational",2,3))))*LOG10(IF(ISNUMBER(L268),L268,IFERROR(VALUE(LEFT(F268,FIND("-",F268)-1)),100))+1))/IF(IF(ISBLANK(M268),G268,M268)="High",5,IF(IF(ISBLANK(M268),G268,M268)="Medium",3,1)),2)</f>
        <v>5.97</v>
      </c>
      <c r="L268" s="10"/>
      <c r="M268" s="10"/>
      <c r="N268" s="10"/>
      <c r="O268" s="10" t="s">
        <v>123</v>
      </c>
      <c r="P268" s="11" t="s">
        <v>508</v>
      </c>
    </row>
    <row r="269" customFormat="false" ht="25.5" hidden="false" customHeight="true" outlineLevel="0" collapsed="false">
      <c r="A269" s="10" t="n">
        <v>268</v>
      </c>
      <c r="B269" s="10" t="n">
        <v>2</v>
      </c>
      <c r="C269" s="10" t="s">
        <v>125</v>
      </c>
      <c r="D269" s="13" t="s">
        <v>762</v>
      </c>
      <c r="E269" s="10" t="s">
        <v>117</v>
      </c>
      <c r="F269" s="11" t="s">
        <v>572</v>
      </c>
      <c r="G269" s="10" t="s">
        <v>505</v>
      </c>
      <c r="H269" s="10" t="s">
        <v>506</v>
      </c>
      <c r="I269" s="11" t="s">
        <v>121</v>
      </c>
      <c r="J269" s="13" t="s">
        <v>763</v>
      </c>
      <c r="K269" s="12" t="n">
        <f aca="false">ROUND((IF(E269="Transactional",5,IF(E269="Commercial",4,IF(E269="Comparison",3,IF(E269="Informational",2,3))))*LOG10(IF(ISNUMBER(L269),L269,IFERROR(VALUE(LEFT(F269,FIND("-",F269)-1)),100))+1))/IF(IF(ISBLANK(M269),G269,M269)="High",5,IF(IF(ISBLANK(M269),G269,M269)="Medium",3,1)),2)</f>
        <v>5.97</v>
      </c>
      <c r="L269" s="10"/>
      <c r="M269" s="10"/>
      <c r="N269" s="10"/>
      <c r="O269" s="10" t="s">
        <v>123</v>
      </c>
      <c r="P269" s="11"/>
    </row>
    <row r="270" customFormat="false" ht="25.5" hidden="false" customHeight="true" outlineLevel="0" collapsed="false">
      <c r="A270" s="10" t="n">
        <v>269</v>
      </c>
      <c r="B270" s="10" t="n">
        <v>2</v>
      </c>
      <c r="C270" s="10" t="s">
        <v>115</v>
      </c>
      <c r="D270" s="11" t="s">
        <v>764</v>
      </c>
      <c r="E270" s="10" t="s">
        <v>117</v>
      </c>
      <c r="F270" s="11" t="s">
        <v>572</v>
      </c>
      <c r="G270" s="10" t="s">
        <v>505</v>
      </c>
      <c r="H270" s="10" t="s">
        <v>506</v>
      </c>
      <c r="I270" s="11" t="s">
        <v>121</v>
      </c>
      <c r="J270" s="11" t="s">
        <v>765</v>
      </c>
      <c r="K270" s="12" t="n">
        <f aca="false">ROUND((IF(E270="Transactional",5,IF(E270="Commercial",4,IF(E270="Comparison",3,IF(E270="Informational",2,3))))*LOG10(IF(ISNUMBER(L270),L270,IFERROR(VALUE(LEFT(F270,FIND("-",F270)-1)),100))+1))/IF(IF(ISBLANK(M270),G270,M270)="High",5,IF(IF(ISBLANK(M270),G270,M270)="Medium",3,1)),2)</f>
        <v>5.97</v>
      </c>
      <c r="L270" s="10"/>
      <c r="M270" s="10"/>
      <c r="N270" s="10"/>
      <c r="O270" s="10" t="s">
        <v>123</v>
      </c>
      <c r="P270" s="11" t="s">
        <v>508</v>
      </c>
    </row>
    <row r="271" customFormat="false" ht="25.5" hidden="false" customHeight="true" outlineLevel="0" collapsed="false">
      <c r="A271" s="10" t="n">
        <v>270</v>
      </c>
      <c r="B271" s="10" t="n">
        <v>2</v>
      </c>
      <c r="C271" s="10" t="s">
        <v>125</v>
      </c>
      <c r="D271" s="13" t="s">
        <v>766</v>
      </c>
      <c r="E271" s="10" t="s">
        <v>117</v>
      </c>
      <c r="F271" s="11" t="s">
        <v>572</v>
      </c>
      <c r="G271" s="10" t="s">
        <v>505</v>
      </c>
      <c r="H271" s="10" t="s">
        <v>506</v>
      </c>
      <c r="I271" s="11" t="s">
        <v>121</v>
      </c>
      <c r="J271" s="13" t="s">
        <v>767</v>
      </c>
      <c r="K271" s="12" t="n">
        <f aca="false">ROUND((IF(E271="Transactional",5,IF(E271="Commercial",4,IF(E271="Comparison",3,IF(E271="Informational",2,3))))*LOG10(IF(ISNUMBER(L271),L271,IFERROR(VALUE(LEFT(F271,FIND("-",F271)-1)),100))+1))/IF(IF(ISBLANK(M271),G271,M271)="High",5,IF(IF(ISBLANK(M271),G271,M271)="Medium",3,1)),2)</f>
        <v>5.97</v>
      </c>
      <c r="L271" s="10"/>
      <c r="M271" s="10"/>
      <c r="N271" s="10"/>
      <c r="O271" s="10" t="s">
        <v>123</v>
      </c>
      <c r="P271" s="11"/>
    </row>
    <row r="272" customFormat="false" ht="25.5" hidden="false" customHeight="true" outlineLevel="0" collapsed="false">
      <c r="A272" s="10" t="n">
        <v>271</v>
      </c>
      <c r="B272" s="10" t="n">
        <v>2</v>
      </c>
      <c r="C272" s="10" t="s">
        <v>115</v>
      </c>
      <c r="D272" s="11" t="s">
        <v>768</v>
      </c>
      <c r="E272" s="10" t="s">
        <v>117</v>
      </c>
      <c r="F272" s="11" t="s">
        <v>572</v>
      </c>
      <c r="G272" s="10" t="s">
        <v>505</v>
      </c>
      <c r="H272" s="10" t="s">
        <v>506</v>
      </c>
      <c r="I272" s="11" t="s">
        <v>121</v>
      </c>
      <c r="J272" s="11" t="s">
        <v>769</v>
      </c>
      <c r="K272" s="12" t="n">
        <f aca="false">ROUND((IF(E272="Transactional",5,IF(E272="Commercial",4,IF(E272="Comparison",3,IF(E272="Informational",2,3))))*LOG10(IF(ISNUMBER(L272),L272,IFERROR(VALUE(LEFT(F272,FIND("-",F272)-1)),100))+1))/IF(IF(ISBLANK(M272),G272,M272)="High",5,IF(IF(ISBLANK(M272),G272,M272)="Medium",3,1)),2)</f>
        <v>5.97</v>
      </c>
      <c r="L272" s="10"/>
      <c r="M272" s="10"/>
      <c r="N272" s="10"/>
      <c r="O272" s="10" t="s">
        <v>123</v>
      </c>
      <c r="P272" s="11" t="s">
        <v>508</v>
      </c>
    </row>
    <row r="273" customFormat="false" ht="25.5" hidden="false" customHeight="true" outlineLevel="0" collapsed="false">
      <c r="A273" s="10" t="n">
        <v>272</v>
      </c>
      <c r="B273" s="10" t="n">
        <v>2</v>
      </c>
      <c r="C273" s="10" t="s">
        <v>125</v>
      </c>
      <c r="D273" s="13" t="s">
        <v>770</v>
      </c>
      <c r="E273" s="10" t="s">
        <v>117</v>
      </c>
      <c r="F273" s="11" t="s">
        <v>572</v>
      </c>
      <c r="G273" s="10" t="s">
        <v>505</v>
      </c>
      <c r="H273" s="10" t="s">
        <v>506</v>
      </c>
      <c r="I273" s="11" t="s">
        <v>121</v>
      </c>
      <c r="J273" s="13" t="s">
        <v>771</v>
      </c>
      <c r="K273" s="12" t="n">
        <f aca="false">ROUND((IF(E273="Transactional",5,IF(E273="Commercial",4,IF(E273="Comparison",3,IF(E273="Informational",2,3))))*LOG10(IF(ISNUMBER(L273),L273,IFERROR(VALUE(LEFT(F273,FIND("-",F273)-1)),100))+1))/IF(IF(ISBLANK(M273),G273,M273)="High",5,IF(IF(ISBLANK(M273),G273,M273)="Medium",3,1)),2)</f>
        <v>5.97</v>
      </c>
      <c r="L273" s="10"/>
      <c r="M273" s="10"/>
      <c r="N273" s="10"/>
      <c r="O273" s="10" t="s">
        <v>123</v>
      </c>
      <c r="P273" s="11"/>
    </row>
    <row r="274" customFormat="false" ht="25.5" hidden="false" customHeight="true" outlineLevel="0" collapsed="false">
      <c r="A274" s="10" t="n">
        <v>273</v>
      </c>
      <c r="B274" s="10" t="n">
        <v>2</v>
      </c>
      <c r="C274" s="10" t="s">
        <v>115</v>
      </c>
      <c r="D274" s="11" t="s">
        <v>772</v>
      </c>
      <c r="E274" s="10" t="s">
        <v>117</v>
      </c>
      <c r="F274" s="11" t="s">
        <v>572</v>
      </c>
      <c r="G274" s="10" t="s">
        <v>505</v>
      </c>
      <c r="H274" s="10" t="s">
        <v>506</v>
      </c>
      <c r="I274" s="11" t="s">
        <v>121</v>
      </c>
      <c r="J274" s="11" t="s">
        <v>773</v>
      </c>
      <c r="K274" s="12" t="n">
        <f aca="false">ROUND((IF(E274="Transactional",5,IF(E274="Commercial",4,IF(E274="Comparison",3,IF(E274="Informational",2,3))))*LOG10(IF(ISNUMBER(L274),L274,IFERROR(VALUE(LEFT(F274,FIND("-",F274)-1)),100))+1))/IF(IF(ISBLANK(M274),G274,M274)="High",5,IF(IF(ISBLANK(M274),G274,M274)="Medium",3,1)),2)</f>
        <v>5.97</v>
      </c>
      <c r="L274" s="10"/>
      <c r="M274" s="10"/>
      <c r="N274" s="10"/>
      <c r="O274" s="10" t="s">
        <v>123</v>
      </c>
      <c r="P274" s="11" t="s">
        <v>508</v>
      </c>
    </row>
    <row r="275" customFormat="false" ht="25.5" hidden="false" customHeight="true" outlineLevel="0" collapsed="false">
      <c r="A275" s="10" t="n">
        <v>274</v>
      </c>
      <c r="B275" s="10" t="n">
        <v>2</v>
      </c>
      <c r="C275" s="10" t="s">
        <v>125</v>
      </c>
      <c r="D275" s="13" t="s">
        <v>774</v>
      </c>
      <c r="E275" s="10" t="s">
        <v>117</v>
      </c>
      <c r="F275" s="11" t="s">
        <v>572</v>
      </c>
      <c r="G275" s="10" t="s">
        <v>505</v>
      </c>
      <c r="H275" s="10" t="s">
        <v>506</v>
      </c>
      <c r="I275" s="11" t="s">
        <v>121</v>
      </c>
      <c r="J275" s="13" t="s">
        <v>775</v>
      </c>
      <c r="K275" s="12" t="n">
        <f aca="false">ROUND((IF(E275="Transactional",5,IF(E275="Commercial",4,IF(E275="Comparison",3,IF(E275="Informational",2,3))))*LOG10(IF(ISNUMBER(L275),L275,IFERROR(VALUE(LEFT(F275,FIND("-",F275)-1)),100))+1))/IF(IF(ISBLANK(M275),G275,M275)="High",5,IF(IF(ISBLANK(M275),G275,M275)="Medium",3,1)),2)</f>
        <v>5.97</v>
      </c>
      <c r="L275" s="10"/>
      <c r="M275" s="10"/>
      <c r="N275" s="10"/>
      <c r="O275" s="10" t="s">
        <v>123</v>
      </c>
      <c r="P275" s="11"/>
    </row>
    <row r="276" customFormat="false" ht="25.5" hidden="false" customHeight="true" outlineLevel="0" collapsed="false">
      <c r="A276" s="10" t="n">
        <v>275</v>
      </c>
      <c r="B276" s="10" t="n">
        <v>2</v>
      </c>
      <c r="C276" s="10" t="s">
        <v>115</v>
      </c>
      <c r="D276" s="11" t="s">
        <v>776</v>
      </c>
      <c r="E276" s="10" t="s">
        <v>117</v>
      </c>
      <c r="F276" s="11" t="s">
        <v>572</v>
      </c>
      <c r="G276" s="10" t="s">
        <v>505</v>
      </c>
      <c r="H276" s="10" t="s">
        <v>506</v>
      </c>
      <c r="I276" s="11" t="s">
        <v>121</v>
      </c>
      <c r="J276" s="11" t="s">
        <v>777</v>
      </c>
      <c r="K276" s="12" t="n">
        <f aca="false">ROUND((IF(E276="Transactional",5,IF(E276="Commercial",4,IF(E276="Comparison",3,IF(E276="Informational",2,3))))*LOG10(IF(ISNUMBER(L276),L276,IFERROR(VALUE(LEFT(F276,FIND("-",F276)-1)),100))+1))/IF(IF(ISBLANK(M276),G276,M276)="High",5,IF(IF(ISBLANK(M276),G276,M276)="Medium",3,1)),2)</f>
        <v>5.97</v>
      </c>
      <c r="L276" s="10"/>
      <c r="M276" s="10"/>
      <c r="N276" s="10"/>
      <c r="O276" s="10" t="s">
        <v>123</v>
      </c>
      <c r="P276" s="11" t="s">
        <v>508</v>
      </c>
    </row>
    <row r="277" customFormat="false" ht="25.5" hidden="false" customHeight="true" outlineLevel="0" collapsed="false">
      <c r="A277" s="10" t="n">
        <v>276</v>
      </c>
      <c r="B277" s="10" t="n">
        <v>2</v>
      </c>
      <c r="C277" s="10" t="s">
        <v>125</v>
      </c>
      <c r="D277" s="13" t="s">
        <v>778</v>
      </c>
      <c r="E277" s="10" t="s">
        <v>117</v>
      </c>
      <c r="F277" s="11" t="s">
        <v>572</v>
      </c>
      <c r="G277" s="10" t="s">
        <v>505</v>
      </c>
      <c r="H277" s="10" t="s">
        <v>506</v>
      </c>
      <c r="I277" s="11" t="s">
        <v>121</v>
      </c>
      <c r="J277" s="13" t="s">
        <v>779</v>
      </c>
      <c r="K277" s="12" t="n">
        <f aca="false">ROUND((IF(E277="Transactional",5,IF(E277="Commercial",4,IF(E277="Comparison",3,IF(E277="Informational",2,3))))*LOG10(IF(ISNUMBER(L277),L277,IFERROR(VALUE(LEFT(F277,FIND("-",F277)-1)),100))+1))/IF(IF(ISBLANK(M277),G277,M277)="High",5,IF(IF(ISBLANK(M277),G277,M277)="Medium",3,1)),2)</f>
        <v>5.97</v>
      </c>
      <c r="L277" s="10"/>
      <c r="M277" s="10"/>
      <c r="N277" s="10"/>
      <c r="O277" s="10" t="s">
        <v>123</v>
      </c>
      <c r="P277" s="11"/>
    </row>
    <row r="278" customFormat="false" ht="25.5" hidden="false" customHeight="true" outlineLevel="0" collapsed="false">
      <c r="A278" s="10" t="n">
        <v>277</v>
      </c>
      <c r="B278" s="10" t="n">
        <v>2</v>
      </c>
      <c r="C278" s="10" t="s">
        <v>115</v>
      </c>
      <c r="D278" s="11" t="s">
        <v>780</v>
      </c>
      <c r="E278" s="10" t="s">
        <v>117</v>
      </c>
      <c r="F278" s="11" t="s">
        <v>572</v>
      </c>
      <c r="G278" s="10" t="s">
        <v>505</v>
      </c>
      <c r="H278" s="10" t="s">
        <v>506</v>
      </c>
      <c r="I278" s="11" t="s">
        <v>121</v>
      </c>
      <c r="J278" s="11" t="s">
        <v>781</v>
      </c>
      <c r="K278" s="12" t="n">
        <f aca="false">ROUND((IF(E278="Transactional",5,IF(E278="Commercial",4,IF(E278="Comparison",3,IF(E278="Informational",2,3))))*LOG10(IF(ISNUMBER(L278),L278,IFERROR(VALUE(LEFT(F278,FIND("-",F278)-1)),100))+1))/IF(IF(ISBLANK(M278),G278,M278)="High",5,IF(IF(ISBLANK(M278),G278,M278)="Medium",3,1)),2)</f>
        <v>5.97</v>
      </c>
      <c r="L278" s="10"/>
      <c r="M278" s="10"/>
      <c r="N278" s="10"/>
      <c r="O278" s="10" t="s">
        <v>123</v>
      </c>
      <c r="P278" s="11" t="s">
        <v>508</v>
      </c>
    </row>
    <row r="279" customFormat="false" ht="25.5" hidden="false" customHeight="true" outlineLevel="0" collapsed="false">
      <c r="A279" s="10" t="n">
        <v>278</v>
      </c>
      <c r="B279" s="10" t="n">
        <v>2</v>
      </c>
      <c r="C279" s="10" t="s">
        <v>125</v>
      </c>
      <c r="D279" s="13" t="s">
        <v>782</v>
      </c>
      <c r="E279" s="10" t="s">
        <v>117</v>
      </c>
      <c r="F279" s="11" t="s">
        <v>572</v>
      </c>
      <c r="G279" s="10" t="s">
        <v>505</v>
      </c>
      <c r="H279" s="10" t="s">
        <v>506</v>
      </c>
      <c r="I279" s="11" t="s">
        <v>121</v>
      </c>
      <c r="J279" s="13" t="s">
        <v>783</v>
      </c>
      <c r="K279" s="12" t="n">
        <f aca="false">ROUND((IF(E279="Transactional",5,IF(E279="Commercial",4,IF(E279="Comparison",3,IF(E279="Informational",2,3))))*LOG10(IF(ISNUMBER(L279),L279,IFERROR(VALUE(LEFT(F279,FIND("-",F279)-1)),100))+1))/IF(IF(ISBLANK(M279),G279,M279)="High",5,IF(IF(ISBLANK(M279),G279,M279)="Medium",3,1)),2)</f>
        <v>5.97</v>
      </c>
      <c r="L279" s="10"/>
      <c r="M279" s="10"/>
      <c r="N279" s="10"/>
      <c r="O279" s="10" t="s">
        <v>123</v>
      </c>
      <c r="P279" s="11"/>
    </row>
    <row r="280" customFormat="false" ht="25.5" hidden="false" customHeight="true" outlineLevel="0" collapsed="false">
      <c r="A280" s="10" t="n">
        <v>279</v>
      </c>
      <c r="B280" s="10" t="n">
        <v>2</v>
      </c>
      <c r="C280" s="10" t="s">
        <v>115</v>
      </c>
      <c r="D280" s="11" t="s">
        <v>784</v>
      </c>
      <c r="E280" s="10" t="s">
        <v>117</v>
      </c>
      <c r="F280" s="11" t="s">
        <v>572</v>
      </c>
      <c r="G280" s="10" t="s">
        <v>505</v>
      </c>
      <c r="H280" s="10" t="s">
        <v>506</v>
      </c>
      <c r="I280" s="11" t="s">
        <v>121</v>
      </c>
      <c r="J280" s="11" t="s">
        <v>785</v>
      </c>
      <c r="K280" s="12" t="n">
        <f aca="false">ROUND((IF(E280="Transactional",5,IF(E280="Commercial",4,IF(E280="Comparison",3,IF(E280="Informational",2,3))))*LOG10(IF(ISNUMBER(L280),L280,IFERROR(VALUE(LEFT(F280,FIND("-",F280)-1)),100))+1))/IF(IF(ISBLANK(M280),G280,M280)="High",5,IF(IF(ISBLANK(M280),G280,M280)="Medium",3,1)),2)</f>
        <v>5.97</v>
      </c>
      <c r="L280" s="10"/>
      <c r="M280" s="10"/>
      <c r="N280" s="10"/>
      <c r="O280" s="10" t="s">
        <v>123</v>
      </c>
      <c r="P280" s="11" t="s">
        <v>508</v>
      </c>
    </row>
    <row r="281" customFormat="false" ht="25.5" hidden="false" customHeight="true" outlineLevel="0" collapsed="false">
      <c r="A281" s="10" t="n">
        <v>280</v>
      </c>
      <c r="B281" s="10" t="n">
        <v>2</v>
      </c>
      <c r="C281" s="10" t="s">
        <v>125</v>
      </c>
      <c r="D281" s="13" t="s">
        <v>786</v>
      </c>
      <c r="E281" s="10" t="s">
        <v>117</v>
      </c>
      <c r="F281" s="11" t="s">
        <v>572</v>
      </c>
      <c r="G281" s="10" t="s">
        <v>505</v>
      </c>
      <c r="H281" s="10" t="s">
        <v>506</v>
      </c>
      <c r="I281" s="11" t="s">
        <v>121</v>
      </c>
      <c r="J281" s="13" t="s">
        <v>787</v>
      </c>
      <c r="K281" s="12" t="n">
        <f aca="false">ROUND((IF(E281="Transactional",5,IF(E281="Commercial",4,IF(E281="Comparison",3,IF(E281="Informational",2,3))))*LOG10(IF(ISNUMBER(L281),L281,IFERROR(VALUE(LEFT(F281,FIND("-",F281)-1)),100))+1))/IF(IF(ISBLANK(M281),G281,M281)="High",5,IF(IF(ISBLANK(M281),G281,M281)="Medium",3,1)),2)</f>
        <v>5.97</v>
      </c>
      <c r="L281" s="10"/>
      <c r="M281" s="10"/>
      <c r="N281" s="10"/>
      <c r="O281" s="10" t="s">
        <v>123</v>
      </c>
      <c r="P281" s="11"/>
    </row>
    <row r="282" customFormat="false" ht="25.5" hidden="false" customHeight="true" outlineLevel="0" collapsed="false">
      <c r="A282" s="10" t="n">
        <v>281</v>
      </c>
      <c r="B282" s="10" t="n">
        <v>2</v>
      </c>
      <c r="C282" s="10" t="s">
        <v>115</v>
      </c>
      <c r="D282" s="11" t="s">
        <v>788</v>
      </c>
      <c r="E282" s="10" t="s">
        <v>117</v>
      </c>
      <c r="F282" s="11" t="s">
        <v>572</v>
      </c>
      <c r="G282" s="10" t="s">
        <v>505</v>
      </c>
      <c r="H282" s="10" t="s">
        <v>506</v>
      </c>
      <c r="I282" s="11" t="s">
        <v>121</v>
      </c>
      <c r="J282" s="11" t="s">
        <v>789</v>
      </c>
      <c r="K282" s="12" t="n">
        <f aca="false">ROUND((IF(E282="Transactional",5,IF(E282="Commercial",4,IF(E282="Comparison",3,IF(E282="Informational",2,3))))*LOG10(IF(ISNUMBER(L282),L282,IFERROR(VALUE(LEFT(F282,FIND("-",F282)-1)),100))+1))/IF(IF(ISBLANK(M282),G282,M282)="High",5,IF(IF(ISBLANK(M282),G282,M282)="Medium",3,1)),2)</f>
        <v>5.97</v>
      </c>
      <c r="L282" s="10"/>
      <c r="M282" s="10"/>
      <c r="N282" s="10"/>
      <c r="O282" s="10" t="s">
        <v>123</v>
      </c>
      <c r="P282" s="11" t="s">
        <v>508</v>
      </c>
    </row>
    <row r="283" customFormat="false" ht="25.5" hidden="false" customHeight="true" outlineLevel="0" collapsed="false">
      <c r="A283" s="10" t="n">
        <v>282</v>
      </c>
      <c r="B283" s="10" t="n">
        <v>2</v>
      </c>
      <c r="C283" s="10" t="s">
        <v>125</v>
      </c>
      <c r="D283" s="13" t="s">
        <v>790</v>
      </c>
      <c r="E283" s="10" t="s">
        <v>117</v>
      </c>
      <c r="F283" s="11" t="s">
        <v>572</v>
      </c>
      <c r="G283" s="10" t="s">
        <v>505</v>
      </c>
      <c r="H283" s="10" t="s">
        <v>506</v>
      </c>
      <c r="I283" s="11" t="s">
        <v>121</v>
      </c>
      <c r="J283" s="13" t="s">
        <v>791</v>
      </c>
      <c r="K283" s="12" t="n">
        <f aca="false">ROUND((IF(E283="Transactional",5,IF(E283="Commercial",4,IF(E283="Comparison",3,IF(E283="Informational",2,3))))*LOG10(IF(ISNUMBER(L283),L283,IFERROR(VALUE(LEFT(F283,FIND("-",F283)-1)),100))+1))/IF(IF(ISBLANK(M283),G283,M283)="High",5,IF(IF(ISBLANK(M283),G283,M283)="Medium",3,1)),2)</f>
        <v>5.97</v>
      </c>
      <c r="L283" s="10"/>
      <c r="M283" s="10"/>
      <c r="N283" s="10"/>
      <c r="O283" s="10" t="s">
        <v>123</v>
      </c>
      <c r="P283" s="11"/>
    </row>
    <row r="284" customFormat="false" ht="25.5" hidden="false" customHeight="true" outlineLevel="0" collapsed="false">
      <c r="A284" s="10" t="n">
        <v>283</v>
      </c>
      <c r="B284" s="10" t="n">
        <v>2</v>
      </c>
      <c r="C284" s="10" t="s">
        <v>115</v>
      </c>
      <c r="D284" s="11" t="s">
        <v>792</v>
      </c>
      <c r="E284" s="10" t="s">
        <v>117</v>
      </c>
      <c r="F284" s="11" t="s">
        <v>572</v>
      </c>
      <c r="G284" s="10" t="s">
        <v>505</v>
      </c>
      <c r="H284" s="10" t="s">
        <v>506</v>
      </c>
      <c r="I284" s="11" t="s">
        <v>121</v>
      </c>
      <c r="J284" s="11" t="s">
        <v>793</v>
      </c>
      <c r="K284" s="12" t="n">
        <f aca="false">ROUND((IF(E284="Transactional",5,IF(E284="Commercial",4,IF(E284="Comparison",3,IF(E284="Informational",2,3))))*LOG10(IF(ISNUMBER(L284),L284,IFERROR(VALUE(LEFT(F284,FIND("-",F284)-1)),100))+1))/IF(IF(ISBLANK(M284),G284,M284)="High",5,IF(IF(ISBLANK(M284),G284,M284)="Medium",3,1)),2)</f>
        <v>5.97</v>
      </c>
      <c r="L284" s="10"/>
      <c r="M284" s="10"/>
      <c r="N284" s="10"/>
      <c r="O284" s="10" t="s">
        <v>123</v>
      </c>
      <c r="P284" s="11" t="s">
        <v>508</v>
      </c>
    </row>
    <row r="285" customFormat="false" ht="25.5" hidden="false" customHeight="true" outlineLevel="0" collapsed="false">
      <c r="A285" s="10" t="n">
        <v>284</v>
      </c>
      <c r="B285" s="10" t="n">
        <v>2</v>
      </c>
      <c r="C285" s="10" t="s">
        <v>125</v>
      </c>
      <c r="D285" s="13" t="s">
        <v>794</v>
      </c>
      <c r="E285" s="10" t="s">
        <v>117</v>
      </c>
      <c r="F285" s="11" t="s">
        <v>572</v>
      </c>
      <c r="G285" s="10" t="s">
        <v>505</v>
      </c>
      <c r="H285" s="10" t="s">
        <v>506</v>
      </c>
      <c r="I285" s="11" t="s">
        <v>121</v>
      </c>
      <c r="J285" s="13" t="s">
        <v>795</v>
      </c>
      <c r="K285" s="12" t="n">
        <f aca="false">ROUND((IF(E285="Transactional",5,IF(E285="Commercial",4,IF(E285="Comparison",3,IF(E285="Informational",2,3))))*LOG10(IF(ISNUMBER(L285),L285,IFERROR(VALUE(LEFT(F285,FIND("-",F285)-1)),100))+1))/IF(IF(ISBLANK(M285),G285,M285)="High",5,IF(IF(ISBLANK(M285),G285,M285)="Medium",3,1)),2)</f>
        <v>5.97</v>
      </c>
      <c r="L285" s="10"/>
      <c r="M285" s="10"/>
      <c r="N285" s="10"/>
      <c r="O285" s="10" t="s">
        <v>123</v>
      </c>
      <c r="P285" s="11"/>
    </row>
    <row r="286" customFormat="false" ht="25.5" hidden="false" customHeight="true" outlineLevel="0" collapsed="false">
      <c r="A286" s="10" t="n">
        <v>285</v>
      </c>
      <c r="B286" s="10" t="n">
        <v>2</v>
      </c>
      <c r="C286" s="10" t="s">
        <v>115</v>
      </c>
      <c r="D286" s="11" t="s">
        <v>796</v>
      </c>
      <c r="E286" s="10" t="s">
        <v>117</v>
      </c>
      <c r="F286" s="11" t="s">
        <v>504</v>
      </c>
      <c r="G286" s="10" t="s">
        <v>505</v>
      </c>
      <c r="H286" s="10" t="s">
        <v>506</v>
      </c>
      <c r="I286" s="11" t="s">
        <v>174</v>
      </c>
      <c r="J286" s="11" t="s">
        <v>797</v>
      </c>
      <c r="K286" s="12" t="n">
        <f aca="false">ROUND((IF(E286="Transactional",5,IF(E286="Commercial",4,IF(E286="Comparison",3,IF(E286="Informational",2,3))))*LOG10(IF(ISNUMBER(L286),L286,IFERROR(VALUE(LEFT(F286,FIND("-",F286)-1)),100))+1))/IF(IF(ISBLANK(M286),G286,M286)="High",5,IF(IF(ISBLANK(M286),G286,M286)="Medium",3,1)),2)</f>
        <v>6.45</v>
      </c>
      <c r="L286" s="10"/>
      <c r="M286" s="10"/>
      <c r="N286" s="10"/>
      <c r="O286" s="10" t="s">
        <v>123</v>
      </c>
      <c r="P286" s="11" t="s">
        <v>508</v>
      </c>
    </row>
    <row r="287" customFormat="false" ht="25.5" hidden="false" customHeight="true" outlineLevel="0" collapsed="false">
      <c r="A287" s="10" t="n">
        <v>286</v>
      </c>
      <c r="B287" s="10" t="n">
        <v>2</v>
      </c>
      <c r="C287" s="10" t="s">
        <v>125</v>
      </c>
      <c r="D287" s="13" t="s">
        <v>798</v>
      </c>
      <c r="E287" s="10" t="s">
        <v>117</v>
      </c>
      <c r="F287" s="11" t="s">
        <v>504</v>
      </c>
      <c r="G287" s="10" t="s">
        <v>505</v>
      </c>
      <c r="H287" s="10" t="s">
        <v>506</v>
      </c>
      <c r="I287" s="11" t="s">
        <v>174</v>
      </c>
      <c r="J287" s="13" t="s">
        <v>799</v>
      </c>
      <c r="K287" s="12" t="n">
        <f aca="false">ROUND((IF(E287="Transactional",5,IF(E287="Commercial",4,IF(E287="Comparison",3,IF(E287="Informational",2,3))))*LOG10(IF(ISNUMBER(L287),L287,IFERROR(VALUE(LEFT(F287,FIND("-",F287)-1)),100))+1))/IF(IF(ISBLANK(M287),G287,M287)="High",5,IF(IF(ISBLANK(M287),G287,M287)="Medium",3,1)),2)</f>
        <v>6.45</v>
      </c>
      <c r="L287" s="10"/>
      <c r="M287" s="10"/>
      <c r="N287" s="10"/>
      <c r="O287" s="10" t="s">
        <v>123</v>
      </c>
      <c r="P287" s="11"/>
    </row>
    <row r="288" customFormat="false" ht="25.5" hidden="false" customHeight="true" outlineLevel="0" collapsed="false">
      <c r="A288" s="10" t="n">
        <v>287</v>
      </c>
      <c r="B288" s="10" t="n">
        <v>2</v>
      </c>
      <c r="C288" s="10" t="s">
        <v>115</v>
      </c>
      <c r="D288" s="11" t="s">
        <v>800</v>
      </c>
      <c r="E288" s="10" t="s">
        <v>117</v>
      </c>
      <c r="F288" s="11" t="s">
        <v>504</v>
      </c>
      <c r="G288" s="10" t="s">
        <v>505</v>
      </c>
      <c r="H288" s="10" t="s">
        <v>506</v>
      </c>
      <c r="I288" s="11" t="s">
        <v>174</v>
      </c>
      <c r="J288" s="11" t="s">
        <v>801</v>
      </c>
      <c r="K288" s="12" t="n">
        <f aca="false">ROUND((IF(E288="Transactional",5,IF(E288="Commercial",4,IF(E288="Comparison",3,IF(E288="Informational",2,3))))*LOG10(IF(ISNUMBER(L288),L288,IFERROR(VALUE(LEFT(F288,FIND("-",F288)-1)),100))+1))/IF(IF(ISBLANK(M288),G288,M288)="High",5,IF(IF(ISBLANK(M288),G288,M288)="Medium",3,1)),2)</f>
        <v>6.45</v>
      </c>
      <c r="L288" s="10"/>
      <c r="M288" s="10"/>
      <c r="N288" s="10"/>
      <c r="O288" s="10" t="s">
        <v>123</v>
      </c>
      <c r="P288" s="11" t="s">
        <v>508</v>
      </c>
    </row>
    <row r="289" customFormat="false" ht="25.5" hidden="false" customHeight="true" outlineLevel="0" collapsed="false">
      <c r="A289" s="10" t="n">
        <v>288</v>
      </c>
      <c r="B289" s="10" t="n">
        <v>2</v>
      </c>
      <c r="C289" s="10" t="s">
        <v>125</v>
      </c>
      <c r="D289" s="13" t="s">
        <v>802</v>
      </c>
      <c r="E289" s="10" t="s">
        <v>117</v>
      </c>
      <c r="F289" s="11" t="s">
        <v>504</v>
      </c>
      <c r="G289" s="10" t="s">
        <v>505</v>
      </c>
      <c r="H289" s="10" t="s">
        <v>506</v>
      </c>
      <c r="I289" s="11" t="s">
        <v>174</v>
      </c>
      <c r="J289" s="13" t="s">
        <v>803</v>
      </c>
      <c r="K289" s="12" t="n">
        <f aca="false">ROUND((IF(E289="Transactional",5,IF(E289="Commercial",4,IF(E289="Comparison",3,IF(E289="Informational",2,3))))*LOG10(IF(ISNUMBER(L289),L289,IFERROR(VALUE(LEFT(F289,FIND("-",F289)-1)),100))+1))/IF(IF(ISBLANK(M289),G289,M289)="High",5,IF(IF(ISBLANK(M289),G289,M289)="Medium",3,1)),2)</f>
        <v>6.45</v>
      </c>
      <c r="L289" s="10"/>
      <c r="M289" s="10"/>
      <c r="N289" s="10"/>
      <c r="O289" s="10" t="s">
        <v>123</v>
      </c>
      <c r="P289" s="11"/>
    </row>
    <row r="290" customFormat="false" ht="25.5" hidden="false" customHeight="true" outlineLevel="0" collapsed="false">
      <c r="A290" s="10" t="n">
        <v>289</v>
      </c>
      <c r="B290" s="10" t="n">
        <v>2</v>
      </c>
      <c r="C290" s="10" t="s">
        <v>115</v>
      </c>
      <c r="D290" s="11" t="s">
        <v>804</v>
      </c>
      <c r="E290" s="10" t="s">
        <v>117</v>
      </c>
      <c r="F290" s="11" t="s">
        <v>504</v>
      </c>
      <c r="G290" s="10" t="s">
        <v>505</v>
      </c>
      <c r="H290" s="10" t="s">
        <v>506</v>
      </c>
      <c r="I290" s="11" t="s">
        <v>174</v>
      </c>
      <c r="J290" s="11" t="s">
        <v>805</v>
      </c>
      <c r="K290" s="12" t="n">
        <f aca="false">ROUND((IF(E290="Transactional",5,IF(E290="Commercial",4,IF(E290="Comparison",3,IF(E290="Informational",2,3))))*LOG10(IF(ISNUMBER(L290),L290,IFERROR(VALUE(LEFT(F290,FIND("-",F290)-1)),100))+1))/IF(IF(ISBLANK(M290),G290,M290)="High",5,IF(IF(ISBLANK(M290),G290,M290)="Medium",3,1)),2)</f>
        <v>6.45</v>
      </c>
      <c r="L290" s="10"/>
      <c r="M290" s="10"/>
      <c r="N290" s="10"/>
      <c r="O290" s="10" t="s">
        <v>123</v>
      </c>
      <c r="P290" s="11" t="s">
        <v>508</v>
      </c>
    </row>
    <row r="291" customFormat="false" ht="25.5" hidden="false" customHeight="true" outlineLevel="0" collapsed="false">
      <c r="A291" s="10" t="n">
        <v>290</v>
      </c>
      <c r="B291" s="10" t="n">
        <v>2</v>
      </c>
      <c r="C291" s="10" t="s">
        <v>125</v>
      </c>
      <c r="D291" s="13" t="s">
        <v>806</v>
      </c>
      <c r="E291" s="10" t="s">
        <v>117</v>
      </c>
      <c r="F291" s="11" t="s">
        <v>504</v>
      </c>
      <c r="G291" s="10" t="s">
        <v>505</v>
      </c>
      <c r="H291" s="10" t="s">
        <v>506</v>
      </c>
      <c r="I291" s="11" t="s">
        <v>174</v>
      </c>
      <c r="J291" s="13" t="s">
        <v>807</v>
      </c>
      <c r="K291" s="12" t="n">
        <f aca="false">ROUND((IF(E291="Transactional",5,IF(E291="Commercial",4,IF(E291="Comparison",3,IF(E291="Informational",2,3))))*LOG10(IF(ISNUMBER(L291),L291,IFERROR(VALUE(LEFT(F291,FIND("-",F291)-1)),100))+1))/IF(IF(ISBLANK(M291),G291,M291)="High",5,IF(IF(ISBLANK(M291),G291,M291)="Medium",3,1)),2)</f>
        <v>6.45</v>
      </c>
      <c r="L291" s="10"/>
      <c r="M291" s="10"/>
      <c r="N291" s="10"/>
      <c r="O291" s="10" t="s">
        <v>123</v>
      </c>
      <c r="P291" s="11"/>
    </row>
    <row r="292" customFormat="false" ht="25.5" hidden="false" customHeight="true" outlineLevel="0" collapsed="false">
      <c r="A292" s="10" t="n">
        <v>291</v>
      </c>
      <c r="B292" s="10" t="n">
        <v>2</v>
      </c>
      <c r="C292" s="10" t="s">
        <v>115</v>
      </c>
      <c r="D292" s="11" t="s">
        <v>808</v>
      </c>
      <c r="E292" s="10" t="s">
        <v>117</v>
      </c>
      <c r="F292" s="11" t="s">
        <v>504</v>
      </c>
      <c r="G292" s="10" t="s">
        <v>505</v>
      </c>
      <c r="H292" s="10" t="s">
        <v>506</v>
      </c>
      <c r="I292" s="11" t="s">
        <v>174</v>
      </c>
      <c r="J292" s="11" t="s">
        <v>809</v>
      </c>
      <c r="K292" s="12" t="n">
        <f aca="false">ROUND((IF(E292="Transactional",5,IF(E292="Commercial",4,IF(E292="Comparison",3,IF(E292="Informational",2,3))))*LOG10(IF(ISNUMBER(L292),L292,IFERROR(VALUE(LEFT(F292,FIND("-",F292)-1)),100))+1))/IF(IF(ISBLANK(M292),G292,M292)="High",5,IF(IF(ISBLANK(M292),G292,M292)="Medium",3,1)),2)</f>
        <v>6.45</v>
      </c>
      <c r="L292" s="10"/>
      <c r="M292" s="10"/>
      <c r="N292" s="10"/>
      <c r="O292" s="10" t="s">
        <v>123</v>
      </c>
      <c r="P292" s="11" t="s">
        <v>508</v>
      </c>
    </row>
    <row r="293" customFormat="false" ht="25.5" hidden="false" customHeight="true" outlineLevel="0" collapsed="false">
      <c r="A293" s="10" t="n">
        <v>292</v>
      </c>
      <c r="B293" s="10" t="n">
        <v>2</v>
      </c>
      <c r="C293" s="10" t="s">
        <v>125</v>
      </c>
      <c r="D293" s="13" t="s">
        <v>810</v>
      </c>
      <c r="E293" s="10" t="s">
        <v>117</v>
      </c>
      <c r="F293" s="11" t="s">
        <v>504</v>
      </c>
      <c r="G293" s="10" t="s">
        <v>505</v>
      </c>
      <c r="H293" s="10" t="s">
        <v>506</v>
      </c>
      <c r="I293" s="11" t="s">
        <v>174</v>
      </c>
      <c r="J293" s="13" t="s">
        <v>811</v>
      </c>
      <c r="K293" s="12" t="n">
        <f aca="false">ROUND((IF(E293="Transactional",5,IF(E293="Commercial",4,IF(E293="Comparison",3,IF(E293="Informational",2,3))))*LOG10(IF(ISNUMBER(L293),L293,IFERROR(VALUE(LEFT(F293,FIND("-",F293)-1)),100))+1))/IF(IF(ISBLANK(M293),G293,M293)="High",5,IF(IF(ISBLANK(M293),G293,M293)="Medium",3,1)),2)</f>
        <v>6.45</v>
      </c>
      <c r="L293" s="10"/>
      <c r="M293" s="10"/>
      <c r="N293" s="10"/>
      <c r="O293" s="10" t="s">
        <v>123</v>
      </c>
      <c r="P293" s="11"/>
    </row>
    <row r="294" customFormat="false" ht="25.5" hidden="false" customHeight="true" outlineLevel="0" collapsed="false">
      <c r="A294" s="10" t="n">
        <v>293</v>
      </c>
      <c r="B294" s="10" t="n">
        <v>2</v>
      </c>
      <c r="C294" s="10" t="s">
        <v>115</v>
      </c>
      <c r="D294" s="11" t="s">
        <v>812</v>
      </c>
      <c r="E294" s="10" t="s">
        <v>117</v>
      </c>
      <c r="F294" s="11" t="s">
        <v>504</v>
      </c>
      <c r="G294" s="10" t="s">
        <v>505</v>
      </c>
      <c r="H294" s="10" t="s">
        <v>506</v>
      </c>
      <c r="I294" s="11" t="s">
        <v>174</v>
      </c>
      <c r="J294" s="11" t="s">
        <v>813</v>
      </c>
      <c r="K294" s="12" t="n">
        <f aca="false">ROUND((IF(E294="Transactional",5,IF(E294="Commercial",4,IF(E294="Comparison",3,IF(E294="Informational",2,3))))*LOG10(IF(ISNUMBER(L294),L294,IFERROR(VALUE(LEFT(F294,FIND("-",F294)-1)),100))+1))/IF(IF(ISBLANK(M294),G294,M294)="High",5,IF(IF(ISBLANK(M294),G294,M294)="Medium",3,1)),2)</f>
        <v>6.45</v>
      </c>
      <c r="L294" s="10"/>
      <c r="M294" s="10"/>
      <c r="N294" s="10"/>
      <c r="O294" s="10" t="s">
        <v>123</v>
      </c>
      <c r="P294" s="11" t="s">
        <v>508</v>
      </c>
    </row>
    <row r="295" customFormat="false" ht="25.5" hidden="false" customHeight="true" outlineLevel="0" collapsed="false">
      <c r="A295" s="10" t="n">
        <v>294</v>
      </c>
      <c r="B295" s="10" t="n">
        <v>2</v>
      </c>
      <c r="C295" s="10" t="s">
        <v>125</v>
      </c>
      <c r="D295" s="13" t="s">
        <v>814</v>
      </c>
      <c r="E295" s="10" t="s">
        <v>117</v>
      </c>
      <c r="F295" s="11" t="s">
        <v>504</v>
      </c>
      <c r="G295" s="10" t="s">
        <v>505</v>
      </c>
      <c r="H295" s="10" t="s">
        <v>506</v>
      </c>
      <c r="I295" s="11" t="s">
        <v>174</v>
      </c>
      <c r="J295" s="13" t="s">
        <v>815</v>
      </c>
      <c r="K295" s="12" t="n">
        <f aca="false">ROUND((IF(E295="Transactional",5,IF(E295="Commercial",4,IF(E295="Comparison",3,IF(E295="Informational",2,3))))*LOG10(IF(ISNUMBER(L295),L295,IFERROR(VALUE(LEFT(F295,FIND("-",F295)-1)),100))+1))/IF(IF(ISBLANK(M295),G295,M295)="High",5,IF(IF(ISBLANK(M295),G295,M295)="Medium",3,1)),2)</f>
        <v>6.45</v>
      </c>
      <c r="L295" s="10"/>
      <c r="M295" s="10"/>
      <c r="N295" s="10"/>
      <c r="O295" s="10" t="s">
        <v>123</v>
      </c>
      <c r="P295" s="11"/>
    </row>
    <row r="296" customFormat="false" ht="25.5" hidden="false" customHeight="true" outlineLevel="0" collapsed="false">
      <c r="A296" s="10" t="n">
        <v>295</v>
      </c>
      <c r="B296" s="10" t="n">
        <v>2</v>
      </c>
      <c r="C296" s="10" t="s">
        <v>115</v>
      </c>
      <c r="D296" s="11" t="s">
        <v>816</v>
      </c>
      <c r="E296" s="10" t="s">
        <v>117</v>
      </c>
      <c r="F296" s="11" t="s">
        <v>504</v>
      </c>
      <c r="G296" s="10" t="s">
        <v>505</v>
      </c>
      <c r="H296" s="10" t="s">
        <v>506</v>
      </c>
      <c r="I296" s="11" t="s">
        <v>174</v>
      </c>
      <c r="J296" s="11" t="s">
        <v>817</v>
      </c>
      <c r="K296" s="12" t="n">
        <f aca="false">ROUND((IF(E296="Transactional",5,IF(E296="Commercial",4,IF(E296="Comparison",3,IF(E296="Informational",2,3))))*LOG10(IF(ISNUMBER(L296),L296,IFERROR(VALUE(LEFT(F296,FIND("-",F296)-1)),100))+1))/IF(IF(ISBLANK(M296),G296,M296)="High",5,IF(IF(ISBLANK(M296),G296,M296)="Medium",3,1)),2)</f>
        <v>6.45</v>
      </c>
      <c r="L296" s="10"/>
      <c r="M296" s="10"/>
      <c r="N296" s="10"/>
      <c r="O296" s="10" t="s">
        <v>123</v>
      </c>
      <c r="P296" s="11" t="s">
        <v>508</v>
      </c>
    </row>
    <row r="297" customFormat="false" ht="25.5" hidden="false" customHeight="true" outlineLevel="0" collapsed="false">
      <c r="A297" s="10" t="n">
        <v>296</v>
      </c>
      <c r="B297" s="10" t="n">
        <v>2</v>
      </c>
      <c r="C297" s="10" t="s">
        <v>125</v>
      </c>
      <c r="D297" s="13" t="s">
        <v>818</v>
      </c>
      <c r="E297" s="10" t="s">
        <v>117</v>
      </c>
      <c r="F297" s="11" t="s">
        <v>504</v>
      </c>
      <c r="G297" s="10" t="s">
        <v>505</v>
      </c>
      <c r="H297" s="10" t="s">
        <v>506</v>
      </c>
      <c r="I297" s="11" t="s">
        <v>174</v>
      </c>
      <c r="J297" s="13" t="s">
        <v>819</v>
      </c>
      <c r="K297" s="12" t="n">
        <f aca="false">ROUND((IF(E297="Transactional",5,IF(E297="Commercial",4,IF(E297="Comparison",3,IF(E297="Informational",2,3))))*LOG10(IF(ISNUMBER(L297),L297,IFERROR(VALUE(LEFT(F297,FIND("-",F297)-1)),100))+1))/IF(IF(ISBLANK(M297),G297,M297)="High",5,IF(IF(ISBLANK(M297),G297,M297)="Medium",3,1)),2)</f>
        <v>6.45</v>
      </c>
      <c r="L297" s="10"/>
      <c r="M297" s="10"/>
      <c r="N297" s="10"/>
      <c r="O297" s="10" t="s">
        <v>123</v>
      </c>
      <c r="P297" s="11"/>
    </row>
    <row r="298" customFormat="false" ht="25.5" hidden="false" customHeight="true" outlineLevel="0" collapsed="false">
      <c r="A298" s="10" t="n">
        <v>297</v>
      </c>
      <c r="B298" s="10" t="n">
        <v>2</v>
      </c>
      <c r="C298" s="10" t="s">
        <v>115</v>
      </c>
      <c r="D298" s="11" t="s">
        <v>820</v>
      </c>
      <c r="E298" s="10" t="s">
        <v>117</v>
      </c>
      <c r="F298" s="11" t="s">
        <v>504</v>
      </c>
      <c r="G298" s="10" t="s">
        <v>505</v>
      </c>
      <c r="H298" s="10" t="s">
        <v>506</v>
      </c>
      <c r="I298" s="11" t="s">
        <v>174</v>
      </c>
      <c r="J298" s="11" t="s">
        <v>821</v>
      </c>
      <c r="K298" s="12" t="n">
        <f aca="false">ROUND((IF(E298="Transactional",5,IF(E298="Commercial",4,IF(E298="Comparison",3,IF(E298="Informational",2,3))))*LOG10(IF(ISNUMBER(L298),L298,IFERROR(VALUE(LEFT(F298,FIND("-",F298)-1)),100))+1))/IF(IF(ISBLANK(M298),G298,M298)="High",5,IF(IF(ISBLANK(M298),G298,M298)="Medium",3,1)),2)</f>
        <v>6.45</v>
      </c>
      <c r="L298" s="10"/>
      <c r="M298" s="10"/>
      <c r="N298" s="10"/>
      <c r="O298" s="10" t="s">
        <v>123</v>
      </c>
      <c r="P298" s="11" t="s">
        <v>508</v>
      </c>
    </row>
    <row r="299" customFormat="false" ht="25.5" hidden="false" customHeight="true" outlineLevel="0" collapsed="false">
      <c r="A299" s="10" t="n">
        <v>298</v>
      </c>
      <c r="B299" s="10" t="n">
        <v>2</v>
      </c>
      <c r="C299" s="10" t="s">
        <v>125</v>
      </c>
      <c r="D299" s="13" t="s">
        <v>822</v>
      </c>
      <c r="E299" s="10" t="s">
        <v>117</v>
      </c>
      <c r="F299" s="11" t="s">
        <v>504</v>
      </c>
      <c r="G299" s="10" t="s">
        <v>505</v>
      </c>
      <c r="H299" s="10" t="s">
        <v>506</v>
      </c>
      <c r="I299" s="11" t="s">
        <v>174</v>
      </c>
      <c r="J299" s="13" t="s">
        <v>823</v>
      </c>
      <c r="K299" s="12" t="n">
        <f aca="false">ROUND((IF(E299="Transactional",5,IF(E299="Commercial",4,IF(E299="Comparison",3,IF(E299="Informational",2,3))))*LOG10(IF(ISNUMBER(L299),L299,IFERROR(VALUE(LEFT(F299,FIND("-",F299)-1)),100))+1))/IF(IF(ISBLANK(M299),G299,M299)="High",5,IF(IF(ISBLANK(M299),G299,M299)="Medium",3,1)),2)</f>
        <v>6.45</v>
      </c>
      <c r="L299" s="10"/>
      <c r="M299" s="10"/>
      <c r="N299" s="10"/>
      <c r="O299" s="10" t="s">
        <v>123</v>
      </c>
      <c r="P299" s="11"/>
    </row>
    <row r="300" customFormat="false" ht="25.5" hidden="false" customHeight="true" outlineLevel="0" collapsed="false">
      <c r="A300" s="10" t="n">
        <v>299</v>
      </c>
      <c r="B300" s="10" t="n">
        <v>2</v>
      </c>
      <c r="C300" s="10" t="s">
        <v>115</v>
      </c>
      <c r="D300" s="11" t="s">
        <v>824</v>
      </c>
      <c r="E300" s="10" t="s">
        <v>117</v>
      </c>
      <c r="F300" s="11" t="s">
        <v>504</v>
      </c>
      <c r="G300" s="10" t="s">
        <v>505</v>
      </c>
      <c r="H300" s="10" t="s">
        <v>506</v>
      </c>
      <c r="I300" s="11" t="s">
        <v>174</v>
      </c>
      <c r="J300" s="11" t="s">
        <v>825</v>
      </c>
      <c r="K300" s="12" t="n">
        <f aca="false">ROUND((IF(E300="Transactional",5,IF(E300="Commercial",4,IF(E300="Comparison",3,IF(E300="Informational",2,3))))*LOG10(IF(ISNUMBER(L300),L300,IFERROR(VALUE(LEFT(F300,FIND("-",F300)-1)),100))+1))/IF(IF(ISBLANK(M300),G300,M300)="High",5,IF(IF(ISBLANK(M300),G300,M300)="Medium",3,1)),2)</f>
        <v>6.45</v>
      </c>
      <c r="L300" s="10"/>
      <c r="M300" s="10"/>
      <c r="N300" s="10"/>
      <c r="O300" s="10" t="s">
        <v>123</v>
      </c>
      <c r="P300" s="11" t="s">
        <v>508</v>
      </c>
    </row>
    <row r="301" customFormat="false" ht="25.5" hidden="false" customHeight="true" outlineLevel="0" collapsed="false">
      <c r="A301" s="10" t="n">
        <v>300</v>
      </c>
      <c r="B301" s="10" t="n">
        <v>2</v>
      </c>
      <c r="C301" s="10" t="s">
        <v>125</v>
      </c>
      <c r="D301" s="13" t="s">
        <v>826</v>
      </c>
      <c r="E301" s="10" t="s">
        <v>117</v>
      </c>
      <c r="F301" s="11" t="s">
        <v>504</v>
      </c>
      <c r="G301" s="10" t="s">
        <v>505</v>
      </c>
      <c r="H301" s="10" t="s">
        <v>506</v>
      </c>
      <c r="I301" s="11" t="s">
        <v>174</v>
      </c>
      <c r="J301" s="13" t="s">
        <v>827</v>
      </c>
      <c r="K301" s="12" t="n">
        <f aca="false">ROUND((IF(E301="Transactional",5,IF(E301="Commercial",4,IF(E301="Comparison",3,IF(E301="Informational",2,3))))*LOG10(IF(ISNUMBER(L301),L301,IFERROR(VALUE(LEFT(F301,FIND("-",F301)-1)),100))+1))/IF(IF(ISBLANK(M301),G301,M301)="High",5,IF(IF(ISBLANK(M301),G301,M301)="Medium",3,1)),2)</f>
        <v>6.45</v>
      </c>
      <c r="L301" s="10"/>
      <c r="M301" s="10"/>
      <c r="N301" s="10"/>
      <c r="O301" s="10" t="s">
        <v>123</v>
      </c>
      <c r="P301" s="11"/>
    </row>
    <row r="302" customFormat="false" ht="25.5" hidden="false" customHeight="true" outlineLevel="0" collapsed="false">
      <c r="A302" s="10" t="n">
        <v>301</v>
      </c>
      <c r="B302" s="10" t="n">
        <v>2</v>
      </c>
      <c r="C302" s="10" t="s">
        <v>115</v>
      </c>
      <c r="D302" s="11" t="s">
        <v>828</v>
      </c>
      <c r="E302" s="10" t="s">
        <v>117</v>
      </c>
      <c r="F302" s="11" t="s">
        <v>504</v>
      </c>
      <c r="G302" s="10" t="s">
        <v>505</v>
      </c>
      <c r="H302" s="10" t="s">
        <v>506</v>
      </c>
      <c r="I302" s="11" t="s">
        <v>174</v>
      </c>
      <c r="J302" s="11" t="s">
        <v>829</v>
      </c>
      <c r="K302" s="12" t="n">
        <f aca="false">ROUND((IF(E302="Transactional",5,IF(E302="Commercial",4,IF(E302="Comparison",3,IF(E302="Informational",2,3))))*LOG10(IF(ISNUMBER(L302),L302,IFERROR(VALUE(LEFT(F302,FIND("-",F302)-1)),100))+1))/IF(IF(ISBLANK(M302),G302,M302)="High",5,IF(IF(ISBLANK(M302),G302,M302)="Medium",3,1)),2)</f>
        <v>6.45</v>
      </c>
      <c r="L302" s="10"/>
      <c r="M302" s="10"/>
      <c r="N302" s="10"/>
      <c r="O302" s="10" t="s">
        <v>123</v>
      </c>
      <c r="P302" s="11" t="s">
        <v>508</v>
      </c>
    </row>
    <row r="303" customFormat="false" ht="25.5" hidden="false" customHeight="true" outlineLevel="0" collapsed="false">
      <c r="A303" s="10" t="n">
        <v>302</v>
      </c>
      <c r="B303" s="10" t="n">
        <v>2</v>
      </c>
      <c r="C303" s="10" t="s">
        <v>125</v>
      </c>
      <c r="D303" s="13" t="s">
        <v>830</v>
      </c>
      <c r="E303" s="10" t="s">
        <v>117</v>
      </c>
      <c r="F303" s="11" t="s">
        <v>504</v>
      </c>
      <c r="G303" s="10" t="s">
        <v>505</v>
      </c>
      <c r="H303" s="10" t="s">
        <v>506</v>
      </c>
      <c r="I303" s="11" t="s">
        <v>174</v>
      </c>
      <c r="J303" s="13" t="s">
        <v>831</v>
      </c>
      <c r="K303" s="12" t="n">
        <f aca="false">ROUND((IF(E303="Transactional",5,IF(E303="Commercial",4,IF(E303="Comparison",3,IF(E303="Informational",2,3))))*LOG10(IF(ISNUMBER(L303),L303,IFERROR(VALUE(LEFT(F303,FIND("-",F303)-1)),100))+1))/IF(IF(ISBLANK(M303),G303,M303)="High",5,IF(IF(ISBLANK(M303),G303,M303)="Medium",3,1)),2)</f>
        <v>6.45</v>
      </c>
      <c r="L303" s="10"/>
      <c r="M303" s="10"/>
      <c r="N303" s="10"/>
      <c r="O303" s="10" t="s">
        <v>123</v>
      </c>
      <c r="P303" s="11"/>
    </row>
    <row r="304" customFormat="false" ht="25.5" hidden="false" customHeight="true" outlineLevel="0" collapsed="false">
      <c r="A304" s="10" t="n">
        <v>303</v>
      </c>
      <c r="B304" s="10" t="n">
        <v>2</v>
      </c>
      <c r="C304" s="10" t="s">
        <v>115</v>
      </c>
      <c r="D304" s="11" t="s">
        <v>832</v>
      </c>
      <c r="E304" s="10" t="s">
        <v>117</v>
      </c>
      <c r="F304" s="11" t="s">
        <v>504</v>
      </c>
      <c r="G304" s="10" t="s">
        <v>505</v>
      </c>
      <c r="H304" s="10" t="s">
        <v>506</v>
      </c>
      <c r="I304" s="11" t="s">
        <v>174</v>
      </c>
      <c r="J304" s="11" t="s">
        <v>833</v>
      </c>
      <c r="K304" s="12" t="n">
        <f aca="false">ROUND((IF(E304="Transactional",5,IF(E304="Commercial",4,IF(E304="Comparison",3,IF(E304="Informational",2,3))))*LOG10(IF(ISNUMBER(L304),L304,IFERROR(VALUE(LEFT(F304,FIND("-",F304)-1)),100))+1))/IF(IF(ISBLANK(M304),G304,M304)="High",5,IF(IF(ISBLANK(M304),G304,M304)="Medium",3,1)),2)</f>
        <v>6.45</v>
      </c>
      <c r="L304" s="10"/>
      <c r="M304" s="10"/>
      <c r="N304" s="10"/>
      <c r="O304" s="10" t="s">
        <v>123</v>
      </c>
      <c r="P304" s="11" t="s">
        <v>508</v>
      </c>
    </row>
    <row r="305" customFormat="false" ht="25.5" hidden="false" customHeight="true" outlineLevel="0" collapsed="false">
      <c r="A305" s="10" t="n">
        <v>304</v>
      </c>
      <c r="B305" s="10" t="n">
        <v>2</v>
      </c>
      <c r="C305" s="10" t="s">
        <v>125</v>
      </c>
      <c r="D305" s="13" t="s">
        <v>834</v>
      </c>
      <c r="E305" s="10" t="s">
        <v>117</v>
      </c>
      <c r="F305" s="11" t="s">
        <v>504</v>
      </c>
      <c r="G305" s="10" t="s">
        <v>505</v>
      </c>
      <c r="H305" s="10" t="s">
        <v>506</v>
      </c>
      <c r="I305" s="11" t="s">
        <v>174</v>
      </c>
      <c r="J305" s="13" t="s">
        <v>835</v>
      </c>
      <c r="K305" s="12" t="n">
        <f aca="false">ROUND((IF(E305="Transactional",5,IF(E305="Commercial",4,IF(E305="Comparison",3,IF(E305="Informational",2,3))))*LOG10(IF(ISNUMBER(L305),L305,IFERROR(VALUE(LEFT(F305,FIND("-",F305)-1)),100))+1))/IF(IF(ISBLANK(M305),G305,M305)="High",5,IF(IF(ISBLANK(M305),G305,M305)="Medium",3,1)),2)</f>
        <v>6.45</v>
      </c>
      <c r="L305" s="10"/>
      <c r="M305" s="10"/>
      <c r="N305" s="10"/>
      <c r="O305" s="10" t="s">
        <v>123</v>
      </c>
      <c r="P305" s="11"/>
    </row>
    <row r="306" customFormat="false" ht="25.5" hidden="false" customHeight="true" outlineLevel="0" collapsed="false">
      <c r="A306" s="10" t="n">
        <v>305</v>
      </c>
      <c r="B306" s="10" t="n">
        <v>2</v>
      </c>
      <c r="C306" s="10" t="s">
        <v>115</v>
      </c>
      <c r="D306" s="11" t="s">
        <v>836</v>
      </c>
      <c r="E306" s="10" t="s">
        <v>117</v>
      </c>
      <c r="F306" s="11" t="s">
        <v>504</v>
      </c>
      <c r="G306" s="10" t="s">
        <v>505</v>
      </c>
      <c r="H306" s="10" t="s">
        <v>506</v>
      </c>
      <c r="I306" s="11" t="s">
        <v>174</v>
      </c>
      <c r="J306" s="11" t="s">
        <v>837</v>
      </c>
      <c r="K306" s="12" t="n">
        <f aca="false">ROUND((IF(E306="Transactional",5,IF(E306="Commercial",4,IF(E306="Comparison",3,IF(E306="Informational",2,3))))*LOG10(IF(ISNUMBER(L306),L306,IFERROR(VALUE(LEFT(F306,FIND("-",F306)-1)),100))+1))/IF(IF(ISBLANK(M306),G306,M306)="High",5,IF(IF(ISBLANK(M306),G306,M306)="Medium",3,1)),2)</f>
        <v>6.45</v>
      </c>
      <c r="L306" s="10"/>
      <c r="M306" s="10"/>
      <c r="N306" s="10"/>
      <c r="O306" s="10" t="s">
        <v>123</v>
      </c>
      <c r="P306" s="11" t="s">
        <v>508</v>
      </c>
    </row>
    <row r="307" customFormat="false" ht="25.5" hidden="false" customHeight="true" outlineLevel="0" collapsed="false">
      <c r="A307" s="10" t="n">
        <v>306</v>
      </c>
      <c r="B307" s="10" t="n">
        <v>2</v>
      </c>
      <c r="C307" s="10" t="s">
        <v>125</v>
      </c>
      <c r="D307" s="13" t="s">
        <v>838</v>
      </c>
      <c r="E307" s="10" t="s">
        <v>117</v>
      </c>
      <c r="F307" s="11" t="s">
        <v>504</v>
      </c>
      <c r="G307" s="10" t="s">
        <v>505</v>
      </c>
      <c r="H307" s="10" t="s">
        <v>506</v>
      </c>
      <c r="I307" s="11" t="s">
        <v>174</v>
      </c>
      <c r="J307" s="13" t="s">
        <v>839</v>
      </c>
      <c r="K307" s="12" t="n">
        <f aca="false">ROUND((IF(E307="Transactional",5,IF(E307="Commercial",4,IF(E307="Comparison",3,IF(E307="Informational",2,3))))*LOG10(IF(ISNUMBER(L307),L307,IFERROR(VALUE(LEFT(F307,FIND("-",F307)-1)),100))+1))/IF(IF(ISBLANK(M307),G307,M307)="High",5,IF(IF(ISBLANK(M307),G307,M307)="Medium",3,1)),2)</f>
        <v>6.45</v>
      </c>
      <c r="L307" s="10"/>
      <c r="M307" s="10"/>
      <c r="N307" s="10"/>
      <c r="O307" s="10" t="s">
        <v>123</v>
      </c>
      <c r="P307" s="11"/>
    </row>
    <row r="308" customFormat="false" ht="25.5" hidden="false" customHeight="true" outlineLevel="0" collapsed="false">
      <c r="A308" s="10" t="n">
        <v>307</v>
      </c>
      <c r="B308" s="10" t="n">
        <v>2</v>
      </c>
      <c r="C308" s="10" t="s">
        <v>115</v>
      </c>
      <c r="D308" s="11" t="s">
        <v>840</v>
      </c>
      <c r="E308" s="10" t="s">
        <v>117</v>
      </c>
      <c r="F308" s="11" t="s">
        <v>504</v>
      </c>
      <c r="G308" s="10" t="s">
        <v>505</v>
      </c>
      <c r="H308" s="10" t="s">
        <v>506</v>
      </c>
      <c r="I308" s="11" t="s">
        <v>174</v>
      </c>
      <c r="J308" s="11" t="s">
        <v>841</v>
      </c>
      <c r="K308" s="12" t="n">
        <f aca="false">ROUND((IF(E308="Transactional",5,IF(E308="Commercial",4,IF(E308="Comparison",3,IF(E308="Informational",2,3))))*LOG10(IF(ISNUMBER(L308),L308,IFERROR(VALUE(LEFT(F308,FIND("-",F308)-1)),100))+1))/IF(IF(ISBLANK(M308),G308,M308)="High",5,IF(IF(ISBLANK(M308),G308,M308)="Medium",3,1)),2)</f>
        <v>6.45</v>
      </c>
      <c r="L308" s="10"/>
      <c r="M308" s="10"/>
      <c r="N308" s="10"/>
      <c r="O308" s="10" t="s">
        <v>123</v>
      </c>
      <c r="P308" s="11" t="s">
        <v>508</v>
      </c>
    </row>
    <row r="309" customFormat="false" ht="25.5" hidden="false" customHeight="true" outlineLevel="0" collapsed="false">
      <c r="A309" s="10" t="n">
        <v>308</v>
      </c>
      <c r="B309" s="10" t="n">
        <v>2</v>
      </c>
      <c r="C309" s="10" t="s">
        <v>125</v>
      </c>
      <c r="D309" s="13" t="s">
        <v>842</v>
      </c>
      <c r="E309" s="10" t="s">
        <v>117</v>
      </c>
      <c r="F309" s="11" t="s">
        <v>504</v>
      </c>
      <c r="G309" s="10" t="s">
        <v>505</v>
      </c>
      <c r="H309" s="10" t="s">
        <v>506</v>
      </c>
      <c r="I309" s="11" t="s">
        <v>174</v>
      </c>
      <c r="J309" s="13" t="s">
        <v>843</v>
      </c>
      <c r="K309" s="12" t="n">
        <f aca="false">ROUND((IF(E309="Transactional",5,IF(E309="Commercial",4,IF(E309="Comparison",3,IF(E309="Informational",2,3))))*LOG10(IF(ISNUMBER(L309),L309,IFERROR(VALUE(LEFT(F309,FIND("-",F309)-1)),100))+1))/IF(IF(ISBLANK(M309),G309,M309)="High",5,IF(IF(ISBLANK(M309),G309,M309)="Medium",3,1)),2)</f>
        <v>6.45</v>
      </c>
      <c r="L309" s="10"/>
      <c r="M309" s="10"/>
      <c r="N309" s="10"/>
      <c r="O309" s="10" t="s">
        <v>123</v>
      </c>
      <c r="P309" s="11"/>
    </row>
    <row r="310" customFormat="false" ht="25.5" hidden="false" customHeight="true" outlineLevel="0" collapsed="false">
      <c r="A310" s="10" t="n">
        <v>309</v>
      </c>
      <c r="B310" s="10" t="n">
        <v>2</v>
      </c>
      <c r="C310" s="10" t="s">
        <v>115</v>
      </c>
      <c r="D310" s="11" t="s">
        <v>844</v>
      </c>
      <c r="E310" s="10" t="s">
        <v>117</v>
      </c>
      <c r="F310" s="11" t="s">
        <v>504</v>
      </c>
      <c r="G310" s="10" t="s">
        <v>505</v>
      </c>
      <c r="H310" s="10" t="s">
        <v>506</v>
      </c>
      <c r="I310" s="11" t="s">
        <v>174</v>
      </c>
      <c r="J310" s="11" t="s">
        <v>845</v>
      </c>
      <c r="K310" s="12" t="n">
        <f aca="false">ROUND((IF(E310="Transactional",5,IF(E310="Commercial",4,IF(E310="Comparison",3,IF(E310="Informational",2,3))))*LOG10(IF(ISNUMBER(L310),L310,IFERROR(VALUE(LEFT(F310,FIND("-",F310)-1)),100))+1))/IF(IF(ISBLANK(M310),G310,M310)="High",5,IF(IF(ISBLANK(M310),G310,M310)="Medium",3,1)),2)</f>
        <v>6.45</v>
      </c>
      <c r="L310" s="10"/>
      <c r="M310" s="10"/>
      <c r="N310" s="10"/>
      <c r="O310" s="10" t="s">
        <v>123</v>
      </c>
      <c r="P310" s="11" t="s">
        <v>508</v>
      </c>
    </row>
    <row r="311" customFormat="false" ht="25.5" hidden="false" customHeight="true" outlineLevel="0" collapsed="false">
      <c r="A311" s="10" t="n">
        <v>310</v>
      </c>
      <c r="B311" s="10" t="n">
        <v>2</v>
      </c>
      <c r="C311" s="10" t="s">
        <v>125</v>
      </c>
      <c r="D311" s="13" t="s">
        <v>846</v>
      </c>
      <c r="E311" s="10" t="s">
        <v>117</v>
      </c>
      <c r="F311" s="11" t="s">
        <v>504</v>
      </c>
      <c r="G311" s="10" t="s">
        <v>505</v>
      </c>
      <c r="H311" s="10" t="s">
        <v>506</v>
      </c>
      <c r="I311" s="11" t="s">
        <v>174</v>
      </c>
      <c r="J311" s="13" t="s">
        <v>847</v>
      </c>
      <c r="K311" s="12" t="n">
        <f aca="false">ROUND((IF(E311="Transactional",5,IF(E311="Commercial",4,IF(E311="Comparison",3,IF(E311="Informational",2,3))))*LOG10(IF(ISNUMBER(L311),L311,IFERROR(VALUE(LEFT(F311,FIND("-",F311)-1)),100))+1))/IF(IF(ISBLANK(M311),G311,M311)="High",5,IF(IF(ISBLANK(M311),G311,M311)="Medium",3,1)),2)</f>
        <v>6.45</v>
      </c>
      <c r="L311" s="10"/>
      <c r="M311" s="10"/>
      <c r="N311" s="10"/>
      <c r="O311" s="10" t="s">
        <v>123</v>
      </c>
      <c r="P311" s="11"/>
    </row>
    <row r="312" customFormat="false" ht="25.5" hidden="false" customHeight="true" outlineLevel="0" collapsed="false">
      <c r="A312" s="10" t="n">
        <v>311</v>
      </c>
      <c r="B312" s="10" t="n">
        <v>2</v>
      </c>
      <c r="C312" s="10" t="s">
        <v>115</v>
      </c>
      <c r="D312" s="11" t="s">
        <v>848</v>
      </c>
      <c r="E312" s="10" t="s">
        <v>117</v>
      </c>
      <c r="F312" s="11" t="s">
        <v>504</v>
      </c>
      <c r="G312" s="10" t="s">
        <v>505</v>
      </c>
      <c r="H312" s="10" t="s">
        <v>506</v>
      </c>
      <c r="I312" s="11" t="s">
        <v>174</v>
      </c>
      <c r="J312" s="11" t="s">
        <v>849</v>
      </c>
      <c r="K312" s="12" t="n">
        <f aca="false">ROUND((IF(E312="Transactional",5,IF(E312="Commercial",4,IF(E312="Comparison",3,IF(E312="Informational",2,3))))*LOG10(IF(ISNUMBER(L312),L312,IFERROR(VALUE(LEFT(F312,FIND("-",F312)-1)),100))+1))/IF(IF(ISBLANK(M312),G312,M312)="High",5,IF(IF(ISBLANK(M312),G312,M312)="Medium",3,1)),2)</f>
        <v>6.45</v>
      </c>
      <c r="L312" s="10"/>
      <c r="M312" s="10"/>
      <c r="N312" s="10"/>
      <c r="O312" s="10" t="s">
        <v>123</v>
      </c>
      <c r="P312" s="11" t="s">
        <v>508</v>
      </c>
    </row>
    <row r="313" customFormat="false" ht="25.5" hidden="false" customHeight="true" outlineLevel="0" collapsed="false">
      <c r="A313" s="10" t="n">
        <v>312</v>
      </c>
      <c r="B313" s="10" t="n">
        <v>2</v>
      </c>
      <c r="C313" s="10" t="s">
        <v>125</v>
      </c>
      <c r="D313" s="13" t="s">
        <v>850</v>
      </c>
      <c r="E313" s="10" t="s">
        <v>117</v>
      </c>
      <c r="F313" s="11" t="s">
        <v>504</v>
      </c>
      <c r="G313" s="10" t="s">
        <v>505</v>
      </c>
      <c r="H313" s="10" t="s">
        <v>506</v>
      </c>
      <c r="I313" s="11" t="s">
        <v>174</v>
      </c>
      <c r="J313" s="13" t="s">
        <v>851</v>
      </c>
      <c r="K313" s="12" t="n">
        <f aca="false">ROUND((IF(E313="Transactional",5,IF(E313="Commercial",4,IF(E313="Comparison",3,IF(E313="Informational",2,3))))*LOG10(IF(ISNUMBER(L313),L313,IFERROR(VALUE(LEFT(F313,FIND("-",F313)-1)),100))+1))/IF(IF(ISBLANK(M313),G313,M313)="High",5,IF(IF(ISBLANK(M313),G313,M313)="Medium",3,1)),2)</f>
        <v>6.45</v>
      </c>
      <c r="L313" s="10"/>
      <c r="M313" s="10"/>
      <c r="N313" s="10"/>
      <c r="O313" s="10" t="s">
        <v>123</v>
      </c>
      <c r="P313" s="11"/>
    </row>
    <row r="314" customFormat="false" ht="25.5" hidden="false" customHeight="true" outlineLevel="0" collapsed="false">
      <c r="A314" s="10" t="n">
        <v>313</v>
      </c>
      <c r="B314" s="10" t="n">
        <v>2</v>
      </c>
      <c r="C314" s="10" t="s">
        <v>115</v>
      </c>
      <c r="D314" s="11" t="s">
        <v>852</v>
      </c>
      <c r="E314" s="10" t="s">
        <v>117</v>
      </c>
      <c r="F314" s="11" t="s">
        <v>504</v>
      </c>
      <c r="G314" s="10" t="s">
        <v>505</v>
      </c>
      <c r="H314" s="10" t="s">
        <v>506</v>
      </c>
      <c r="I314" s="11" t="s">
        <v>174</v>
      </c>
      <c r="J314" s="11" t="s">
        <v>853</v>
      </c>
      <c r="K314" s="12" t="n">
        <f aca="false">ROUND((IF(E314="Transactional",5,IF(E314="Commercial",4,IF(E314="Comparison",3,IF(E314="Informational",2,3))))*LOG10(IF(ISNUMBER(L314),L314,IFERROR(VALUE(LEFT(F314,FIND("-",F314)-1)),100))+1))/IF(IF(ISBLANK(M314),G314,M314)="High",5,IF(IF(ISBLANK(M314),G314,M314)="Medium",3,1)),2)</f>
        <v>6.45</v>
      </c>
      <c r="L314" s="10"/>
      <c r="M314" s="10"/>
      <c r="N314" s="10"/>
      <c r="O314" s="10" t="s">
        <v>123</v>
      </c>
      <c r="P314" s="11" t="s">
        <v>508</v>
      </c>
    </row>
    <row r="315" customFormat="false" ht="25.5" hidden="false" customHeight="true" outlineLevel="0" collapsed="false">
      <c r="A315" s="10" t="n">
        <v>314</v>
      </c>
      <c r="B315" s="10" t="n">
        <v>2</v>
      </c>
      <c r="C315" s="10" t="s">
        <v>125</v>
      </c>
      <c r="D315" s="13" t="s">
        <v>854</v>
      </c>
      <c r="E315" s="10" t="s">
        <v>117</v>
      </c>
      <c r="F315" s="11" t="s">
        <v>504</v>
      </c>
      <c r="G315" s="10" t="s">
        <v>505</v>
      </c>
      <c r="H315" s="10" t="s">
        <v>506</v>
      </c>
      <c r="I315" s="11" t="s">
        <v>174</v>
      </c>
      <c r="J315" s="13" t="s">
        <v>855</v>
      </c>
      <c r="K315" s="12" t="n">
        <f aca="false">ROUND((IF(E315="Transactional",5,IF(E315="Commercial",4,IF(E315="Comparison",3,IF(E315="Informational",2,3))))*LOG10(IF(ISNUMBER(L315),L315,IFERROR(VALUE(LEFT(F315,FIND("-",F315)-1)),100))+1))/IF(IF(ISBLANK(M315),G315,M315)="High",5,IF(IF(ISBLANK(M315),G315,M315)="Medium",3,1)),2)</f>
        <v>6.45</v>
      </c>
      <c r="L315" s="10"/>
      <c r="M315" s="10"/>
      <c r="N315" s="10"/>
      <c r="O315" s="10" t="s">
        <v>123</v>
      </c>
      <c r="P315" s="11"/>
    </row>
    <row r="316" customFormat="false" ht="25.5" hidden="false" customHeight="true" outlineLevel="0" collapsed="false">
      <c r="A316" s="10" t="n">
        <v>315</v>
      </c>
      <c r="B316" s="10" t="n">
        <v>2</v>
      </c>
      <c r="C316" s="10" t="s">
        <v>115</v>
      </c>
      <c r="D316" s="11" t="s">
        <v>856</v>
      </c>
      <c r="E316" s="10" t="s">
        <v>117</v>
      </c>
      <c r="F316" s="11" t="s">
        <v>504</v>
      </c>
      <c r="G316" s="10" t="s">
        <v>505</v>
      </c>
      <c r="H316" s="10" t="s">
        <v>506</v>
      </c>
      <c r="I316" s="11" t="s">
        <v>174</v>
      </c>
      <c r="J316" s="11" t="s">
        <v>857</v>
      </c>
      <c r="K316" s="12" t="n">
        <f aca="false">ROUND((IF(E316="Transactional",5,IF(E316="Commercial",4,IF(E316="Comparison",3,IF(E316="Informational",2,3))))*LOG10(IF(ISNUMBER(L316),L316,IFERROR(VALUE(LEFT(F316,FIND("-",F316)-1)),100))+1))/IF(IF(ISBLANK(M316),G316,M316)="High",5,IF(IF(ISBLANK(M316),G316,M316)="Medium",3,1)),2)</f>
        <v>6.45</v>
      </c>
      <c r="L316" s="10"/>
      <c r="M316" s="10"/>
      <c r="N316" s="10"/>
      <c r="O316" s="10" t="s">
        <v>123</v>
      </c>
      <c r="P316" s="11" t="s">
        <v>508</v>
      </c>
    </row>
    <row r="317" customFormat="false" ht="25.5" hidden="false" customHeight="true" outlineLevel="0" collapsed="false">
      <c r="A317" s="10" t="n">
        <v>316</v>
      </c>
      <c r="B317" s="10" t="n">
        <v>2</v>
      </c>
      <c r="C317" s="10" t="s">
        <v>125</v>
      </c>
      <c r="D317" s="13" t="s">
        <v>858</v>
      </c>
      <c r="E317" s="10" t="s">
        <v>117</v>
      </c>
      <c r="F317" s="11" t="s">
        <v>504</v>
      </c>
      <c r="G317" s="10" t="s">
        <v>505</v>
      </c>
      <c r="H317" s="10" t="s">
        <v>506</v>
      </c>
      <c r="I317" s="11" t="s">
        <v>174</v>
      </c>
      <c r="J317" s="13" t="s">
        <v>859</v>
      </c>
      <c r="K317" s="12" t="n">
        <f aca="false">ROUND((IF(E317="Transactional",5,IF(E317="Commercial",4,IF(E317="Comparison",3,IF(E317="Informational",2,3))))*LOG10(IF(ISNUMBER(L317),L317,IFERROR(VALUE(LEFT(F317,FIND("-",F317)-1)),100))+1))/IF(IF(ISBLANK(M317),G317,M317)="High",5,IF(IF(ISBLANK(M317),G317,M317)="Medium",3,1)),2)</f>
        <v>6.45</v>
      </c>
      <c r="L317" s="10"/>
      <c r="M317" s="10"/>
      <c r="N317" s="10"/>
      <c r="O317" s="10" t="s">
        <v>123</v>
      </c>
      <c r="P317" s="11"/>
    </row>
    <row r="318" customFormat="false" ht="25.5" hidden="false" customHeight="true" outlineLevel="0" collapsed="false">
      <c r="A318" s="10" t="n">
        <v>317</v>
      </c>
      <c r="B318" s="10" t="n">
        <v>2</v>
      </c>
      <c r="C318" s="10" t="s">
        <v>115</v>
      </c>
      <c r="D318" s="11" t="s">
        <v>860</v>
      </c>
      <c r="E318" s="10" t="s">
        <v>117</v>
      </c>
      <c r="F318" s="11" t="s">
        <v>504</v>
      </c>
      <c r="G318" s="10" t="s">
        <v>505</v>
      </c>
      <c r="H318" s="10" t="s">
        <v>506</v>
      </c>
      <c r="I318" s="11" t="s">
        <v>185</v>
      </c>
      <c r="J318" s="11" t="s">
        <v>861</v>
      </c>
      <c r="K318" s="12" t="n">
        <f aca="false">ROUND((IF(E318="Transactional",5,IF(E318="Commercial",4,IF(E318="Comparison",3,IF(E318="Informational",2,3))))*LOG10(IF(ISNUMBER(L318),L318,IFERROR(VALUE(LEFT(F318,FIND("-",F318)-1)),100))+1))/IF(IF(ISBLANK(M318),G318,M318)="High",5,IF(IF(ISBLANK(M318),G318,M318)="Medium",3,1)),2)</f>
        <v>6.45</v>
      </c>
      <c r="L318" s="10"/>
      <c r="M318" s="10"/>
      <c r="N318" s="10"/>
      <c r="O318" s="10" t="s">
        <v>123</v>
      </c>
      <c r="P318" s="11" t="s">
        <v>508</v>
      </c>
    </row>
    <row r="319" customFormat="false" ht="25.5" hidden="false" customHeight="true" outlineLevel="0" collapsed="false">
      <c r="A319" s="10" t="n">
        <v>318</v>
      </c>
      <c r="B319" s="10" t="n">
        <v>2</v>
      </c>
      <c r="C319" s="10" t="s">
        <v>125</v>
      </c>
      <c r="D319" s="13" t="s">
        <v>862</v>
      </c>
      <c r="E319" s="10" t="s">
        <v>117</v>
      </c>
      <c r="F319" s="11" t="s">
        <v>504</v>
      </c>
      <c r="G319" s="10" t="s">
        <v>505</v>
      </c>
      <c r="H319" s="10" t="s">
        <v>506</v>
      </c>
      <c r="I319" s="11" t="s">
        <v>185</v>
      </c>
      <c r="J319" s="13" t="s">
        <v>863</v>
      </c>
      <c r="K319" s="12" t="n">
        <f aca="false">ROUND((IF(E319="Transactional",5,IF(E319="Commercial",4,IF(E319="Comparison",3,IF(E319="Informational",2,3))))*LOG10(IF(ISNUMBER(L319),L319,IFERROR(VALUE(LEFT(F319,FIND("-",F319)-1)),100))+1))/IF(IF(ISBLANK(M319),G319,M319)="High",5,IF(IF(ISBLANK(M319),G319,M319)="Medium",3,1)),2)</f>
        <v>6.45</v>
      </c>
      <c r="L319" s="10"/>
      <c r="M319" s="10"/>
      <c r="N319" s="10"/>
      <c r="O319" s="10" t="s">
        <v>123</v>
      </c>
      <c r="P319" s="11"/>
    </row>
    <row r="320" customFormat="false" ht="25.5" hidden="false" customHeight="true" outlineLevel="0" collapsed="false">
      <c r="A320" s="10" t="n">
        <v>319</v>
      </c>
      <c r="B320" s="10" t="n">
        <v>2</v>
      </c>
      <c r="C320" s="10" t="s">
        <v>115</v>
      </c>
      <c r="D320" s="11" t="s">
        <v>864</v>
      </c>
      <c r="E320" s="10" t="s">
        <v>117</v>
      </c>
      <c r="F320" s="11" t="s">
        <v>504</v>
      </c>
      <c r="G320" s="10" t="s">
        <v>505</v>
      </c>
      <c r="H320" s="10" t="s">
        <v>506</v>
      </c>
      <c r="I320" s="11" t="s">
        <v>185</v>
      </c>
      <c r="J320" s="11" t="s">
        <v>865</v>
      </c>
      <c r="K320" s="12" t="n">
        <f aca="false">ROUND((IF(E320="Transactional",5,IF(E320="Commercial",4,IF(E320="Comparison",3,IF(E320="Informational",2,3))))*LOG10(IF(ISNUMBER(L320),L320,IFERROR(VALUE(LEFT(F320,FIND("-",F320)-1)),100))+1))/IF(IF(ISBLANK(M320),G320,M320)="High",5,IF(IF(ISBLANK(M320),G320,M320)="Medium",3,1)),2)</f>
        <v>6.45</v>
      </c>
      <c r="L320" s="10"/>
      <c r="M320" s="10"/>
      <c r="N320" s="10"/>
      <c r="O320" s="10" t="s">
        <v>123</v>
      </c>
      <c r="P320" s="11" t="s">
        <v>508</v>
      </c>
    </row>
    <row r="321" customFormat="false" ht="25.5" hidden="false" customHeight="true" outlineLevel="0" collapsed="false">
      <c r="A321" s="10" t="n">
        <v>320</v>
      </c>
      <c r="B321" s="10" t="n">
        <v>2</v>
      </c>
      <c r="C321" s="10" t="s">
        <v>125</v>
      </c>
      <c r="D321" s="13" t="s">
        <v>866</v>
      </c>
      <c r="E321" s="10" t="s">
        <v>117</v>
      </c>
      <c r="F321" s="11" t="s">
        <v>504</v>
      </c>
      <c r="G321" s="10" t="s">
        <v>505</v>
      </c>
      <c r="H321" s="10" t="s">
        <v>506</v>
      </c>
      <c r="I321" s="11" t="s">
        <v>185</v>
      </c>
      <c r="J321" s="13" t="s">
        <v>867</v>
      </c>
      <c r="K321" s="12" t="n">
        <f aca="false">ROUND((IF(E321="Transactional",5,IF(E321="Commercial",4,IF(E321="Comparison",3,IF(E321="Informational",2,3))))*LOG10(IF(ISNUMBER(L321),L321,IFERROR(VALUE(LEFT(F321,FIND("-",F321)-1)),100))+1))/IF(IF(ISBLANK(M321),G321,M321)="High",5,IF(IF(ISBLANK(M321),G321,M321)="Medium",3,1)),2)</f>
        <v>6.45</v>
      </c>
      <c r="L321" s="10"/>
      <c r="M321" s="10"/>
      <c r="N321" s="10"/>
      <c r="O321" s="10" t="s">
        <v>123</v>
      </c>
      <c r="P321" s="11"/>
    </row>
    <row r="322" customFormat="false" ht="25.5" hidden="false" customHeight="true" outlineLevel="0" collapsed="false">
      <c r="A322" s="10" t="n">
        <v>321</v>
      </c>
      <c r="B322" s="10" t="n">
        <v>2</v>
      </c>
      <c r="C322" s="10" t="s">
        <v>115</v>
      </c>
      <c r="D322" s="11" t="s">
        <v>868</v>
      </c>
      <c r="E322" s="10" t="s">
        <v>117</v>
      </c>
      <c r="F322" s="11" t="s">
        <v>504</v>
      </c>
      <c r="G322" s="10" t="s">
        <v>505</v>
      </c>
      <c r="H322" s="10" t="s">
        <v>506</v>
      </c>
      <c r="I322" s="11" t="s">
        <v>185</v>
      </c>
      <c r="J322" s="11" t="s">
        <v>869</v>
      </c>
      <c r="K322" s="12" t="n">
        <f aca="false">ROUND((IF(E322="Transactional",5,IF(E322="Commercial",4,IF(E322="Comparison",3,IF(E322="Informational",2,3))))*LOG10(IF(ISNUMBER(L322),L322,IFERROR(VALUE(LEFT(F322,FIND("-",F322)-1)),100))+1))/IF(IF(ISBLANK(M322),G322,M322)="High",5,IF(IF(ISBLANK(M322),G322,M322)="Medium",3,1)),2)</f>
        <v>6.45</v>
      </c>
      <c r="L322" s="10"/>
      <c r="M322" s="10"/>
      <c r="N322" s="10"/>
      <c r="O322" s="10" t="s">
        <v>123</v>
      </c>
      <c r="P322" s="11" t="s">
        <v>508</v>
      </c>
    </row>
    <row r="323" customFormat="false" ht="25.5" hidden="false" customHeight="true" outlineLevel="0" collapsed="false">
      <c r="A323" s="10" t="n">
        <v>322</v>
      </c>
      <c r="B323" s="10" t="n">
        <v>2</v>
      </c>
      <c r="C323" s="10" t="s">
        <v>125</v>
      </c>
      <c r="D323" s="13" t="s">
        <v>870</v>
      </c>
      <c r="E323" s="10" t="s">
        <v>117</v>
      </c>
      <c r="F323" s="11" t="s">
        <v>504</v>
      </c>
      <c r="G323" s="10" t="s">
        <v>505</v>
      </c>
      <c r="H323" s="10" t="s">
        <v>506</v>
      </c>
      <c r="I323" s="11" t="s">
        <v>185</v>
      </c>
      <c r="J323" s="13" t="s">
        <v>871</v>
      </c>
      <c r="K323" s="12" t="n">
        <f aca="false">ROUND((IF(E323="Transactional",5,IF(E323="Commercial",4,IF(E323="Comparison",3,IF(E323="Informational",2,3))))*LOG10(IF(ISNUMBER(L323),L323,IFERROR(VALUE(LEFT(F323,FIND("-",F323)-1)),100))+1))/IF(IF(ISBLANK(M323),G323,M323)="High",5,IF(IF(ISBLANK(M323),G323,M323)="Medium",3,1)),2)</f>
        <v>6.45</v>
      </c>
      <c r="L323" s="10"/>
      <c r="M323" s="10"/>
      <c r="N323" s="10"/>
      <c r="O323" s="10" t="s">
        <v>123</v>
      </c>
      <c r="P323" s="11"/>
    </row>
    <row r="324" customFormat="false" ht="25.5" hidden="false" customHeight="true" outlineLevel="0" collapsed="false">
      <c r="A324" s="10" t="n">
        <v>323</v>
      </c>
      <c r="B324" s="10" t="n">
        <v>2</v>
      </c>
      <c r="C324" s="10" t="s">
        <v>115</v>
      </c>
      <c r="D324" s="11" t="s">
        <v>872</v>
      </c>
      <c r="E324" s="10" t="s">
        <v>117</v>
      </c>
      <c r="F324" s="11" t="s">
        <v>504</v>
      </c>
      <c r="G324" s="10" t="s">
        <v>505</v>
      </c>
      <c r="H324" s="10" t="s">
        <v>506</v>
      </c>
      <c r="I324" s="11" t="s">
        <v>185</v>
      </c>
      <c r="J324" s="11" t="s">
        <v>873</v>
      </c>
      <c r="K324" s="12" t="n">
        <f aca="false">ROUND((IF(E324="Transactional",5,IF(E324="Commercial",4,IF(E324="Comparison",3,IF(E324="Informational",2,3))))*LOG10(IF(ISNUMBER(L324),L324,IFERROR(VALUE(LEFT(F324,FIND("-",F324)-1)),100))+1))/IF(IF(ISBLANK(M324),G324,M324)="High",5,IF(IF(ISBLANK(M324),G324,M324)="Medium",3,1)),2)</f>
        <v>6.45</v>
      </c>
      <c r="L324" s="10"/>
      <c r="M324" s="10"/>
      <c r="N324" s="10"/>
      <c r="O324" s="10" t="s">
        <v>123</v>
      </c>
      <c r="P324" s="11" t="s">
        <v>508</v>
      </c>
    </row>
    <row r="325" customFormat="false" ht="25.5" hidden="false" customHeight="true" outlineLevel="0" collapsed="false">
      <c r="A325" s="10" t="n">
        <v>324</v>
      </c>
      <c r="B325" s="10" t="n">
        <v>2</v>
      </c>
      <c r="C325" s="10" t="s">
        <v>125</v>
      </c>
      <c r="D325" s="13" t="s">
        <v>874</v>
      </c>
      <c r="E325" s="10" t="s">
        <v>117</v>
      </c>
      <c r="F325" s="11" t="s">
        <v>504</v>
      </c>
      <c r="G325" s="10" t="s">
        <v>505</v>
      </c>
      <c r="H325" s="10" t="s">
        <v>506</v>
      </c>
      <c r="I325" s="11" t="s">
        <v>185</v>
      </c>
      <c r="J325" s="13" t="s">
        <v>875</v>
      </c>
      <c r="K325" s="12" t="n">
        <f aca="false">ROUND((IF(E325="Transactional",5,IF(E325="Commercial",4,IF(E325="Comparison",3,IF(E325="Informational",2,3))))*LOG10(IF(ISNUMBER(L325),L325,IFERROR(VALUE(LEFT(F325,FIND("-",F325)-1)),100))+1))/IF(IF(ISBLANK(M325),G325,M325)="High",5,IF(IF(ISBLANK(M325),G325,M325)="Medium",3,1)),2)</f>
        <v>6.45</v>
      </c>
      <c r="L325" s="10"/>
      <c r="M325" s="10"/>
      <c r="N325" s="10"/>
      <c r="O325" s="10" t="s">
        <v>123</v>
      </c>
      <c r="P325" s="11"/>
    </row>
    <row r="326" customFormat="false" ht="25.5" hidden="false" customHeight="true" outlineLevel="0" collapsed="false">
      <c r="A326" s="10" t="n">
        <v>325</v>
      </c>
      <c r="B326" s="10" t="n">
        <v>2</v>
      </c>
      <c r="C326" s="10" t="s">
        <v>115</v>
      </c>
      <c r="D326" s="11" t="s">
        <v>876</v>
      </c>
      <c r="E326" s="10" t="s">
        <v>117</v>
      </c>
      <c r="F326" s="11" t="s">
        <v>504</v>
      </c>
      <c r="G326" s="10" t="s">
        <v>505</v>
      </c>
      <c r="H326" s="10" t="s">
        <v>506</v>
      </c>
      <c r="I326" s="11" t="s">
        <v>185</v>
      </c>
      <c r="J326" s="11" t="s">
        <v>877</v>
      </c>
      <c r="K326" s="12" t="n">
        <f aca="false">ROUND((IF(E326="Transactional",5,IF(E326="Commercial",4,IF(E326="Comparison",3,IF(E326="Informational",2,3))))*LOG10(IF(ISNUMBER(L326),L326,IFERROR(VALUE(LEFT(F326,FIND("-",F326)-1)),100))+1))/IF(IF(ISBLANK(M326),G326,M326)="High",5,IF(IF(ISBLANK(M326),G326,M326)="Medium",3,1)),2)</f>
        <v>6.45</v>
      </c>
      <c r="L326" s="10"/>
      <c r="M326" s="10"/>
      <c r="N326" s="10"/>
      <c r="O326" s="10" t="s">
        <v>123</v>
      </c>
      <c r="P326" s="11" t="s">
        <v>508</v>
      </c>
    </row>
    <row r="327" customFormat="false" ht="25.5" hidden="false" customHeight="true" outlineLevel="0" collapsed="false">
      <c r="A327" s="10" t="n">
        <v>326</v>
      </c>
      <c r="B327" s="10" t="n">
        <v>2</v>
      </c>
      <c r="C327" s="10" t="s">
        <v>125</v>
      </c>
      <c r="D327" s="13" t="s">
        <v>878</v>
      </c>
      <c r="E327" s="10" t="s">
        <v>117</v>
      </c>
      <c r="F327" s="11" t="s">
        <v>504</v>
      </c>
      <c r="G327" s="10" t="s">
        <v>505</v>
      </c>
      <c r="H327" s="10" t="s">
        <v>506</v>
      </c>
      <c r="I327" s="11" t="s">
        <v>185</v>
      </c>
      <c r="J327" s="13" t="s">
        <v>879</v>
      </c>
      <c r="K327" s="12" t="n">
        <f aca="false">ROUND((IF(E327="Transactional",5,IF(E327="Commercial",4,IF(E327="Comparison",3,IF(E327="Informational",2,3))))*LOG10(IF(ISNUMBER(L327),L327,IFERROR(VALUE(LEFT(F327,FIND("-",F327)-1)),100))+1))/IF(IF(ISBLANK(M327),G327,M327)="High",5,IF(IF(ISBLANK(M327),G327,M327)="Medium",3,1)),2)</f>
        <v>6.45</v>
      </c>
      <c r="L327" s="10"/>
      <c r="M327" s="10"/>
      <c r="N327" s="10"/>
      <c r="O327" s="10" t="s">
        <v>123</v>
      </c>
      <c r="P327" s="11"/>
    </row>
    <row r="328" customFormat="false" ht="25.5" hidden="false" customHeight="true" outlineLevel="0" collapsed="false">
      <c r="A328" s="10" t="n">
        <v>327</v>
      </c>
      <c r="B328" s="10" t="n">
        <v>2</v>
      </c>
      <c r="C328" s="10" t="s">
        <v>115</v>
      </c>
      <c r="D328" s="11" t="s">
        <v>880</v>
      </c>
      <c r="E328" s="10" t="s">
        <v>117</v>
      </c>
      <c r="F328" s="11" t="s">
        <v>504</v>
      </c>
      <c r="G328" s="10" t="s">
        <v>505</v>
      </c>
      <c r="H328" s="10" t="s">
        <v>506</v>
      </c>
      <c r="I328" s="11" t="s">
        <v>185</v>
      </c>
      <c r="J328" s="11" t="s">
        <v>881</v>
      </c>
      <c r="K328" s="12" t="n">
        <f aca="false">ROUND((IF(E328="Transactional",5,IF(E328="Commercial",4,IF(E328="Comparison",3,IF(E328="Informational",2,3))))*LOG10(IF(ISNUMBER(L328),L328,IFERROR(VALUE(LEFT(F328,FIND("-",F328)-1)),100))+1))/IF(IF(ISBLANK(M328),G328,M328)="High",5,IF(IF(ISBLANK(M328),G328,M328)="Medium",3,1)),2)</f>
        <v>6.45</v>
      </c>
      <c r="L328" s="10"/>
      <c r="M328" s="10"/>
      <c r="N328" s="10"/>
      <c r="O328" s="10" t="s">
        <v>123</v>
      </c>
      <c r="P328" s="11" t="s">
        <v>508</v>
      </c>
    </row>
    <row r="329" customFormat="false" ht="25.5" hidden="false" customHeight="true" outlineLevel="0" collapsed="false">
      <c r="A329" s="10" t="n">
        <v>328</v>
      </c>
      <c r="B329" s="10" t="n">
        <v>2</v>
      </c>
      <c r="C329" s="10" t="s">
        <v>125</v>
      </c>
      <c r="D329" s="13" t="s">
        <v>882</v>
      </c>
      <c r="E329" s="10" t="s">
        <v>117</v>
      </c>
      <c r="F329" s="11" t="s">
        <v>504</v>
      </c>
      <c r="G329" s="10" t="s">
        <v>505</v>
      </c>
      <c r="H329" s="10" t="s">
        <v>506</v>
      </c>
      <c r="I329" s="11" t="s">
        <v>185</v>
      </c>
      <c r="J329" s="13" t="s">
        <v>883</v>
      </c>
      <c r="K329" s="12" t="n">
        <f aca="false">ROUND((IF(E329="Transactional",5,IF(E329="Commercial",4,IF(E329="Comparison",3,IF(E329="Informational",2,3))))*LOG10(IF(ISNUMBER(L329),L329,IFERROR(VALUE(LEFT(F329,FIND("-",F329)-1)),100))+1))/IF(IF(ISBLANK(M329),G329,M329)="High",5,IF(IF(ISBLANK(M329),G329,M329)="Medium",3,1)),2)</f>
        <v>6.45</v>
      </c>
      <c r="L329" s="10"/>
      <c r="M329" s="10"/>
      <c r="N329" s="10"/>
      <c r="O329" s="10" t="s">
        <v>123</v>
      </c>
      <c r="P329" s="11"/>
    </row>
    <row r="330" customFormat="false" ht="25.5" hidden="false" customHeight="true" outlineLevel="0" collapsed="false">
      <c r="A330" s="10" t="n">
        <v>329</v>
      </c>
      <c r="B330" s="10" t="n">
        <v>2</v>
      </c>
      <c r="C330" s="10" t="s">
        <v>115</v>
      </c>
      <c r="D330" s="11" t="s">
        <v>884</v>
      </c>
      <c r="E330" s="10" t="s">
        <v>117</v>
      </c>
      <c r="F330" s="11" t="s">
        <v>504</v>
      </c>
      <c r="G330" s="10" t="s">
        <v>505</v>
      </c>
      <c r="H330" s="10" t="s">
        <v>506</v>
      </c>
      <c r="I330" s="11" t="s">
        <v>185</v>
      </c>
      <c r="J330" s="11" t="s">
        <v>885</v>
      </c>
      <c r="K330" s="12" t="n">
        <f aca="false">ROUND((IF(E330="Transactional",5,IF(E330="Commercial",4,IF(E330="Comparison",3,IF(E330="Informational",2,3))))*LOG10(IF(ISNUMBER(L330),L330,IFERROR(VALUE(LEFT(F330,FIND("-",F330)-1)),100))+1))/IF(IF(ISBLANK(M330),G330,M330)="High",5,IF(IF(ISBLANK(M330),G330,M330)="Medium",3,1)),2)</f>
        <v>6.45</v>
      </c>
      <c r="L330" s="10"/>
      <c r="M330" s="10"/>
      <c r="N330" s="10"/>
      <c r="O330" s="10" t="s">
        <v>123</v>
      </c>
      <c r="P330" s="11" t="s">
        <v>508</v>
      </c>
    </row>
    <row r="331" customFormat="false" ht="25.5" hidden="false" customHeight="true" outlineLevel="0" collapsed="false">
      <c r="A331" s="10" t="n">
        <v>330</v>
      </c>
      <c r="B331" s="10" t="n">
        <v>2</v>
      </c>
      <c r="C331" s="10" t="s">
        <v>125</v>
      </c>
      <c r="D331" s="13" t="s">
        <v>886</v>
      </c>
      <c r="E331" s="10" t="s">
        <v>117</v>
      </c>
      <c r="F331" s="11" t="s">
        <v>504</v>
      </c>
      <c r="G331" s="10" t="s">
        <v>505</v>
      </c>
      <c r="H331" s="10" t="s">
        <v>506</v>
      </c>
      <c r="I331" s="11" t="s">
        <v>185</v>
      </c>
      <c r="J331" s="13" t="s">
        <v>887</v>
      </c>
      <c r="K331" s="12" t="n">
        <f aca="false">ROUND((IF(E331="Transactional",5,IF(E331="Commercial",4,IF(E331="Comparison",3,IF(E331="Informational",2,3))))*LOG10(IF(ISNUMBER(L331),L331,IFERROR(VALUE(LEFT(F331,FIND("-",F331)-1)),100))+1))/IF(IF(ISBLANK(M331),G331,M331)="High",5,IF(IF(ISBLANK(M331),G331,M331)="Medium",3,1)),2)</f>
        <v>6.45</v>
      </c>
      <c r="L331" s="10"/>
      <c r="M331" s="10"/>
      <c r="N331" s="10"/>
      <c r="O331" s="10" t="s">
        <v>123</v>
      </c>
      <c r="P331" s="11"/>
    </row>
    <row r="332" customFormat="false" ht="25.5" hidden="false" customHeight="true" outlineLevel="0" collapsed="false">
      <c r="A332" s="10" t="n">
        <v>331</v>
      </c>
      <c r="B332" s="10" t="n">
        <v>2</v>
      </c>
      <c r="C332" s="10" t="s">
        <v>115</v>
      </c>
      <c r="D332" s="11" t="s">
        <v>888</v>
      </c>
      <c r="E332" s="10" t="s">
        <v>117</v>
      </c>
      <c r="F332" s="11" t="s">
        <v>504</v>
      </c>
      <c r="G332" s="10" t="s">
        <v>505</v>
      </c>
      <c r="H332" s="10" t="s">
        <v>506</v>
      </c>
      <c r="I332" s="11" t="s">
        <v>185</v>
      </c>
      <c r="J332" s="11" t="s">
        <v>889</v>
      </c>
      <c r="K332" s="12" t="n">
        <f aca="false">ROUND((IF(E332="Transactional",5,IF(E332="Commercial",4,IF(E332="Comparison",3,IF(E332="Informational",2,3))))*LOG10(IF(ISNUMBER(L332),L332,IFERROR(VALUE(LEFT(F332,FIND("-",F332)-1)),100))+1))/IF(IF(ISBLANK(M332),G332,M332)="High",5,IF(IF(ISBLANK(M332),G332,M332)="Medium",3,1)),2)</f>
        <v>6.45</v>
      </c>
      <c r="L332" s="10"/>
      <c r="M332" s="10"/>
      <c r="N332" s="10"/>
      <c r="O332" s="10" t="s">
        <v>123</v>
      </c>
      <c r="P332" s="11" t="s">
        <v>508</v>
      </c>
    </row>
    <row r="333" customFormat="false" ht="25.5" hidden="false" customHeight="true" outlineLevel="0" collapsed="false">
      <c r="A333" s="10" t="n">
        <v>332</v>
      </c>
      <c r="B333" s="10" t="n">
        <v>2</v>
      </c>
      <c r="C333" s="10" t="s">
        <v>125</v>
      </c>
      <c r="D333" s="13" t="s">
        <v>890</v>
      </c>
      <c r="E333" s="10" t="s">
        <v>117</v>
      </c>
      <c r="F333" s="11" t="s">
        <v>504</v>
      </c>
      <c r="G333" s="10" t="s">
        <v>505</v>
      </c>
      <c r="H333" s="10" t="s">
        <v>506</v>
      </c>
      <c r="I333" s="11" t="s">
        <v>185</v>
      </c>
      <c r="J333" s="13" t="s">
        <v>891</v>
      </c>
      <c r="K333" s="12" t="n">
        <f aca="false">ROUND((IF(E333="Transactional",5,IF(E333="Commercial",4,IF(E333="Comparison",3,IF(E333="Informational",2,3))))*LOG10(IF(ISNUMBER(L333),L333,IFERROR(VALUE(LEFT(F333,FIND("-",F333)-1)),100))+1))/IF(IF(ISBLANK(M333),G333,M333)="High",5,IF(IF(ISBLANK(M333),G333,M333)="Medium",3,1)),2)</f>
        <v>6.45</v>
      </c>
      <c r="L333" s="10"/>
      <c r="M333" s="10"/>
      <c r="N333" s="10"/>
      <c r="O333" s="10" t="s">
        <v>123</v>
      </c>
      <c r="P333" s="11"/>
    </row>
    <row r="334" customFormat="false" ht="25.5" hidden="false" customHeight="true" outlineLevel="0" collapsed="false">
      <c r="A334" s="10" t="n">
        <v>333</v>
      </c>
      <c r="B334" s="10" t="n">
        <v>2</v>
      </c>
      <c r="C334" s="10" t="s">
        <v>115</v>
      </c>
      <c r="D334" s="11" t="s">
        <v>892</v>
      </c>
      <c r="E334" s="10" t="s">
        <v>117</v>
      </c>
      <c r="F334" s="11" t="s">
        <v>572</v>
      </c>
      <c r="G334" s="10" t="s">
        <v>505</v>
      </c>
      <c r="H334" s="10" t="s">
        <v>506</v>
      </c>
      <c r="I334" s="11" t="s">
        <v>185</v>
      </c>
      <c r="J334" s="11" t="s">
        <v>893</v>
      </c>
      <c r="K334" s="12" t="n">
        <f aca="false">ROUND((IF(E334="Transactional",5,IF(E334="Commercial",4,IF(E334="Comparison",3,IF(E334="Informational",2,3))))*LOG10(IF(ISNUMBER(L334),L334,IFERROR(VALUE(LEFT(F334,FIND("-",F334)-1)),100))+1))/IF(IF(ISBLANK(M334),G334,M334)="High",5,IF(IF(ISBLANK(M334),G334,M334)="Medium",3,1)),2)</f>
        <v>5.97</v>
      </c>
      <c r="L334" s="10"/>
      <c r="M334" s="10"/>
      <c r="N334" s="10"/>
      <c r="O334" s="10" t="s">
        <v>123</v>
      </c>
      <c r="P334" s="11" t="s">
        <v>508</v>
      </c>
    </row>
    <row r="335" customFormat="false" ht="25.5" hidden="false" customHeight="true" outlineLevel="0" collapsed="false">
      <c r="A335" s="10" t="n">
        <v>334</v>
      </c>
      <c r="B335" s="10" t="n">
        <v>2</v>
      </c>
      <c r="C335" s="10" t="s">
        <v>125</v>
      </c>
      <c r="D335" s="13" t="s">
        <v>894</v>
      </c>
      <c r="E335" s="10" t="s">
        <v>117</v>
      </c>
      <c r="F335" s="11" t="s">
        <v>572</v>
      </c>
      <c r="G335" s="10" t="s">
        <v>505</v>
      </c>
      <c r="H335" s="10" t="s">
        <v>506</v>
      </c>
      <c r="I335" s="11" t="s">
        <v>185</v>
      </c>
      <c r="J335" s="13" t="s">
        <v>895</v>
      </c>
      <c r="K335" s="12" t="n">
        <f aca="false">ROUND((IF(E335="Transactional",5,IF(E335="Commercial",4,IF(E335="Comparison",3,IF(E335="Informational",2,3))))*LOG10(IF(ISNUMBER(L335),L335,IFERROR(VALUE(LEFT(F335,FIND("-",F335)-1)),100))+1))/IF(IF(ISBLANK(M335),G335,M335)="High",5,IF(IF(ISBLANK(M335),G335,M335)="Medium",3,1)),2)</f>
        <v>5.97</v>
      </c>
      <c r="L335" s="10"/>
      <c r="M335" s="10"/>
      <c r="N335" s="10"/>
      <c r="O335" s="10" t="s">
        <v>123</v>
      </c>
      <c r="P335" s="11"/>
    </row>
    <row r="336" customFormat="false" ht="25.5" hidden="false" customHeight="true" outlineLevel="0" collapsed="false">
      <c r="A336" s="10" t="n">
        <v>335</v>
      </c>
      <c r="B336" s="10" t="n">
        <v>2</v>
      </c>
      <c r="C336" s="10" t="s">
        <v>115</v>
      </c>
      <c r="D336" s="11" t="s">
        <v>896</v>
      </c>
      <c r="E336" s="10" t="s">
        <v>117</v>
      </c>
      <c r="F336" s="11" t="s">
        <v>572</v>
      </c>
      <c r="G336" s="10" t="s">
        <v>505</v>
      </c>
      <c r="H336" s="10" t="s">
        <v>506</v>
      </c>
      <c r="I336" s="11" t="s">
        <v>185</v>
      </c>
      <c r="J336" s="11" t="s">
        <v>897</v>
      </c>
      <c r="K336" s="12" t="n">
        <f aca="false">ROUND((IF(E336="Transactional",5,IF(E336="Commercial",4,IF(E336="Comparison",3,IF(E336="Informational",2,3))))*LOG10(IF(ISNUMBER(L336),L336,IFERROR(VALUE(LEFT(F336,FIND("-",F336)-1)),100))+1))/IF(IF(ISBLANK(M336),G336,M336)="High",5,IF(IF(ISBLANK(M336),G336,M336)="Medium",3,1)),2)</f>
        <v>5.97</v>
      </c>
      <c r="L336" s="10"/>
      <c r="M336" s="10"/>
      <c r="N336" s="10"/>
      <c r="O336" s="10" t="s">
        <v>123</v>
      </c>
      <c r="P336" s="11" t="s">
        <v>508</v>
      </c>
    </row>
    <row r="337" customFormat="false" ht="25.5" hidden="false" customHeight="true" outlineLevel="0" collapsed="false">
      <c r="A337" s="10" t="n">
        <v>336</v>
      </c>
      <c r="B337" s="10" t="n">
        <v>2</v>
      </c>
      <c r="C337" s="10" t="s">
        <v>125</v>
      </c>
      <c r="D337" s="13" t="s">
        <v>898</v>
      </c>
      <c r="E337" s="10" t="s">
        <v>117</v>
      </c>
      <c r="F337" s="11" t="s">
        <v>572</v>
      </c>
      <c r="G337" s="10" t="s">
        <v>505</v>
      </c>
      <c r="H337" s="10" t="s">
        <v>506</v>
      </c>
      <c r="I337" s="11" t="s">
        <v>185</v>
      </c>
      <c r="J337" s="13" t="s">
        <v>899</v>
      </c>
      <c r="K337" s="12" t="n">
        <f aca="false">ROUND((IF(E337="Transactional",5,IF(E337="Commercial",4,IF(E337="Comparison",3,IF(E337="Informational",2,3))))*LOG10(IF(ISNUMBER(L337),L337,IFERROR(VALUE(LEFT(F337,FIND("-",F337)-1)),100))+1))/IF(IF(ISBLANK(M337),G337,M337)="High",5,IF(IF(ISBLANK(M337),G337,M337)="Medium",3,1)),2)</f>
        <v>5.97</v>
      </c>
      <c r="L337" s="10"/>
      <c r="M337" s="10"/>
      <c r="N337" s="10"/>
      <c r="O337" s="10" t="s">
        <v>123</v>
      </c>
      <c r="P337" s="11"/>
    </row>
    <row r="338" customFormat="false" ht="25.5" hidden="false" customHeight="true" outlineLevel="0" collapsed="false">
      <c r="A338" s="10" t="n">
        <v>337</v>
      </c>
      <c r="B338" s="10" t="n">
        <v>2</v>
      </c>
      <c r="C338" s="10" t="s">
        <v>115</v>
      </c>
      <c r="D338" s="11" t="s">
        <v>900</v>
      </c>
      <c r="E338" s="10" t="s">
        <v>117</v>
      </c>
      <c r="F338" s="11" t="s">
        <v>572</v>
      </c>
      <c r="G338" s="10" t="s">
        <v>505</v>
      </c>
      <c r="H338" s="10" t="s">
        <v>506</v>
      </c>
      <c r="I338" s="11" t="s">
        <v>185</v>
      </c>
      <c r="J338" s="11" t="s">
        <v>901</v>
      </c>
      <c r="K338" s="12" t="n">
        <f aca="false">ROUND((IF(E338="Transactional",5,IF(E338="Commercial",4,IF(E338="Comparison",3,IF(E338="Informational",2,3))))*LOG10(IF(ISNUMBER(L338),L338,IFERROR(VALUE(LEFT(F338,FIND("-",F338)-1)),100))+1))/IF(IF(ISBLANK(M338),G338,M338)="High",5,IF(IF(ISBLANK(M338),G338,M338)="Medium",3,1)),2)</f>
        <v>5.97</v>
      </c>
      <c r="L338" s="10"/>
      <c r="M338" s="10"/>
      <c r="N338" s="10"/>
      <c r="O338" s="10" t="s">
        <v>123</v>
      </c>
      <c r="P338" s="11" t="s">
        <v>508</v>
      </c>
    </row>
    <row r="339" customFormat="false" ht="25.5" hidden="false" customHeight="true" outlineLevel="0" collapsed="false">
      <c r="A339" s="10" t="n">
        <v>338</v>
      </c>
      <c r="B339" s="10" t="n">
        <v>2</v>
      </c>
      <c r="C339" s="10" t="s">
        <v>125</v>
      </c>
      <c r="D339" s="13" t="s">
        <v>902</v>
      </c>
      <c r="E339" s="10" t="s">
        <v>117</v>
      </c>
      <c r="F339" s="11" t="s">
        <v>572</v>
      </c>
      <c r="G339" s="10" t="s">
        <v>505</v>
      </c>
      <c r="H339" s="10" t="s">
        <v>506</v>
      </c>
      <c r="I339" s="11" t="s">
        <v>185</v>
      </c>
      <c r="J339" s="13" t="s">
        <v>903</v>
      </c>
      <c r="K339" s="12" t="n">
        <f aca="false">ROUND((IF(E339="Transactional",5,IF(E339="Commercial",4,IF(E339="Comparison",3,IF(E339="Informational",2,3))))*LOG10(IF(ISNUMBER(L339),L339,IFERROR(VALUE(LEFT(F339,FIND("-",F339)-1)),100))+1))/IF(IF(ISBLANK(M339),G339,M339)="High",5,IF(IF(ISBLANK(M339),G339,M339)="Medium",3,1)),2)</f>
        <v>5.97</v>
      </c>
      <c r="L339" s="10"/>
      <c r="M339" s="10"/>
      <c r="N339" s="10"/>
      <c r="O339" s="10" t="s">
        <v>123</v>
      </c>
      <c r="P339" s="11"/>
    </row>
    <row r="340" customFormat="false" ht="25.5" hidden="false" customHeight="true" outlineLevel="0" collapsed="false">
      <c r="A340" s="10" t="n">
        <v>339</v>
      </c>
      <c r="B340" s="10" t="n">
        <v>2</v>
      </c>
      <c r="C340" s="10" t="s">
        <v>115</v>
      </c>
      <c r="D340" s="11" t="s">
        <v>904</v>
      </c>
      <c r="E340" s="10" t="s">
        <v>117</v>
      </c>
      <c r="F340" s="11" t="s">
        <v>572</v>
      </c>
      <c r="G340" s="10" t="s">
        <v>505</v>
      </c>
      <c r="H340" s="10" t="s">
        <v>506</v>
      </c>
      <c r="I340" s="11" t="s">
        <v>185</v>
      </c>
      <c r="J340" s="11" t="s">
        <v>905</v>
      </c>
      <c r="K340" s="12" t="n">
        <f aca="false">ROUND((IF(E340="Transactional",5,IF(E340="Commercial",4,IF(E340="Comparison",3,IF(E340="Informational",2,3))))*LOG10(IF(ISNUMBER(L340),L340,IFERROR(VALUE(LEFT(F340,FIND("-",F340)-1)),100))+1))/IF(IF(ISBLANK(M340),G340,M340)="High",5,IF(IF(ISBLANK(M340),G340,M340)="Medium",3,1)),2)</f>
        <v>5.97</v>
      </c>
      <c r="L340" s="10"/>
      <c r="M340" s="10"/>
      <c r="N340" s="10"/>
      <c r="O340" s="10" t="s">
        <v>123</v>
      </c>
      <c r="P340" s="11" t="s">
        <v>508</v>
      </c>
    </row>
    <row r="341" customFormat="false" ht="25.5" hidden="false" customHeight="true" outlineLevel="0" collapsed="false">
      <c r="A341" s="10" t="n">
        <v>340</v>
      </c>
      <c r="B341" s="10" t="n">
        <v>2</v>
      </c>
      <c r="C341" s="10" t="s">
        <v>125</v>
      </c>
      <c r="D341" s="13" t="s">
        <v>906</v>
      </c>
      <c r="E341" s="10" t="s">
        <v>117</v>
      </c>
      <c r="F341" s="11" t="s">
        <v>572</v>
      </c>
      <c r="G341" s="10" t="s">
        <v>505</v>
      </c>
      <c r="H341" s="10" t="s">
        <v>506</v>
      </c>
      <c r="I341" s="11" t="s">
        <v>185</v>
      </c>
      <c r="J341" s="13" t="s">
        <v>907</v>
      </c>
      <c r="K341" s="12" t="n">
        <f aca="false">ROUND((IF(E341="Transactional",5,IF(E341="Commercial",4,IF(E341="Comparison",3,IF(E341="Informational",2,3))))*LOG10(IF(ISNUMBER(L341),L341,IFERROR(VALUE(LEFT(F341,FIND("-",F341)-1)),100))+1))/IF(IF(ISBLANK(M341),G341,M341)="High",5,IF(IF(ISBLANK(M341),G341,M341)="Medium",3,1)),2)</f>
        <v>5.97</v>
      </c>
      <c r="L341" s="10"/>
      <c r="M341" s="10"/>
      <c r="N341" s="10"/>
      <c r="O341" s="10" t="s">
        <v>123</v>
      </c>
      <c r="P341" s="11"/>
    </row>
    <row r="342" customFormat="false" ht="25.5" hidden="false" customHeight="true" outlineLevel="0" collapsed="false">
      <c r="A342" s="10" t="n">
        <v>341</v>
      </c>
      <c r="B342" s="10" t="n">
        <v>2</v>
      </c>
      <c r="C342" s="10" t="s">
        <v>115</v>
      </c>
      <c r="D342" s="11" t="s">
        <v>908</v>
      </c>
      <c r="E342" s="10" t="s">
        <v>117</v>
      </c>
      <c r="F342" s="11" t="s">
        <v>572</v>
      </c>
      <c r="G342" s="10" t="s">
        <v>505</v>
      </c>
      <c r="H342" s="10" t="s">
        <v>506</v>
      </c>
      <c r="I342" s="11" t="s">
        <v>185</v>
      </c>
      <c r="J342" s="11" t="s">
        <v>909</v>
      </c>
      <c r="K342" s="12" t="n">
        <f aca="false">ROUND((IF(E342="Transactional",5,IF(E342="Commercial",4,IF(E342="Comparison",3,IF(E342="Informational",2,3))))*LOG10(IF(ISNUMBER(L342),L342,IFERROR(VALUE(LEFT(F342,FIND("-",F342)-1)),100))+1))/IF(IF(ISBLANK(M342),G342,M342)="High",5,IF(IF(ISBLANK(M342),G342,M342)="Medium",3,1)),2)</f>
        <v>5.97</v>
      </c>
      <c r="L342" s="10"/>
      <c r="M342" s="10"/>
      <c r="N342" s="10"/>
      <c r="O342" s="10" t="s">
        <v>123</v>
      </c>
      <c r="P342" s="11" t="s">
        <v>508</v>
      </c>
    </row>
    <row r="343" customFormat="false" ht="25.5" hidden="false" customHeight="true" outlineLevel="0" collapsed="false">
      <c r="A343" s="10" t="n">
        <v>342</v>
      </c>
      <c r="B343" s="10" t="n">
        <v>2</v>
      </c>
      <c r="C343" s="10" t="s">
        <v>125</v>
      </c>
      <c r="D343" s="13" t="s">
        <v>910</v>
      </c>
      <c r="E343" s="10" t="s">
        <v>117</v>
      </c>
      <c r="F343" s="11" t="s">
        <v>572</v>
      </c>
      <c r="G343" s="10" t="s">
        <v>505</v>
      </c>
      <c r="H343" s="10" t="s">
        <v>506</v>
      </c>
      <c r="I343" s="11" t="s">
        <v>185</v>
      </c>
      <c r="J343" s="13" t="s">
        <v>911</v>
      </c>
      <c r="K343" s="12" t="n">
        <f aca="false">ROUND((IF(E343="Transactional",5,IF(E343="Commercial",4,IF(E343="Comparison",3,IF(E343="Informational",2,3))))*LOG10(IF(ISNUMBER(L343),L343,IFERROR(VALUE(LEFT(F343,FIND("-",F343)-1)),100))+1))/IF(IF(ISBLANK(M343),G343,M343)="High",5,IF(IF(ISBLANK(M343),G343,M343)="Medium",3,1)),2)</f>
        <v>5.97</v>
      </c>
      <c r="L343" s="10"/>
      <c r="M343" s="10"/>
      <c r="N343" s="10"/>
      <c r="O343" s="10" t="s">
        <v>123</v>
      </c>
      <c r="P343" s="11"/>
    </row>
    <row r="344" customFormat="false" ht="25.5" hidden="false" customHeight="true" outlineLevel="0" collapsed="false">
      <c r="A344" s="10" t="n">
        <v>343</v>
      </c>
      <c r="B344" s="10" t="n">
        <v>2</v>
      </c>
      <c r="C344" s="10" t="s">
        <v>115</v>
      </c>
      <c r="D344" s="11" t="s">
        <v>912</v>
      </c>
      <c r="E344" s="10" t="s">
        <v>117</v>
      </c>
      <c r="F344" s="11" t="s">
        <v>572</v>
      </c>
      <c r="G344" s="10" t="s">
        <v>505</v>
      </c>
      <c r="H344" s="10" t="s">
        <v>506</v>
      </c>
      <c r="I344" s="11" t="s">
        <v>185</v>
      </c>
      <c r="J344" s="11" t="s">
        <v>913</v>
      </c>
      <c r="K344" s="12" t="n">
        <f aca="false">ROUND((IF(E344="Transactional",5,IF(E344="Commercial",4,IF(E344="Comparison",3,IF(E344="Informational",2,3))))*LOG10(IF(ISNUMBER(L344),L344,IFERROR(VALUE(LEFT(F344,FIND("-",F344)-1)),100))+1))/IF(IF(ISBLANK(M344),G344,M344)="High",5,IF(IF(ISBLANK(M344),G344,M344)="Medium",3,1)),2)</f>
        <v>5.97</v>
      </c>
      <c r="L344" s="10"/>
      <c r="M344" s="10"/>
      <c r="N344" s="10"/>
      <c r="O344" s="10" t="s">
        <v>123</v>
      </c>
      <c r="P344" s="11" t="s">
        <v>508</v>
      </c>
    </row>
    <row r="345" customFormat="false" ht="25.5" hidden="false" customHeight="true" outlineLevel="0" collapsed="false">
      <c r="A345" s="10" t="n">
        <v>344</v>
      </c>
      <c r="B345" s="10" t="n">
        <v>2</v>
      </c>
      <c r="C345" s="10" t="s">
        <v>125</v>
      </c>
      <c r="D345" s="13" t="s">
        <v>914</v>
      </c>
      <c r="E345" s="10" t="s">
        <v>117</v>
      </c>
      <c r="F345" s="11" t="s">
        <v>572</v>
      </c>
      <c r="G345" s="10" t="s">
        <v>505</v>
      </c>
      <c r="H345" s="10" t="s">
        <v>506</v>
      </c>
      <c r="I345" s="11" t="s">
        <v>185</v>
      </c>
      <c r="J345" s="13" t="s">
        <v>915</v>
      </c>
      <c r="K345" s="12" t="n">
        <f aca="false">ROUND((IF(E345="Transactional",5,IF(E345="Commercial",4,IF(E345="Comparison",3,IF(E345="Informational",2,3))))*LOG10(IF(ISNUMBER(L345),L345,IFERROR(VALUE(LEFT(F345,FIND("-",F345)-1)),100))+1))/IF(IF(ISBLANK(M345),G345,M345)="High",5,IF(IF(ISBLANK(M345),G345,M345)="Medium",3,1)),2)</f>
        <v>5.97</v>
      </c>
      <c r="L345" s="10"/>
      <c r="M345" s="10"/>
      <c r="N345" s="10"/>
      <c r="O345" s="10" t="s">
        <v>123</v>
      </c>
      <c r="P345" s="11"/>
    </row>
    <row r="346" customFormat="false" ht="25.5" hidden="false" customHeight="true" outlineLevel="0" collapsed="false">
      <c r="A346" s="10" t="n">
        <v>345</v>
      </c>
      <c r="B346" s="10" t="n">
        <v>2</v>
      </c>
      <c r="C346" s="10" t="s">
        <v>115</v>
      </c>
      <c r="D346" s="11" t="s">
        <v>916</v>
      </c>
      <c r="E346" s="10" t="s">
        <v>117</v>
      </c>
      <c r="F346" s="11" t="s">
        <v>572</v>
      </c>
      <c r="G346" s="10" t="s">
        <v>505</v>
      </c>
      <c r="H346" s="10" t="s">
        <v>506</v>
      </c>
      <c r="I346" s="11" t="s">
        <v>185</v>
      </c>
      <c r="J346" s="11" t="s">
        <v>917</v>
      </c>
      <c r="K346" s="12" t="n">
        <f aca="false">ROUND((IF(E346="Transactional",5,IF(E346="Commercial",4,IF(E346="Comparison",3,IF(E346="Informational",2,3))))*LOG10(IF(ISNUMBER(L346),L346,IFERROR(VALUE(LEFT(F346,FIND("-",F346)-1)),100))+1))/IF(IF(ISBLANK(M346),G346,M346)="High",5,IF(IF(ISBLANK(M346),G346,M346)="Medium",3,1)),2)</f>
        <v>5.97</v>
      </c>
      <c r="L346" s="10"/>
      <c r="M346" s="10"/>
      <c r="N346" s="10"/>
      <c r="O346" s="10" t="s">
        <v>123</v>
      </c>
      <c r="P346" s="11" t="s">
        <v>508</v>
      </c>
    </row>
    <row r="347" customFormat="false" ht="25.5" hidden="false" customHeight="true" outlineLevel="0" collapsed="false">
      <c r="A347" s="10" t="n">
        <v>346</v>
      </c>
      <c r="B347" s="10" t="n">
        <v>2</v>
      </c>
      <c r="C347" s="10" t="s">
        <v>125</v>
      </c>
      <c r="D347" s="13" t="s">
        <v>918</v>
      </c>
      <c r="E347" s="10" t="s">
        <v>117</v>
      </c>
      <c r="F347" s="11" t="s">
        <v>572</v>
      </c>
      <c r="G347" s="10" t="s">
        <v>505</v>
      </c>
      <c r="H347" s="10" t="s">
        <v>506</v>
      </c>
      <c r="I347" s="11" t="s">
        <v>185</v>
      </c>
      <c r="J347" s="13" t="s">
        <v>919</v>
      </c>
      <c r="K347" s="12" t="n">
        <f aca="false">ROUND((IF(E347="Transactional",5,IF(E347="Commercial",4,IF(E347="Comparison",3,IF(E347="Informational",2,3))))*LOG10(IF(ISNUMBER(L347),L347,IFERROR(VALUE(LEFT(F347,FIND("-",F347)-1)),100))+1))/IF(IF(ISBLANK(M347),G347,M347)="High",5,IF(IF(ISBLANK(M347),G347,M347)="Medium",3,1)),2)</f>
        <v>5.97</v>
      </c>
      <c r="L347" s="10"/>
      <c r="M347" s="10"/>
      <c r="N347" s="10"/>
      <c r="O347" s="10" t="s">
        <v>123</v>
      </c>
      <c r="P347" s="11"/>
    </row>
    <row r="348" customFormat="false" ht="25.5" hidden="false" customHeight="true" outlineLevel="0" collapsed="false">
      <c r="A348" s="10" t="n">
        <v>347</v>
      </c>
      <c r="B348" s="10" t="n">
        <v>2</v>
      </c>
      <c r="C348" s="10" t="s">
        <v>115</v>
      </c>
      <c r="D348" s="11" t="s">
        <v>920</v>
      </c>
      <c r="E348" s="10" t="s">
        <v>117</v>
      </c>
      <c r="F348" s="11" t="s">
        <v>572</v>
      </c>
      <c r="G348" s="10" t="s">
        <v>505</v>
      </c>
      <c r="H348" s="10" t="s">
        <v>506</v>
      </c>
      <c r="I348" s="11" t="s">
        <v>185</v>
      </c>
      <c r="J348" s="11" t="s">
        <v>921</v>
      </c>
      <c r="K348" s="12" t="n">
        <f aca="false">ROUND((IF(E348="Transactional",5,IF(E348="Commercial",4,IF(E348="Comparison",3,IF(E348="Informational",2,3))))*LOG10(IF(ISNUMBER(L348),L348,IFERROR(VALUE(LEFT(F348,FIND("-",F348)-1)),100))+1))/IF(IF(ISBLANK(M348),G348,M348)="High",5,IF(IF(ISBLANK(M348),G348,M348)="Medium",3,1)),2)</f>
        <v>5.97</v>
      </c>
      <c r="L348" s="10"/>
      <c r="M348" s="10"/>
      <c r="N348" s="10"/>
      <c r="O348" s="10" t="s">
        <v>123</v>
      </c>
      <c r="P348" s="11" t="s">
        <v>508</v>
      </c>
    </row>
    <row r="349" customFormat="false" ht="25.5" hidden="false" customHeight="true" outlineLevel="0" collapsed="false">
      <c r="A349" s="10" t="n">
        <v>348</v>
      </c>
      <c r="B349" s="10" t="n">
        <v>2</v>
      </c>
      <c r="C349" s="10" t="s">
        <v>125</v>
      </c>
      <c r="D349" s="13" t="s">
        <v>922</v>
      </c>
      <c r="E349" s="10" t="s">
        <v>117</v>
      </c>
      <c r="F349" s="11" t="s">
        <v>572</v>
      </c>
      <c r="G349" s="10" t="s">
        <v>505</v>
      </c>
      <c r="H349" s="10" t="s">
        <v>506</v>
      </c>
      <c r="I349" s="11" t="s">
        <v>185</v>
      </c>
      <c r="J349" s="13" t="s">
        <v>923</v>
      </c>
      <c r="K349" s="12" t="n">
        <f aca="false">ROUND((IF(E349="Transactional",5,IF(E349="Commercial",4,IF(E349="Comparison",3,IF(E349="Informational",2,3))))*LOG10(IF(ISNUMBER(L349),L349,IFERROR(VALUE(LEFT(F349,FIND("-",F349)-1)),100))+1))/IF(IF(ISBLANK(M349),G349,M349)="High",5,IF(IF(ISBLANK(M349),G349,M349)="Medium",3,1)),2)</f>
        <v>5.97</v>
      </c>
      <c r="L349" s="10"/>
      <c r="M349" s="10"/>
      <c r="N349" s="10"/>
      <c r="O349" s="10" t="s">
        <v>123</v>
      </c>
      <c r="P349" s="11"/>
    </row>
    <row r="350" customFormat="false" ht="25.5" hidden="false" customHeight="true" outlineLevel="0" collapsed="false">
      <c r="A350" s="10" t="n">
        <v>349</v>
      </c>
      <c r="B350" s="10" t="n">
        <v>2</v>
      </c>
      <c r="C350" s="10" t="s">
        <v>115</v>
      </c>
      <c r="D350" s="11" t="s">
        <v>924</v>
      </c>
      <c r="E350" s="10" t="s">
        <v>117</v>
      </c>
      <c r="F350" s="11" t="s">
        <v>504</v>
      </c>
      <c r="G350" s="10" t="s">
        <v>505</v>
      </c>
      <c r="H350" s="10" t="s">
        <v>506</v>
      </c>
      <c r="I350" s="11" t="s">
        <v>185</v>
      </c>
      <c r="J350" s="11" t="s">
        <v>925</v>
      </c>
      <c r="K350" s="12" t="n">
        <f aca="false">ROUND((IF(E350="Transactional",5,IF(E350="Commercial",4,IF(E350="Comparison",3,IF(E350="Informational",2,3))))*LOG10(IF(ISNUMBER(L350),L350,IFERROR(VALUE(LEFT(F350,FIND("-",F350)-1)),100))+1))/IF(IF(ISBLANK(M350),G350,M350)="High",5,IF(IF(ISBLANK(M350),G350,M350)="Medium",3,1)),2)</f>
        <v>6.45</v>
      </c>
      <c r="L350" s="10"/>
      <c r="M350" s="10"/>
      <c r="N350" s="10"/>
      <c r="O350" s="10" t="s">
        <v>123</v>
      </c>
      <c r="P350" s="11" t="s">
        <v>508</v>
      </c>
    </row>
    <row r="351" customFormat="false" ht="25.5" hidden="false" customHeight="true" outlineLevel="0" collapsed="false">
      <c r="A351" s="10" t="n">
        <v>350</v>
      </c>
      <c r="B351" s="10" t="n">
        <v>2</v>
      </c>
      <c r="C351" s="10" t="s">
        <v>125</v>
      </c>
      <c r="D351" s="13" t="s">
        <v>926</v>
      </c>
      <c r="E351" s="10" t="s">
        <v>117</v>
      </c>
      <c r="F351" s="11" t="s">
        <v>504</v>
      </c>
      <c r="G351" s="10" t="s">
        <v>505</v>
      </c>
      <c r="H351" s="10" t="s">
        <v>506</v>
      </c>
      <c r="I351" s="11" t="s">
        <v>185</v>
      </c>
      <c r="J351" s="13" t="s">
        <v>927</v>
      </c>
      <c r="K351" s="12" t="n">
        <f aca="false">ROUND((IF(E351="Transactional",5,IF(E351="Commercial",4,IF(E351="Comparison",3,IF(E351="Informational",2,3))))*LOG10(IF(ISNUMBER(L351),L351,IFERROR(VALUE(LEFT(F351,FIND("-",F351)-1)),100))+1))/IF(IF(ISBLANK(M351),G351,M351)="High",5,IF(IF(ISBLANK(M351),G351,M351)="Medium",3,1)),2)</f>
        <v>6.45</v>
      </c>
      <c r="L351" s="10"/>
      <c r="M351" s="10"/>
      <c r="N351" s="10"/>
      <c r="O351" s="10" t="s">
        <v>123</v>
      </c>
      <c r="P351" s="11"/>
    </row>
    <row r="352" customFormat="false" ht="25.5" hidden="false" customHeight="true" outlineLevel="0" collapsed="false">
      <c r="A352" s="10" t="n">
        <v>351</v>
      </c>
      <c r="B352" s="10" t="n">
        <v>2</v>
      </c>
      <c r="C352" s="10" t="s">
        <v>115</v>
      </c>
      <c r="D352" s="11" t="s">
        <v>928</v>
      </c>
      <c r="E352" s="10" t="s">
        <v>117</v>
      </c>
      <c r="F352" s="11" t="s">
        <v>504</v>
      </c>
      <c r="G352" s="10" t="s">
        <v>505</v>
      </c>
      <c r="H352" s="10" t="s">
        <v>506</v>
      </c>
      <c r="I352" s="11" t="s">
        <v>185</v>
      </c>
      <c r="J352" s="11" t="s">
        <v>929</v>
      </c>
      <c r="K352" s="12" t="n">
        <f aca="false">ROUND((IF(E352="Transactional",5,IF(E352="Commercial",4,IF(E352="Comparison",3,IF(E352="Informational",2,3))))*LOG10(IF(ISNUMBER(L352),L352,IFERROR(VALUE(LEFT(F352,FIND("-",F352)-1)),100))+1))/IF(IF(ISBLANK(M352),G352,M352)="High",5,IF(IF(ISBLANK(M352),G352,M352)="Medium",3,1)),2)</f>
        <v>6.45</v>
      </c>
      <c r="L352" s="10"/>
      <c r="M352" s="10"/>
      <c r="N352" s="10"/>
      <c r="O352" s="10" t="s">
        <v>123</v>
      </c>
      <c r="P352" s="11" t="s">
        <v>508</v>
      </c>
    </row>
    <row r="353" customFormat="false" ht="25.5" hidden="false" customHeight="true" outlineLevel="0" collapsed="false">
      <c r="A353" s="10" t="n">
        <v>352</v>
      </c>
      <c r="B353" s="10" t="n">
        <v>2</v>
      </c>
      <c r="C353" s="10" t="s">
        <v>125</v>
      </c>
      <c r="D353" s="13" t="s">
        <v>930</v>
      </c>
      <c r="E353" s="10" t="s">
        <v>117</v>
      </c>
      <c r="F353" s="11" t="s">
        <v>504</v>
      </c>
      <c r="G353" s="10" t="s">
        <v>505</v>
      </c>
      <c r="H353" s="10" t="s">
        <v>506</v>
      </c>
      <c r="I353" s="11" t="s">
        <v>185</v>
      </c>
      <c r="J353" s="13" t="s">
        <v>931</v>
      </c>
      <c r="K353" s="12" t="n">
        <f aca="false">ROUND((IF(E353="Transactional",5,IF(E353="Commercial",4,IF(E353="Comparison",3,IF(E353="Informational",2,3))))*LOG10(IF(ISNUMBER(L353),L353,IFERROR(VALUE(LEFT(F353,FIND("-",F353)-1)),100))+1))/IF(IF(ISBLANK(M353),G353,M353)="High",5,IF(IF(ISBLANK(M353),G353,M353)="Medium",3,1)),2)</f>
        <v>6.45</v>
      </c>
      <c r="L353" s="10"/>
      <c r="M353" s="10"/>
      <c r="N353" s="10"/>
      <c r="O353" s="10" t="s">
        <v>123</v>
      </c>
      <c r="P353" s="11"/>
    </row>
    <row r="354" customFormat="false" ht="25.5" hidden="false" customHeight="true" outlineLevel="0" collapsed="false">
      <c r="A354" s="10" t="n">
        <v>353</v>
      </c>
      <c r="B354" s="10" t="n">
        <v>2</v>
      </c>
      <c r="C354" s="10" t="s">
        <v>115</v>
      </c>
      <c r="D354" s="11" t="s">
        <v>932</v>
      </c>
      <c r="E354" s="10" t="s">
        <v>117</v>
      </c>
      <c r="F354" s="11" t="s">
        <v>504</v>
      </c>
      <c r="G354" s="10" t="s">
        <v>505</v>
      </c>
      <c r="H354" s="10" t="s">
        <v>506</v>
      </c>
      <c r="I354" s="11" t="s">
        <v>185</v>
      </c>
      <c r="J354" s="11" t="s">
        <v>933</v>
      </c>
      <c r="K354" s="12" t="n">
        <f aca="false">ROUND((IF(E354="Transactional",5,IF(E354="Commercial",4,IF(E354="Comparison",3,IF(E354="Informational",2,3))))*LOG10(IF(ISNUMBER(L354),L354,IFERROR(VALUE(LEFT(F354,FIND("-",F354)-1)),100))+1))/IF(IF(ISBLANK(M354),G354,M354)="High",5,IF(IF(ISBLANK(M354),G354,M354)="Medium",3,1)),2)</f>
        <v>6.45</v>
      </c>
      <c r="L354" s="10"/>
      <c r="M354" s="10"/>
      <c r="N354" s="10"/>
      <c r="O354" s="10" t="s">
        <v>123</v>
      </c>
      <c r="P354" s="11" t="s">
        <v>508</v>
      </c>
    </row>
    <row r="355" customFormat="false" ht="25.5" hidden="false" customHeight="true" outlineLevel="0" collapsed="false">
      <c r="A355" s="10" t="n">
        <v>354</v>
      </c>
      <c r="B355" s="10" t="n">
        <v>2</v>
      </c>
      <c r="C355" s="10" t="s">
        <v>125</v>
      </c>
      <c r="D355" s="13" t="s">
        <v>934</v>
      </c>
      <c r="E355" s="10" t="s">
        <v>117</v>
      </c>
      <c r="F355" s="11" t="s">
        <v>504</v>
      </c>
      <c r="G355" s="10" t="s">
        <v>505</v>
      </c>
      <c r="H355" s="10" t="s">
        <v>506</v>
      </c>
      <c r="I355" s="11" t="s">
        <v>185</v>
      </c>
      <c r="J355" s="13" t="s">
        <v>935</v>
      </c>
      <c r="K355" s="12" t="n">
        <f aca="false">ROUND((IF(E355="Transactional",5,IF(E355="Commercial",4,IF(E355="Comparison",3,IF(E355="Informational",2,3))))*LOG10(IF(ISNUMBER(L355),L355,IFERROR(VALUE(LEFT(F355,FIND("-",F355)-1)),100))+1))/IF(IF(ISBLANK(M355),G355,M355)="High",5,IF(IF(ISBLANK(M355),G355,M355)="Medium",3,1)),2)</f>
        <v>6.45</v>
      </c>
      <c r="L355" s="10"/>
      <c r="M355" s="10"/>
      <c r="N355" s="10"/>
      <c r="O355" s="10" t="s">
        <v>123</v>
      </c>
      <c r="P355" s="11"/>
    </row>
    <row r="356" customFormat="false" ht="25.5" hidden="false" customHeight="true" outlineLevel="0" collapsed="false">
      <c r="A356" s="10" t="n">
        <v>355</v>
      </c>
      <c r="B356" s="10" t="n">
        <v>2</v>
      </c>
      <c r="C356" s="10" t="s">
        <v>115</v>
      </c>
      <c r="D356" s="11" t="s">
        <v>936</v>
      </c>
      <c r="E356" s="10" t="s">
        <v>117</v>
      </c>
      <c r="F356" s="11" t="s">
        <v>504</v>
      </c>
      <c r="G356" s="10" t="s">
        <v>505</v>
      </c>
      <c r="H356" s="10" t="s">
        <v>506</v>
      </c>
      <c r="I356" s="11" t="s">
        <v>185</v>
      </c>
      <c r="J356" s="11" t="s">
        <v>937</v>
      </c>
      <c r="K356" s="12" t="n">
        <f aca="false">ROUND((IF(E356="Transactional",5,IF(E356="Commercial",4,IF(E356="Comparison",3,IF(E356="Informational",2,3))))*LOG10(IF(ISNUMBER(L356),L356,IFERROR(VALUE(LEFT(F356,FIND("-",F356)-1)),100))+1))/IF(IF(ISBLANK(M356),G356,M356)="High",5,IF(IF(ISBLANK(M356),G356,M356)="Medium",3,1)),2)</f>
        <v>6.45</v>
      </c>
      <c r="L356" s="10"/>
      <c r="M356" s="10"/>
      <c r="N356" s="10"/>
      <c r="O356" s="10" t="s">
        <v>123</v>
      </c>
      <c r="P356" s="11" t="s">
        <v>508</v>
      </c>
    </row>
    <row r="357" customFormat="false" ht="25.5" hidden="false" customHeight="true" outlineLevel="0" collapsed="false">
      <c r="A357" s="10" t="n">
        <v>356</v>
      </c>
      <c r="B357" s="10" t="n">
        <v>2</v>
      </c>
      <c r="C357" s="10" t="s">
        <v>125</v>
      </c>
      <c r="D357" s="13" t="s">
        <v>938</v>
      </c>
      <c r="E357" s="10" t="s">
        <v>117</v>
      </c>
      <c r="F357" s="11" t="s">
        <v>504</v>
      </c>
      <c r="G357" s="10" t="s">
        <v>505</v>
      </c>
      <c r="H357" s="10" t="s">
        <v>506</v>
      </c>
      <c r="I357" s="11" t="s">
        <v>185</v>
      </c>
      <c r="J357" s="13" t="s">
        <v>939</v>
      </c>
      <c r="K357" s="12" t="n">
        <f aca="false">ROUND((IF(E357="Transactional",5,IF(E357="Commercial",4,IF(E357="Comparison",3,IF(E357="Informational",2,3))))*LOG10(IF(ISNUMBER(L357),L357,IFERROR(VALUE(LEFT(F357,FIND("-",F357)-1)),100))+1))/IF(IF(ISBLANK(M357),G357,M357)="High",5,IF(IF(ISBLANK(M357),G357,M357)="Medium",3,1)),2)</f>
        <v>6.45</v>
      </c>
      <c r="L357" s="10"/>
      <c r="M357" s="10"/>
      <c r="N357" s="10"/>
      <c r="O357" s="10" t="s">
        <v>123</v>
      </c>
      <c r="P357" s="11"/>
    </row>
    <row r="358" customFormat="false" ht="25.5" hidden="false" customHeight="true" outlineLevel="0" collapsed="false">
      <c r="A358" s="10" t="n">
        <v>357</v>
      </c>
      <c r="B358" s="10" t="n">
        <v>2</v>
      </c>
      <c r="C358" s="10" t="s">
        <v>115</v>
      </c>
      <c r="D358" s="11" t="s">
        <v>940</v>
      </c>
      <c r="E358" s="10" t="s">
        <v>117</v>
      </c>
      <c r="F358" s="11" t="s">
        <v>504</v>
      </c>
      <c r="G358" s="10" t="s">
        <v>505</v>
      </c>
      <c r="H358" s="10" t="s">
        <v>506</v>
      </c>
      <c r="I358" s="11" t="s">
        <v>185</v>
      </c>
      <c r="J358" s="11" t="s">
        <v>941</v>
      </c>
      <c r="K358" s="12" t="n">
        <f aca="false">ROUND((IF(E358="Transactional",5,IF(E358="Commercial",4,IF(E358="Comparison",3,IF(E358="Informational",2,3))))*LOG10(IF(ISNUMBER(L358),L358,IFERROR(VALUE(LEFT(F358,FIND("-",F358)-1)),100))+1))/IF(IF(ISBLANK(M358),G358,M358)="High",5,IF(IF(ISBLANK(M358),G358,M358)="Medium",3,1)),2)</f>
        <v>6.45</v>
      </c>
      <c r="L358" s="10"/>
      <c r="M358" s="10"/>
      <c r="N358" s="10"/>
      <c r="O358" s="10" t="s">
        <v>123</v>
      </c>
      <c r="P358" s="11" t="s">
        <v>508</v>
      </c>
    </row>
    <row r="359" customFormat="false" ht="25.5" hidden="false" customHeight="true" outlineLevel="0" collapsed="false">
      <c r="A359" s="10" t="n">
        <v>358</v>
      </c>
      <c r="B359" s="10" t="n">
        <v>2</v>
      </c>
      <c r="C359" s="10" t="s">
        <v>125</v>
      </c>
      <c r="D359" s="13" t="s">
        <v>942</v>
      </c>
      <c r="E359" s="10" t="s">
        <v>117</v>
      </c>
      <c r="F359" s="11" t="s">
        <v>504</v>
      </c>
      <c r="G359" s="10" t="s">
        <v>505</v>
      </c>
      <c r="H359" s="10" t="s">
        <v>506</v>
      </c>
      <c r="I359" s="11" t="s">
        <v>185</v>
      </c>
      <c r="J359" s="13" t="s">
        <v>943</v>
      </c>
      <c r="K359" s="12" t="n">
        <f aca="false">ROUND((IF(E359="Transactional",5,IF(E359="Commercial",4,IF(E359="Comparison",3,IF(E359="Informational",2,3))))*LOG10(IF(ISNUMBER(L359),L359,IFERROR(VALUE(LEFT(F359,FIND("-",F359)-1)),100))+1))/IF(IF(ISBLANK(M359),G359,M359)="High",5,IF(IF(ISBLANK(M359),G359,M359)="Medium",3,1)),2)</f>
        <v>6.45</v>
      </c>
      <c r="L359" s="10"/>
      <c r="M359" s="10"/>
      <c r="N359" s="10"/>
      <c r="O359" s="10" t="s">
        <v>123</v>
      </c>
      <c r="P359" s="11"/>
    </row>
    <row r="360" customFormat="false" ht="25.5" hidden="false" customHeight="true" outlineLevel="0" collapsed="false">
      <c r="A360" s="10" t="n">
        <v>359</v>
      </c>
      <c r="B360" s="10" t="n">
        <v>2</v>
      </c>
      <c r="C360" s="10" t="s">
        <v>115</v>
      </c>
      <c r="D360" s="11" t="s">
        <v>944</v>
      </c>
      <c r="E360" s="10" t="s">
        <v>117</v>
      </c>
      <c r="F360" s="11" t="s">
        <v>504</v>
      </c>
      <c r="G360" s="10" t="s">
        <v>505</v>
      </c>
      <c r="H360" s="10" t="s">
        <v>506</v>
      </c>
      <c r="I360" s="11" t="s">
        <v>185</v>
      </c>
      <c r="J360" s="11" t="s">
        <v>945</v>
      </c>
      <c r="K360" s="12" t="n">
        <f aca="false">ROUND((IF(E360="Transactional",5,IF(E360="Commercial",4,IF(E360="Comparison",3,IF(E360="Informational",2,3))))*LOG10(IF(ISNUMBER(L360),L360,IFERROR(VALUE(LEFT(F360,FIND("-",F360)-1)),100))+1))/IF(IF(ISBLANK(M360),G360,M360)="High",5,IF(IF(ISBLANK(M360),G360,M360)="Medium",3,1)),2)</f>
        <v>6.45</v>
      </c>
      <c r="L360" s="10"/>
      <c r="M360" s="10"/>
      <c r="N360" s="10"/>
      <c r="O360" s="10" t="s">
        <v>123</v>
      </c>
      <c r="P360" s="11" t="s">
        <v>508</v>
      </c>
    </row>
    <row r="361" customFormat="false" ht="25.5" hidden="false" customHeight="true" outlineLevel="0" collapsed="false">
      <c r="A361" s="10" t="n">
        <v>360</v>
      </c>
      <c r="B361" s="10" t="n">
        <v>2</v>
      </c>
      <c r="C361" s="10" t="s">
        <v>125</v>
      </c>
      <c r="D361" s="13" t="s">
        <v>946</v>
      </c>
      <c r="E361" s="10" t="s">
        <v>117</v>
      </c>
      <c r="F361" s="11" t="s">
        <v>504</v>
      </c>
      <c r="G361" s="10" t="s">
        <v>505</v>
      </c>
      <c r="H361" s="10" t="s">
        <v>506</v>
      </c>
      <c r="I361" s="11" t="s">
        <v>185</v>
      </c>
      <c r="J361" s="13" t="s">
        <v>947</v>
      </c>
      <c r="K361" s="12" t="n">
        <f aca="false">ROUND((IF(E361="Transactional",5,IF(E361="Commercial",4,IF(E361="Comparison",3,IF(E361="Informational",2,3))))*LOG10(IF(ISNUMBER(L361),L361,IFERROR(VALUE(LEFT(F361,FIND("-",F361)-1)),100))+1))/IF(IF(ISBLANK(M361),G361,M361)="High",5,IF(IF(ISBLANK(M361),G361,M361)="Medium",3,1)),2)</f>
        <v>6.45</v>
      </c>
      <c r="L361" s="10"/>
      <c r="M361" s="10"/>
      <c r="N361" s="10"/>
      <c r="O361" s="10" t="s">
        <v>123</v>
      </c>
      <c r="P361" s="11"/>
    </row>
    <row r="362" customFormat="false" ht="25.5" hidden="false" customHeight="true" outlineLevel="0" collapsed="false">
      <c r="A362" s="10" t="n">
        <v>361</v>
      </c>
      <c r="B362" s="10" t="n">
        <v>2</v>
      </c>
      <c r="C362" s="10" t="s">
        <v>115</v>
      </c>
      <c r="D362" s="11" t="s">
        <v>948</v>
      </c>
      <c r="E362" s="10" t="s">
        <v>117</v>
      </c>
      <c r="F362" s="11" t="s">
        <v>504</v>
      </c>
      <c r="G362" s="10" t="s">
        <v>505</v>
      </c>
      <c r="H362" s="10" t="s">
        <v>506</v>
      </c>
      <c r="I362" s="11" t="s">
        <v>185</v>
      </c>
      <c r="J362" s="11" t="s">
        <v>949</v>
      </c>
      <c r="K362" s="12" t="n">
        <f aca="false">ROUND((IF(E362="Transactional",5,IF(E362="Commercial",4,IF(E362="Comparison",3,IF(E362="Informational",2,3))))*LOG10(IF(ISNUMBER(L362),L362,IFERROR(VALUE(LEFT(F362,FIND("-",F362)-1)),100))+1))/IF(IF(ISBLANK(M362),G362,M362)="High",5,IF(IF(ISBLANK(M362),G362,M362)="Medium",3,1)),2)</f>
        <v>6.45</v>
      </c>
      <c r="L362" s="10"/>
      <c r="M362" s="10"/>
      <c r="N362" s="10"/>
      <c r="O362" s="10" t="s">
        <v>123</v>
      </c>
      <c r="P362" s="11" t="s">
        <v>508</v>
      </c>
    </row>
    <row r="363" customFormat="false" ht="25.5" hidden="false" customHeight="true" outlineLevel="0" collapsed="false">
      <c r="A363" s="10" t="n">
        <v>362</v>
      </c>
      <c r="B363" s="10" t="n">
        <v>2</v>
      </c>
      <c r="C363" s="10" t="s">
        <v>125</v>
      </c>
      <c r="D363" s="13" t="s">
        <v>950</v>
      </c>
      <c r="E363" s="10" t="s">
        <v>117</v>
      </c>
      <c r="F363" s="11" t="s">
        <v>504</v>
      </c>
      <c r="G363" s="10" t="s">
        <v>505</v>
      </c>
      <c r="H363" s="10" t="s">
        <v>506</v>
      </c>
      <c r="I363" s="11" t="s">
        <v>185</v>
      </c>
      <c r="J363" s="13" t="s">
        <v>951</v>
      </c>
      <c r="K363" s="12" t="n">
        <f aca="false">ROUND((IF(E363="Transactional",5,IF(E363="Commercial",4,IF(E363="Comparison",3,IF(E363="Informational",2,3))))*LOG10(IF(ISNUMBER(L363),L363,IFERROR(VALUE(LEFT(F363,FIND("-",F363)-1)),100))+1))/IF(IF(ISBLANK(M363),G363,M363)="High",5,IF(IF(ISBLANK(M363),G363,M363)="Medium",3,1)),2)</f>
        <v>6.45</v>
      </c>
      <c r="L363" s="10"/>
      <c r="M363" s="10"/>
      <c r="N363" s="10"/>
      <c r="O363" s="10" t="s">
        <v>123</v>
      </c>
      <c r="P363" s="11"/>
    </row>
    <row r="364" customFormat="false" ht="25.5" hidden="false" customHeight="true" outlineLevel="0" collapsed="false">
      <c r="A364" s="10" t="n">
        <v>363</v>
      </c>
      <c r="B364" s="10" t="n">
        <v>2</v>
      </c>
      <c r="C364" s="10" t="s">
        <v>115</v>
      </c>
      <c r="D364" s="11" t="s">
        <v>952</v>
      </c>
      <c r="E364" s="10" t="s">
        <v>117</v>
      </c>
      <c r="F364" s="11" t="s">
        <v>504</v>
      </c>
      <c r="G364" s="10" t="s">
        <v>505</v>
      </c>
      <c r="H364" s="10" t="s">
        <v>506</v>
      </c>
      <c r="I364" s="11" t="s">
        <v>185</v>
      </c>
      <c r="J364" s="11" t="s">
        <v>953</v>
      </c>
      <c r="K364" s="12" t="n">
        <f aca="false">ROUND((IF(E364="Transactional",5,IF(E364="Commercial",4,IF(E364="Comparison",3,IF(E364="Informational",2,3))))*LOG10(IF(ISNUMBER(L364),L364,IFERROR(VALUE(LEFT(F364,FIND("-",F364)-1)),100))+1))/IF(IF(ISBLANK(M364),G364,M364)="High",5,IF(IF(ISBLANK(M364),G364,M364)="Medium",3,1)),2)</f>
        <v>6.45</v>
      </c>
      <c r="L364" s="10"/>
      <c r="M364" s="10"/>
      <c r="N364" s="10"/>
      <c r="O364" s="10" t="s">
        <v>123</v>
      </c>
      <c r="P364" s="11" t="s">
        <v>508</v>
      </c>
    </row>
    <row r="365" customFormat="false" ht="25.5" hidden="false" customHeight="true" outlineLevel="0" collapsed="false">
      <c r="A365" s="10" t="n">
        <v>364</v>
      </c>
      <c r="B365" s="10" t="n">
        <v>2</v>
      </c>
      <c r="C365" s="10" t="s">
        <v>125</v>
      </c>
      <c r="D365" s="13" t="s">
        <v>954</v>
      </c>
      <c r="E365" s="10" t="s">
        <v>117</v>
      </c>
      <c r="F365" s="11" t="s">
        <v>504</v>
      </c>
      <c r="G365" s="10" t="s">
        <v>505</v>
      </c>
      <c r="H365" s="10" t="s">
        <v>506</v>
      </c>
      <c r="I365" s="11" t="s">
        <v>185</v>
      </c>
      <c r="J365" s="13" t="s">
        <v>955</v>
      </c>
      <c r="K365" s="12" t="n">
        <f aca="false">ROUND((IF(E365="Transactional",5,IF(E365="Commercial",4,IF(E365="Comparison",3,IF(E365="Informational",2,3))))*LOG10(IF(ISNUMBER(L365),L365,IFERROR(VALUE(LEFT(F365,FIND("-",F365)-1)),100))+1))/IF(IF(ISBLANK(M365),G365,M365)="High",5,IF(IF(ISBLANK(M365),G365,M365)="Medium",3,1)),2)</f>
        <v>6.45</v>
      </c>
      <c r="L365" s="10"/>
      <c r="M365" s="10"/>
      <c r="N365" s="10"/>
      <c r="O365" s="10" t="s">
        <v>123</v>
      </c>
      <c r="P365" s="11"/>
    </row>
    <row r="366" customFormat="false" ht="25.5" hidden="false" customHeight="true" outlineLevel="0" collapsed="false">
      <c r="A366" s="10" t="n">
        <v>365</v>
      </c>
      <c r="B366" s="10" t="n">
        <v>2</v>
      </c>
      <c r="C366" s="10" t="s">
        <v>115</v>
      </c>
      <c r="D366" s="11" t="s">
        <v>956</v>
      </c>
      <c r="E366" s="10" t="s">
        <v>117</v>
      </c>
      <c r="F366" s="11" t="s">
        <v>504</v>
      </c>
      <c r="G366" s="10" t="s">
        <v>505</v>
      </c>
      <c r="H366" s="10" t="s">
        <v>506</v>
      </c>
      <c r="I366" s="11" t="s">
        <v>185</v>
      </c>
      <c r="J366" s="11" t="s">
        <v>957</v>
      </c>
      <c r="K366" s="12" t="n">
        <f aca="false">ROUND((IF(E366="Transactional",5,IF(E366="Commercial",4,IF(E366="Comparison",3,IF(E366="Informational",2,3))))*LOG10(IF(ISNUMBER(L366),L366,IFERROR(VALUE(LEFT(F366,FIND("-",F366)-1)),100))+1))/IF(IF(ISBLANK(M366),G366,M366)="High",5,IF(IF(ISBLANK(M366),G366,M366)="Medium",3,1)),2)</f>
        <v>6.45</v>
      </c>
      <c r="L366" s="10"/>
      <c r="M366" s="10"/>
      <c r="N366" s="10"/>
      <c r="O366" s="10" t="s">
        <v>123</v>
      </c>
      <c r="P366" s="11" t="s">
        <v>508</v>
      </c>
    </row>
    <row r="367" customFormat="false" ht="25.5" hidden="false" customHeight="true" outlineLevel="0" collapsed="false">
      <c r="A367" s="10" t="n">
        <v>366</v>
      </c>
      <c r="B367" s="10" t="n">
        <v>2</v>
      </c>
      <c r="C367" s="10" t="s">
        <v>125</v>
      </c>
      <c r="D367" s="13" t="s">
        <v>958</v>
      </c>
      <c r="E367" s="10" t="s">
        <v>117</v>
      </c>
      <c r="F367" s="11" t="s">
        <v>504</v>
      </c>
      <c r="G367" s="10" t="s">
        <v>505</v>
      </c>
      <c r="H367" s="10" t="s">
        <v>506</v>
      </c>
      <c r="I367" s="11" t="s">
        <v>185</v>
      </c>
      <c r="J367" s="13" t="s">
        <v>959</v>
      </c>
      <c r="K367" s="12" t="n">
        <f aca="false">ROUND((IF(E367="Transactional",5,IF(E367="Commercial",4,IF(E367="Comparison",3,IF(E367="Informational",2,3))))*LOG10(IF(ISNUMBER(L367),L367,IFERROR(VALUE(LEFT(F367,FIND("-",F367)-1)),100))+1))/IF(IF(ISBLANK(M367),G367,M367)="High",5,IF(IF(ISBLANK(M367),G367,M367)="Medium",3,1)),2)</f>
        <v>6.45</v>
      </c>
      <c r="L367" s="10"/>
      <c r="M367" s="10"/>
      <c r="N367" s="10"/>
      <c r="O367" s="10" t="s">
        <v>123</v>
      </c>
      <c r="P367" s="11"/>
    </row>
    <row r="368" customFormat="false" ht="25.5" hidden="false" customHeight="true" outlineLevel="0" collapsed="false">
      <c r="A368" s="10" t="n">
        <v>367</v>
      </c>
      <c r="B368" s="10" t="n">
        <v>2</v>
      </c>
      <c r="C368" s="10" t="s">
        <v>115</v>
      </c>
      <c r="D368" s="11" t="s">
        <v>960</v>
      </c>
      <c r="E368" s="10" t="s">
        <v>117</v>
      </c>
      <c r="F368" s="11" t="s">
        <v>504</v>
      </c>
      <c r="G368" s="10" t="s">
        <v>505</v>
      </c>
      <c r="H368" s="10" t="s">
        <v>506</v>
      </c>
      <c r="I368" s="11" t="s">
        <v>185</v>
      </c>
      <c r="J368" s="11" t="s">
        <v>961</v>
      </c>
      <c r="K368" s="12" t="n">
        <f aca="false">ROUND((IF(E368="Transactional",5,IF(E368="Commercial",4,IF(E368="Comparison",3,IF(E368="Informational",2,3))))*LOG10(IF(ISNUMBER(L368),L368,IFERROR(VALUE(LEFT(F368,FIND("-",F368)-1)),100))+1))/IF(IF(ISBLANK(M368),G368,M368)="High",5,IF(IF(ISBLANK(M368),G368,M368)="Medium",3,1)),2)</f>
        <v>6.45</v>
      </c>
      <c r="L368" s="10"/>
      <c r="M368" s="10"/>
      <c r="N368" s="10"/>
      <c r="O368" s="10" t="s">
        <v>123</v>
      </c>
      <c r="P368" s="11" t="s">
        <v>508</v>
      </c>
    </row>
    <row r="369" customFormat="false" ht="25.5" hidden="false" customHeight="true" outlineLevel="0" collapsed="false">
      <c r="A369" s="10" t="n">
        <v>368</v>
      </c>
      <c r="B369" s="10" t="n">
        <v>2</v>
      </c>
      <c r="C369" s="10" t="s">
        <v>125</v>
      </c>
      <c r="D369" s="13" t="s">
        <v>962</v>
      </c>
      <c r="E369" s="10" t="s">
        <v>117</v>
      </c>
      <c r="F369" s="11" t="s">
        <v>504</v>
      </c>
      <c r="G369" s="10" t="s">
        <v>505</v>
      </c>
      <c r="H369" s="10" t="s">
        <v>506</v>
      </c>
      <c r="I369" s="11" t="s">
        <v>185</v>
      </c>
      <c r="J369" s="13" t="s">
        <v>963</v>
      </c>
      <c r="K369" s="12" t="n">
        <f aca="false">ROUND((IF(E369="Transactional",5,IF(E369="Commercial",4,IF(E369="Comparison",3,IF(E369="Informational",2,3))))*LOG10(IF(ISNUMBER(L369),L369,IFERROR(VALUE(LEFT(F369,FIND("-",F369)-1)),100))+1))/IF(IF(ISBLANK(M369),G369,M369)="High",5,IF(IF(ISBLANK(M369),G369,M369)="Medium",3,1)),2)</f>
        <v>6.45</v>
      </c>
      <c r="L369" s="10"/>
      <c r="M369" s="10"/>
      <c r="N369" s="10"/>
      <c r="O369" s="10" t="s">
        <v>123</v>
      </c>
      <c r="P369" s="11"/>
    </row>
    <row r="370" customFormat="false" ht="25.5" hidden="false" customHeight="true" outlineLevel="0" collapsed="false">
      <c r="A370" s="10" t="n">
        <v>369</v>
      </c>
      <c r="B370" s="10" t="n">
        <v>2</v>
      </c>
      <c r="C370" s="10" t="s">
        <v>115</v>
      </c>
      <c r="D370" s="11" t="s">
        <v>964</v>
      </c>
      <c r="E370" s="10" t="s">
        <v>117</v>
      </c>
      <c r="F370" s="11" t="s">
        <v>504</v>
      </c>
      <c r="G370" s="10" t="s">
        <v>505</v>
      </c>
      <c r="H370" s="10" t="s">
        <v>506</v>
      </c>
      <c r="I370" s="11" t="s">
        <v>185</v>
      </c>
      <c r="J370" s="11" t="s">
        <v>965</v>
      </c>
      <c r="K370" s="12" t="n">
        <f aca="false">ROUND((IF(E370="Transactional",5,IF(E370="Commercial",4,IF(E370="Comparison",3,IF(E370="Informational",2,3))))*LOG10(IF(ISNUMBER(L370),L370,IFERROR(VALUE(LEFT(F370,FIND("-",F370)-1)),100))+1))/IF(IF(ISBLANK(M370),G370,M370)="High",5,IF(IF(ISBLANK(M370),G370,M370)="Medium",3,1)),2)</f>
        <v>6.45</v>
      </c>
      <c r="L370" s="10"/>
      <c r="M370" s="10"/>
      <c r="N370" s="10"/>
      <c r="O370" s="10" t="s">
        <v>123</v>
      </c>
      <c r="P370" s="11" t="s">
        <v>508</v>
      </c>
    </row>
    <row r="371" customFormat="false" ht="25.5" hidden="false" customHeight="true" outlineLevel="0" collapsed="false">
      <c r="A371" s="10" t="n">
        <v>370</v>
      </c>
      <c r="B371" s="10" t="n">
        <v>2</v>
      </c>
      <c r="C371" s="10" t="s">
        <v>125</v>
      </c>
      <c r="D371" s="13" t="s">
        <v>966</v>
      </c>
      <c r="E371" s="10" t="s">
        <v>117</v>
      </c>
      <c r="F371" s="11" t="s">
        <v>504</v>
      </c>
      <c r="G371" s="10" t="s">
        <v>505</v>
      </c>
      <c r="H371" s="10" t="s">
        <v>506</v>
      </c>
      <c r="I371" s="11" t="s">
        <v>185</v>
      </c>
      <c r="J371" s="13" t="s">
        <v>967</v>
      </c>
      <c r="K371" s="12" t="n">
        <f aca="false">ROUND((IF(E371="Transactional",5,IF(E371="Commercial",4,IF(E371="Comparison",3,IF(E371="Informational",2,3))))*LOG10(IF(ISNUMBER(L371),L371,IFERROR(VALUE(LEFT(F371,FIND("-",F371)-1)),100))+1))/IF(IF(ISBLANK(M371),G371,M371)="High",5,IF(IF(ISBLANK(M371),G371,M371)="Medium",3,1)),2)</f>
        <v>6.45</v>
      </c>
      <c r="L371" s="10"/>
      <c r="M371" s="10"/>
      <c r="N371" s="10"/>
      <c r="O371" s="10" t="s">
        <v>123</v>
      </c>
      <c r="P371" s="11"/>
    </row>
    <row r="372" customFormat="false" ht="25.5" hidden="false" customHeight="true" outlineLevel="0" collapsed="false">
      <c r="A372" s="10" t="n">
        <v>371</v>
      </c>
      <c r="B372" s="10" t="n">
        <v>2</v>
      </c>
      <c r="C372" s="10" t="s">
        <v>115</v>
      </c>
      <c r="D372" s="11" t="s">
        <v>968</v>
      </c>
      <c r="E372" s="10" t="s">
        <v>117</v>
      </c>
      <c r="F372" s="11" t="s">
        <v>504</v>
      </c>
      <c r="G372" s="10" t="s">
        <v>505</v>
      </c>
      <c r="H372" s="10" t="s">
        <v>506</v>
      </c>
      <c r="I372" s="11" t="s">
        <v>185</v>
      </c>
      <c r="J372" s="11" t="s">
        <v>969</v>
      </c>
      <c r="K372" s="12" t="n">
        <f aca="false">ROUND((IF(E372="Transactional",5,IF(E372="Commercial",4,IF(E372="Comparison",3,IF(E372="Informational",2,3))))*LOG10(IF(ISNUMBER(L372),L372,IFERROR(VALUE(LEFT(F372,FIND("-",F372)-1)),100))+1))/IF(IF(ISBLANK(M372),G372,M372)="High",5,IF(IF(ISBLANK(M372),G372,M372)="Medium",3,1)),2)</f>
        <v>6.45</v>
      </c>
      <c r="L372" s="10"/>
      <c r="M372" s="10"/>
      <c r="N372" s="10"/>
      <c r="O372" s="10" t="s">
        <v>123</v>
      </c>
      <c r="P372" s="11" t="s">
        <v>508</v>
      </c>
    </row>
    <row r="373" customFormat="false" ht="25.5" hidden="false" customHeight="true" outlineLevel="0" collapsed="false">
      <c r="A373" s="10" t="n">
        <v>372</v>
      </c>
      <c r="B373" s="10" t="n">
        <v>2</v>
      </c>
      <c r="C373" s="10" t="s">
        <v>125</v>
      </c>
      <c r="D373" s="13" t="s">
        <v>970</v>
      </c>
      <c r="E373" s="10" t="s">
        <v>117</v>
      </c>
      <c r="F373" s="11" t="s">
        <v>504</v>
      </c>
      <c r="G373" s="10" t="s">
        <v>505</v>
      </c>
      <c r="H373" s="10" t="s">
        <v>506</v>
      </c>
      <c r="I373" s="11" t="s">
        <v>185</v>
      </c>
      <c r="J373" s="13" t="s">
        <v>971</v>
      </c>
      <c r="K373" s="12" t="n">
        <f aca="false">ROUND((IF(E373="Transactional",5,IF(E373="Commercial",4,IF(E373="Comparison",3,IF(E373="Informational",2,3))))*LOG10(IF(ISNUMBER(L373),L373,IFERROR(VALUE(LEFT(F373,FIND("-",F373)-1)),100))+1))/IF(IF(ISBLANK(M373),G373,M373)="High",5,IF(IF(ISBLANK(M373),G373,M373)="Medium",3,1)),2)</f>
        <v>6.45</v>
      </c>
      <c r="L373" s="10"/>
      <c r="M373" s="10"/>
      <c r="N373" s="10"/>
      <c r="O373" s="10" t="s">
        <v>123</v>
      </c>
      <c r="P373" s="11"/>
    </row>
    <row r="374" customFormat="false" ht="25.5" hidden="false" customHeight="true" outlineLevel="0" collapsed="false">
      <c r="A374" s="10" t="n">
        <v>373</v>
      </c>
      <c r="B374" s="10" t="n">
        <v>2</v>
      </c>
      <c r="C374" s="10" t="s">
        <v>115</v>
      </c>
      <c r="D374" s="11" t="s">
        <v>972</v>
      </c>
      <c r="E374" s="10" t="s">
        <v>117</v>
      </c>
      <c r="F374" s="11" t="s">
        <v>504</v>
      </c>
      <c r="G374" s="10" t="s">
        <v>505</v>
      </c>
      <c r="H374" s="10" t="s">
        <v>506</v>
      </c>
      <c r="I374" s="11" t="s">
        <v>185</v>
      </c>
      <c r="J374" s="11" t="s">
        <v>973</v>
      </c>
      <c r="K374" s="12" t="n">
        <f aca="false">ROUND((IF(E374="Transactional",5,IF(E374="Commercial",4,IF(E374="Comparison",3,IF(E374="Informational",2,3))))*LOG10(IF(ISNUMBER(L374),L374,IFERROR(VALUE(LEFT(F374,FIND("-",F374)-1)),100))+1))/IF(IF(ISBLANK(M374),G374,M374)="High",5,IF(IF(ISBLANK(M374),G374,M374)="Medium",3,1)),2)</f>
        <v>6.45</v>
      </c>
      <c r="L374" s="10"/>
      <c r="M374" s="10"/>
      <c r="N374" s="10"/>
      <c r="O374" s="10" t="s">
        <v>123</v>
      </c>
      <c r="P374" s="11" t="s">
        <v>508</v>
      </c>
    </row>
    <row r="375" customFormat="false" ht="25.5" hidden="false" customHeight="true" outlineLevel="0" collapsed="false">
      <c r="A375" s="10" t="n">
        <v>374</v>
      </c>
      <c r="B375" s="10" t="n">
        <v>2</v>
      </c>
      <c r="C375" s="10" t="s">
        <v>125</v>
      </c>
      <c r="D375" s="13" t="s">
        <v>974</v>
      </c>
      <c r="E375" s="10" t="s">
        <v>117</v>
      </c>
      <c r="F375" s="11" t="s">
        <v>504</v>
      </c>
      <c r="G375" s="10" t="s">
        <v>505</v>
      </c>
      <c r="H375" s="10" t="s">
        <v>506</v>
      </c>
      <c r="I375" s="11" t="s">
        <v>185</v>
      </c>
      <c r="J375" s="13" t="s">
        <v>975</v>
      </c>
      <c r="K375" s="12" t="n">
        <f aca="false">ROUND((IF(E375="Transactional",5,IF(E375="Commercial",4,IF(E375="Comparison",3,IF(E375="Informational",2,3))))*LOG10(IF(ISNUMBER(L375),L375,IFERROR(VALUE(LEFT(F375,FIND("-",F375)-1)),100))+1))/IF(IF(ISBLANK(M375),G375,M375)="High",5,IF(IF(ISBLANK(M375),G375,M375)="Medium",3,1)),2)</f>
        <v>6.45</v>
      </c>
      <c r="L375" s="10"/>
      <c r="M375" s="10"/>
      <c r="N375" s="10"/>
      <c r="O375" s="10" t="s">
        <v>123</v>
      </c>
      <c r="P375" s="11"/>
    </row>
    <row r="376" customFormat="false" ht="25.5" hidden="false" customHeight="true" outlineLevel="0" collapsed="false">
      <c r="A376" s="10" t="n">
        <v>375</v>
      </c>
      <c r="B376" s="10" t="n">
        <v>2</v>
      </c>
      <c r="C376" s="10" t="s">
        <v>115</v>
      </c>
      <c r="D376" s="11" t="s">
        <v>976</v>
      </c>
      <c r="E376" s="10" t="s">
        <v>117</v>
      </c>
      <c r="F376" s="11" t="s">
        <v>504</v>
      </c>
      <c r="G376" s="10" t="s">
        <v>505</v>
      </c>
      <c r="H376" s="10" t="s">
        <v>506</v>
      </c>
      <c r="I376" s="11" t="s">
        <v>185</v>
      </c>
      <c r="J376" s="11" t="s">
        <v>977</v>
      </c>
      <c r="K376" s="12" t="n">
        <f aca="false">ROUND((IF(E376="Transactional",5,IF(E376="Commercial",4,IF(E376="Comparison",3,IF(E376="Informational",2,3))))*LOG10(IF(ISNUMBER(L376),L376,IFERROR(VALUE(LEFT(F376,FIND("-",F376)-1)),100))+1))/IF(IF(ISBLANK(M376),G376,M376)="High",5,IF(IF(ISBLANK(M376),G376,M376)="Medium",3,1)),2)</f>
        <v>6.45</v>
      </c>
      <c r="L376" s="10"/>
      <c r="M376" s="10"/>
      <c r="N376" s="10"/>
      <c r="O376" s="10" t="s">
        <v>123</v>
      </c>
      <c r="P376" s="11" t="s">
        <v>508</v>
      </c>
    </row>
    <row r="377" customFormat="false" ht="25.5" hidden="false" customHeight="true" outlineLevel="0" collapsed="false">
      <c r="A377" s="10" t="n">
        <v>376</v>
      </c>
      <c r="B377" s="10" t="n">
        <v>2</v>
      </c>
      <c r="C377" s="10" t="s">
        <v>125</v>
      </c>
      <c r="D377" s="13" t="s">
        <v>978</v>
      </c>
      <c r="E377" s="10" t="s">
        <v>117</v>
      </c>
      <c r="F377" s="11" t="s">
        <v>504</v>
      </c>
      <c r="G377" s="10" t="s">
        <v>505</v>
      </c>
      <c r="H377" s="10" t="s">
        <v>506</v>
      </c>
      <c r="I377" s="11" t="s">
        <v>185</v>
      </c>
      <c r="J377" s="13" t="s">
        <v>979</v>
      </c>
      <c r="K377" s="12" t="n">
        <f aca="false">ROUND((IF(E377="Transactional",5,IF(E377="Commercial",4,IF(E377="Comparison",3,IF(E377="Informational",2,3))))*LOG10(IF(ISNUMBER(L377),L377,IFERROR(VALUE(LEFT(F377,FIND("-",F377)-1)),100))+1))/IF(IF(ISBLANK(M377),G377,M377)="High",5,IF(IF(ISBLANK(M377),G377,M377)="Medium",3,1)),2)</f>
        <v>6.45</v>
      </c>
      <c r="L377" s="10"/>
      <c r="M377" s="10"/>
      <c r="N377" s="10"/>
      <c r="O377" s="10" t="s">
        <v>123</v>
      </c>
      <c r="P377" s="11"/>
    </row>
    <row r="378" customFormat="false" ht="25.5" hidden="false" customHeight="true" outlineLevel="0" collapsed="false">
      <c r="A378" s="10" t="n">
        <v>377</v>
      </c>
      <c r="B378" s="10" t="n">
        <v>2</v>
      </c>
      <c r="C378" s="10" t="s">
        <v>115</v>
      </c>
      <c r="D378" s="11" t="s">
        <v>980</v>
      </c>
      <c r="E378" s="10" t="s">
        <v>117</v>
      </c>
      <c r="F378" s="11" t="s">
        <v>504</v>
      </c>
      <c r="G378" s="10" t="s">
        <v>505</v>
      </c>
      <c r="H378" s="10" t="s">
        <v>506</v>
      </c>
      <c r="I378" s="11" t="s">
        <v>185</v>
      </c>
      <c r="J378" s="11" t="s">
        <v>981</v>
      </c>
      <c r="K378" s="12" t="n">
        <f aca="false">ROUND((IF(E378="Transactional",5,IF(E378="Commercial",4,IF(E378="Comparison",3,IF(E378="Informational",2,3))))*LOG10(IF(ISNUMBER(L378),L378,IFERROR(VALUE(LEFT(F378,FIND("-",F378)-1)),100))+1))/IF(IF(ISBLANK(M378),G378,M378)="High",5,IF(IF(ISBLANK(M378),G378,M378)="Medium",3,1)),2)</f>
        <v>6.45</v>
      </c>
      <c r="L378" s="10"/>
      <c r="M378" s="10"/>
      <c r="N378" s="10"/>
      <c r="O378" s="10" t="s">
        <v>123</v>
      </c>
      <c r="P378" s="11" t="s">
        <v>508</v>
      </c>
    </row>
    <row r="379" customFormat="false" ht="25.5" hidden="false" customHeight="true" outlineLevel="0" collapsed="false">
      <c r="A379" s="10" t="n">
        <v>378</v>
      </c>
      <c r="B379" s="10" t="n">
        <v>2</v>
      </c>
      <c r="C379" s="10" t="s">
        <v>125</v>
      </c>
      <c r="D379" s="13" t="s">
        <v>982</v>
      </c>
      <c r="E379" s="10" t="s">
        <v>117</v>
      </c>
      <c r="F379" s="11" t="s">
        <v>504</v>
      </c>
      <c r="G379" s="10" t="s">
        <v>505</v>
      </c>
      <c r="H379" s="10" t="s">
        <v>506</v>
      </c>
      <c r="I379" s="11" t="s">
        <v>185</v>
      </c>
      <c r="J379" s="13" t="s">
        <v>983</v>
      </c>
      <c r="K379" s="12" t="n">
        <f aca="false">ROUND((IF(E379="Transactional",5,IF(E379="Commercial",4,IF(E379="Comparison",3,IF(E379="Informational",2,3))))*LOG10(IF(ISNUMBER(L379),L379,IFERROR(VALUE(LEFT(F379,FIND("-",F379)-1)),100))+1))/IF(IF(ISBLANK(M379),G379,M379)="High",5,IF(IF(ISBLANK(M379),G379,M379)="Medium",3,1)),2)</f>
        <v>6.45</v>
      </c>
      <c r="L379" s="10"/>
      <c r="M379" s="10"/>
      <c r="N379" s="10"/>
      <c r="O379" s="10" t="s">
        <v>123</v>
      </c>
      <c r="P379" s="11"/>
    </row>
    <row r="380" customFormat="false" ht="25.5" hidden="false" customHeight="true" outlineLevel="0" collapsed="false">
      <c r="A380" s="10" t="n">
        <v>379</v>
      </c>
      <c r="B380" s="10" t="n">
        <v>2</v>
      </c>
      <c r="C380" s="10" t="s">
        <v>115</v>
      </c>
      <c r="D380" s="11" t="s">
        <v>984</v>
      </c>
      <c r="E380" s="10" t="s">
        <v>117</v>
      </c>
      <c r="F380" s="11" t="s">
        <v>504</v>
      </c>
      <c r="G380" s="10" t="s">
        <v>505</v>
      </c>
      <c r="H380" s="10" t="s">
        <v>506</v>
      </c>
      <c r="I380" s="11" t="s">
        <v>185</v>
      </c>
      <c r="J380" s="11" t="s">
        <v>985</v>
      </c>
      <c r="K380" s="12" t="n">
        <f aca="false">ROUND((IF(E380="Transactional",5,IF(E380="Commercial",4,IF(E380="Comparison",3,IF(E380="Informational",2,3))))*LOG10(IF(ISNUMBER(L380),L380,IFERROR(VALUE(LEFT(F380,FIND("-",F380)-1)),100))+1))/IF(IF(ISBLANK(M380),G380,M380)="High",5,IF(IF(ISBLANK(M380),G380,M380)="Medium",3,1)),2)</f>
        <v>6.45</v>
      </c>
      <c r="L380" s="10"/>
      <c r="M380" s="10"/>
      <c r="N380" s="10"/>
      <c r="O380" s="10" t="s">
        <v>123</v>
      </c>
      <c r="P380" s="11" t="s">
        <v>508</v>
      </c>
    </row>
    <row r="381" customFormat="false" ht="25.5" hidden="false" customHeight="true" outlineLevel="0" collapsed="false">
      <c r="A381" s="10" t="n">
        <v>380</v>
      </c>
      <c r="B381" s="10" t="n">
        <v>2</v>
      </c>
      <c r="C381" s="10" t="s">
        <v>125</v>
      </c>
      <c r="D381" s="13" t="s">
        <v>986</v>
      </c>
      <c r="E381" s="10" t="s">
        <v>117</v>
      </c>
      <c r="F381" s="11" t="s">
        <v>504</v>
      </c>
      <c r="G381" s="10" t="s">
        <v>505</v>
      </c>
      <c r="H381" s="10" t="s">
        <v>506</v>
      </c>
      <c r="I381" s="11" t="s">
        <v>185</v>
      </c>
      <c r="J381" s="13" t="s">
        <v>987</v>
      </c>
      <c r="K381" s="12" t="n">
        <f aca="false">ROUND((IF(E381="Transactional",5,IF(E381="Commercial",4,IF(E381="Comparison",3,IF(E381="Informational",2,3))))*LOG10(IF(ISNUMBER(L381),L381,IFERROR(VALUE(LEFT(F381,FIND("-",F381)-1)),100))+1))/IF(IF(ISBLANK(M381),G381,M381)="High",5,IF(IF(ISBLANK(M381),G381,M381)="Medium",3,1)),2)</f>
        <v>6.45</v>
      </c>
      <c r="L381" s="10"/>
      <c r="M381" s="10"/>
      <c r="N381" s="10"/>
      <c r="O381" s="10" t="s">
        <v>123</v>
      </c>
      <c r="P381" s="11"/>
    </row>
    <row r="382" customFormat="false" ht="25.5" hidden="false" customHeight="true" outlineLevel="0" collapsed="false">
      <c r="A382" s="14" t="n">
        <v>381</v>
      </c>
      <c r="B382" s="14" t="n">
        <v>3</v>
      </c>
      <c r="C382" s="14" t="s">
        <v>115</v>
      </c>
      <c r="D382" s="15" t="s">
        <v>988</v>
      </c>
      <c r="E382" s="14" t="s">
        <v>117</v>
      </c>
      <c r="F382" s="15" t="s">
        <v>989</v>
      </c>
      <c r="G382" s="14" t="s">
        <v>505</v>
      </c>
      <c r="H382" s="14" t="s">
        <v>990</v>
      </c>
      <c r="I382" s="15" t="s">
        <v>121</v>
      </c>
      <c r="J382" s="15" t="s">
        <v>991</v>
      </c>
      <c r="K382" s="16" t="n">
        <f aca="false">ROUND((IF(E382="Transactional",5,IF(E382="Commercial",4,IF(E382="Comparison",3,IF(E382="Informational",2,3))))*LOG10(IF(ISNUMBER(L382),L382,IFERROR(VALUE(LEFT(F382,FIND("-",F382)-1)),100))+1))/IF(IF(ISBLANK(M382),G382,M382)="High",5,IF(IF(ISBLANK(M382),G382,M382)="Medium",3,1)),2)</f>
        <v>9.91</v>
      </c>
      <c r="L382" s="14"/>
      <c r="M382" s="14"/>
      <c r="N382" s="14"/>
      <c r="O382" s="14" t="s">
        <v>123</v>
      </c>
      <c r="P382" s="15" t="s">
        <v>992</v>
      </c>
    </row>
    <row r="383" customFormat="false" ht="25.5" hidden="false" customHeight="true" outlineLevel="0" collapsed="false">
      <c r="A383" s="14" t="n">
        <v>382</v>
      </c>
      <c r="B383" s="14" t="n">
        <v>3</v>
      </c>
      <c r="C383" s="14" t="s">
        <v>125</v>
      </c>
      <c r="D383" s="17" t="s">
        <v>993</v>
      </c>
      <c r="E383" s="14" t="s">
        <v>117</v>
      </c>
      <c r="F383" s="15" t="s">
        <v>994</v>
      </c>
      <c r="G383" s="14" t="s">
        <v>505</v>
      </c>
      <c r="H383" s="14" t="s">
        <v>990</v>
      </c>
      <c r="I383" s="15" t="s">
        <v>121</v>
      </c>
      <c r="J383" s="17" t="s">
        <v>995</v>
      </c>
      <c r="K383" s="16" t="n">
        <f aca="false">ROUND((IF(E383="Transactional",5,IF(E383="Commercial",4,IF(E383="Comparison",3,IF(E383="Informational",2,3))))*LOG10(IF(ISNUMBER(L383),L383,IFERROR(VALUE(LEFT(F383,FIND("-",F383)-1)),100))+1))/IF(IF(ISBLANK(M383),G383,M383)="High",5,IF(IF(ISBLANK(M383),G383,M383)="Medium",3,1)),2)</f>
        <v>9.6</v>
      </c>
      <c r="L383" s="14"/>
      <c r="M383" s="14"/>
      <c r="N383" s="14"/>
      <c r="O383" s="14" t="s">
        <v>123</v>
      </c>
      <c r="P383" s="15"/>
    </row>
    <row r="384" customFormat="false" ht="25.5" hidden="false" customHeight="true" outlineLevel="0" collapsed="false">
      <c r="A384" s="14" t="n">
        <v>383</v>
      </c>
      <c r="B384" s="14" t="n">
        <v>3</v>
      </c>
      <c r="C384" s="14" t="s">
        <v>115</v>
      </c>
      <c r="D384" s="15" t="s">
        <v>996</v>
      </c>
      <c r="E384" s="14" t="s">
        <v>117</v>
      </c>
      <c r="F384" s="15" t="s">
        <v>997</v>
      </c>
      <c r="G384" s="14" t="s">
        <v>505</v>
      </c>
      <c r="H384" s="14" t="s">
        <v>990</v>
      </c>
      <c r="I384" s="15" t="s">
        <v>121</v>
      </c>
      <c r="J384" s="15" t="s">
        <v>998</v>
      </c>
      <c r="K384" s="16" t="n">
        <f aca="false">ROUND((IF(E384="Transactional",5,IF(E384="Commercial",4,IF(E384="Comparison",3,IF(E384="Informational",2,3))))*LOG10(IF(ISNUMBER(L384),L384,IFERROR(VALUE(LEFT(F384,FIND("-",F384)-1)),100))+1))/IF(IF(ISBLANK(M384),G384,M384)="High",5,IF(IF(ISBLANK(M384),G384,M384)="Medium",3,1)),2)</f>
        <v>9.21</v>
      </c>
      <c r="L384" s="14"/>
      <c r="M384" s="14"/>
      <c r="N384" s="14"/>
      <c r="O384" s="14" t="s">
        <v>123</v>
      </c>
      <c r="P384" s="15" t="s">
        <v>992</v>
      </c>
    </row>
    <row r="385" customFormat="false" ht="25.5" hidden="false" customHeight="true" outlineLevel="0" collapsed="false">
      <c r="A385" s="14" t="n">
        <v>384</v>
      </c>
      <c r="B385" s="14" t="n">
        <v>3</v>
      </c>
      <c r="C385" s="14" t="s">
        <v>125</v>
      </c>
      <c r="D385" s="17" t="s">
        <v>999</v>
      </c>
      <c r="E385" s="14" t="s">
        <v>117</v>
      </c>
      <c r="F385" s="15" t="s">
        <v>1000</v>
      </c>
      <c r="G385" s="14" t="s">
        <v>505</v>
      </c>
      <c r="H385" s="14" t="s">
        <v>990</v>
      </c>
      <c r="I385" s="15" t="s">
        <v>121</v>
      </c>
      <c r="J385" s="17" t="s">
        <v>1001</v>
      </c>
      <c r="K385" s="16" t="n">
        <f aca="false">ROUND((IF(E385="Transactional",5,IF(E385="Commercial",4,IF(E385="Comparison",3,IF(E385="Informational",2,3))))*LOG10(IF(ISNUMBER(L385),L385,IFERROR(VALUE(LEFT(F385,FIND("-",F385)-1)),100))+1))/IF(IF(ISBLANK(M385),G385,M385)="High",5,IF(IF(ISBLANK(M385),G385,M385)="Medium",3,1)),2)</f>
        <v>8.72</v>
      </c>
      <c r="L385" s="14"/>
      <c r="M385" s="14"/>
      <c r="N385" s="14"/>
      <c r="O385" s="14" t="s">
        <v>123</v>
      </c>
      <c r="P385" s="15"/>
    </row>
    <row r="386" customFormat="false" ht="25.5" hidden="false" customHeight="true" outlineLevel="0" collapsed="false">
      <c r="A386" s="14" t="n">
        <v>385</v>
      </c>
      <c r="B386" s="14" t="n">
        <v>3</v>
      </c>
      <c r="C386" s="14" t="s">
        <v>115</v>
      </c>
      <c r="D386" s="15" t="s">
        <v>1002</v>
      </c>
      <c r="E386" s="14" t="s">
        <v>117</v>
      </c>
      <c r="F386" s="15" t="s">
        <v>997</v>
      </c>
      <c r="G386" s="14" t="s">
        <v>505</v>
      </c>
      <c r="H386" s="14" t="s">
        <v>990</v>
      </c>
      <c r="I386" s="15" t="s">
        <v>121</v>
      </c>
      <c r="J386" s="15" t="s">
        <v>1003</v>
      </c>
      <c r="K386" s="16" t="n">
        <f aca="false">ROUND((IF(E386="Transactional",5,IF(E386="Commercial",4,IF(E386="Comparison",3,IF(E386="Informational",2,3))))*LOG10(IF(ISNUMBER(L386),L386,IFERROR(VALUE(LEFT(F386,FIND("-",F386)-1)),100))+1))/IF(IF(ISBLANK(M386),G386,M386)="High",5,IF(IF(ISBLANK(M386),G386,M386)="Medium",3,1)),2)</f>
        <v>9.21</v>
      </c>
      <c r="L386" s="14"/>
      <c r="M386" s="14"/>
      <c r="N386" s="14"/>
      <c r="O386" s="14" t="s">
        <v>123</v>
      </c>
      <c r="P386" s="15" t="s">
        <v>992</v>
      </c>
    </row>
    <row r="387" customFormat="false" ht="25.5" hidden="false" customHeight="true" outlineLevel="0" collapsed="false">
      <c r="A387" s="14" t="n">
        <v>386</v>
      </c>
      <c r="B387" s="14" t="n">
        <v>3</v>
      </c>
      <c r="C387" s="14" t="s">
        <v>125</v>
      </c>
      <c r="D387" s="17" t="s">
        <v>1004</v>
      </c>
      <c r="E387" s="14" t="s">
        <v>117</v>
      </c>
      <c r="F387" s="15" t="s">
        <v>1000</v>
      </c>
      <c r="G387" s="14" t="s">
        <v>505</v>
      </c>
      <c r="H387" s="14" t="s">
        <v>990</v>
      </c>
      <c r="I387" s="15" t="s">
        <v>121</v>
      </c>
      <c r="J387" s="17" t="s">
        <v>1005</v>
      </c>
      <c r="K387" s="16" t="n">
        <f aca="false">ROUND((IF(E387="Transactional",5,IF(E387="Commercial",4,IF(E387="Comparison",3,IF(E387="Informational",2,3))))*LOG10(IF(ISNUMBER(L387),L387,IFERROR(VALUE(LEFT(F387,FIND("-",F387)-1)),100))+1))/IF(IF(ISBLANK(M387),G387,M387)="High",5,IF(IF(ISBLANK(M387),G387,M387)="Medium",3,1)),2)</f>
        <v>8.72</v>
      </c>
      <c r="L387" s="14"/>
      <c r="M387" s="14"/>
      <c r="N387" s="14"/>
      <c r="O387" s="14" t="s">
        <v>123</v>
      </c>
      <c r="P387" s="15"/>
    </row>
    <row r="388" customFormat="false" ht="25.5" hidden="false" customHeight="true" outlineLevel="0" collapsed="false">
      <c r="A388" s="14" t="n">
        <v>387</v>
      </c>
      <c r="B388" s="14" t="n">
        <v>3</v>
      </c>
      <c r="C388" s="14" t="s">
        <v>115</v>
      </c>
      <c r="D388" s="15" t="s">
        <v>1006</v>
      </c>
      <c r="E388" s="14" t="s">
        <v>117</v>
      </c>
      <c r="F388" s="15" t="s">
        <v>997</v>
      </c>
      <c r="G388" s="14" t="s">
        <v>505</v>
      </c>
      <c r="H388" s="14" t="s">
        <v>990</v>
      </c>
      <c r="I388" s="15" t="s">
        <v>121</v>
      </c>
      <c r="J388" s="15" t="s">
        <v>1007</v>
      </c>
      <c r="K388" s="16" t="n">
        <f aca="false">ROUND((IF(E388="Transactional",5,IF(E388="Commercial",4,IF(E388="Comparison",3,IF(E388="Informational",2,3))))*LOG10(IF(ISNUMBER(L388),L388,IFERROR(VALUE(LEFT(F388,FIND("-",F388)-1)),100))+1))/IF(IF(ISBLANK(M388),G388,M388)="High",5,IF(IF(ISBLANK(M388),G388,M388)="Medium",3,1)),2)</f>
        <v>9.21</v>
      </c>
      <c r="L388" s="14"/>
      <c r="M388" s="14"/>
      <c r="N388" s="14"/>
      <c r="O388" s="14" t="s">
        <v>123</v>
      </c>
      <c r="P388" s="15" t="s">
        <v>992</v>
      </c>
    </row>
    <row r="389" customFormat="false" ht="25.5" hidden="false" customHeight="true" outlineLevel="0" collapsed="false">
      <c r="A389" s="14" t="n">
        <v>388</v>
      </c>
      <c r="B389" s="14" t="n">
        <v>3</v>
      </c>
      <c r="C389" s="14" t="s">
        <v>125</v>
      </c>
      <c r="D389" s="17" t="s">
        <v>1008</v>
      </c>
      <c r="E389" s="14" t="s">
        <v>117</v>
      </c>
      <c r="F389" s="15" t="s">
        <v>1000</v>
      </c>
      <c r="G389" s="14" t="s">
        <v>505</v>
      </c>
      <c r="H389" s="14" t="s">
        <v>990</v>
      </c>
      <c r="I389" s="15" t="s">
        <v>121</v>
      </c>
      <c r="J389" s="17" t="s">
        <v>1009</v>
      </c>
      <c r="K389" s="16" t="n">
        <f aca="false">ROUND((IF(E389="Transactional",5,IF(E389="Commercial",4,IF(E389="Comparison",3,IF(E389="Informational",2,3))))*LOG10(IF(ISNUMBER(L389),L389,IFERROR(VALUE(LEFT(F389,FIND("-",F389)-1)),100))+1))/IF(IF(ISBLANK(M389),G389,M389)="High",5,IF(IF(ISBLANK(M389),G389,M389)="Medium",3,1)),2)</f>
        <v>8.72</v>
      </c>
      <c r="L389" s="14"/>
      <c r="M389" s="14"/>
      <c r="N389" s="14"/>
      <c r="O389" s="14" t="s">
        <v>123</v>
      </c>
      <c r="P389" s="15"/>
    </row>
    <row r="390" customFormat="false" ht="25.5" hidden="false" customHeight="true" outlineLevel="0" collapsed="false">
      <c r="A390" s="14" t="n">
        <v>389</v>
      </c>
      <c r="B390" s="14" t="n">
        <v>3</v>
      </c>
      <c r="C390" s="14" t="s">
        <v>115</v>
      </c>
      <c r="D390" s="15" t="s">
        <v>1010</v>
      </c>
      <c r="E390" s="14" t="s">
        <v>117</v>
      </c>
      <c r="F390" s="15" t="s">
        <v>997</v>
      </c>
      <c r="G390" s="14" t="s">
        <v>505</v>
      </c>
      <c r="H390" s="14" t="s">
        <v>990</v>
      </c>
      <c r="I390" s="15" t="s">
        <v>121</v>
      </c>
      <c r="J390" s="15" t="s">
        <v>1011</v>
      </c>
      <c r="K390" s="16" t="n">
        <f aca="false">ROUND((IF(E390="Transactional",5,IF(E390="Commercial",4,IF(E390="Comparison",3,IF(E390="Informational",2,3))))*LOG10(IF(ISNUMBER(L390),L390,IFERROR(VALUE(LEFT(F390,FIND("-",F390)-1)),100))+1))/IF(IF(ISBLANK(M390),G390,M390)="High",5,IF(IF(ISBLANK(M390),G390,M390)="Medium",3,1)),2)</f>
        <v>9.21</v>
      </c>
      <c r="L390" s="14"/>
      <c r="M390" s="14"/>
      <c r="N390" s="14"/>
      <c r="O390" s="14" t="s">
        <v>123</v>
      </c>
      <c r="P390" s="15" t="s">
        <v>992</v>
      </c>
    </row>
    <row r="391" customFormat="false" ht="25.5" hidden="false" customHeight="true" outlineLevel="0" collapsed="false">
      <c r="A391" s="14" t="n">
        <v>390</v>
      </c>
      <c r="B391" s="14" t="n">
        <v>3</v>
      </c>
      <c r="C391" s="14" t="s">
        <v>125</v>
      </c>
      <c r="D391" s="17" t="s">
        <v>1012</v>
      </c>
      <c r="E391" s="14" t="s">
        <v>117</v>
      </c>
      <c r="F391" s="15" t="s">
        <v>1000</v>
      </c>
      <c r="G391" s="14" t="s">
        <v>505</v>
      </c>
      <c r="H391" s="14" t="s">
        <v>990</v>
      </c>
      <c r="I391" s="15" t="s">
        <v>121</v>
      </c>
      <c r="J391" s="17" t="s">
        <v>1013</v>
      </c>
      <c r="K391" s="16" t="n">
        <f aca="false">ROUND((IF(E391="Transactional",5,IF(E391="Commercial",4,IF(E391="Comparison",3,IF(E391="Informational",2,3))))*LOG10(IF(ISNUMBER(L391),L391,IFERROR(VALUE(LEFT(F391,FIND("-",F391)-1)),100))+1))/IF(IF(ISBLANK(M391),G391,M391)="High",5,IF(IF(ISBLANK(M391),G391,M391)="Medium",3,1)),2)</f>
        <v>8.72</v>
      </c>
      <c r="L391" s="14"/>
      <c r="M391" s="14"/>
      <c r="N391" s="14"/>
      <c r="O391" s="14" t="s">
        <v>123</v>
      </c>
      <c r="P391" s="15"/>
    </row>
    <row r="392" customFormat="false" ht="25.5" hidden="false" customHeight="true" outlineLevel="0" collapsed="false">
      <c r="A392" s="14" t="n">
        <v>391</v>
      </c>
      <c r="B392" s="14" t="n">
        <v>3</v>
      </c>
      <c r="C392" s="14" t="s">
        <v>115</v>
      </c>
      <c r="D392" s="15" t="s">
        <v>1014</v>
      </c>
      <c r="E392" s="14" t="s">
        <v>117</v>
      </c>
      <c r="F392" s="15" t="s">
        <v>997</v>
      </c>
      <c r="G392" s="14" t="s">
        <v>505</v>
      </c>
      <c r="H392" s="14" t="s">
        <v>990</v>
      </c>
      <c r="I392" s="15" t="s">
        <v>226</v>
      </c>
      <c r="J392" s="15" t="s">
        <v>1015</v>
      </c>
      <c r="K392" s="16" t="n">
        <f aca="false">ROUND((IF(E392="Transactional",5,IF(E392="Commercial",4,IF(E392="Comparison",3,IF(E392="Informational",2,3))))*LOG10(IF(ISNUMBER(L392),L392,IFERROR(VALUE(LEFT(F392,FIND("-",F392)-1)),100))+1))/IF(IF(ISBLANK(M392),G392,M392)="High",5,IF(IF(ISBLANK(M392),G392,M392)="Medium",3,1)),2)</f>
        <v>9.21</v>
      </c>
      <c r="L392" s="14"/>
      <c r="M392" s="14"/>
      <c r="N392" s="14"/>
      <c r="O392" s="14" t="s">
        <v>123</v>
      </c>
      <c r="P392" s="15" t="s">
        <v>992</v>
      </c>
    </row>
    <row r="393" customFormat="false" ht="25.5" hidden="false" customHeight="true" outlineLevel="0" collapsed="false">
      <c r="A393" s="14" t="n">
        <v>392</v>
      </c>
      <c r="B393" s="14" t="n">
        <v>3</v>
      </c>
      <c r="C393" s="14" t="s">
        <v>125</v>
      </c>
      <c r="D393" s="17" t="s">
        <v>1016</v>
      </c>
      <c r="E393" s="14" t="s">
        <v>117</v>
      </c>
      <c r="F393" s="15" t="s">
        <v>1000</v>
      </c>
      <c r="G393" s="14" t="s">
        <v>505</v>
      </c>
      <c r="H393" s="14" t="s">
        <v>990</v>
      </c>
      <c r="I393" s="15" t="s">
        <v>226</v>
      </c>
      <c r="J393" s="17" t="s">
        <v>1017</v>
      </c>
      <c r="K393" s="16" t="n">
        <f aca="false">ROUND((IF(E393="Transactional",5,IF(E393="Commercial",4,IF(E393="Comparison",3,IF(E393="Informational",2,3))))*LOG10(IF(ISNUMBER(L393),L393,IFERROR(VALUE(LEFT(F393,FIND("-",F393)-1)),100))+1))/IF(IF(ISBLANK(M393),G393,M393)="High",5,IF(IF(ISBLANK(M393),G393,M393)="Medium",3,1)),2)</f>
        <v>8.72</v>
      </c>
      <c r="L393" s="14"/>
      <c r="M393" s="14"/>
      <c r="N393" s="14"/>
      <c r="O393" s="14" t="s">
        <v>123</v>
      </c>
      <c r="P393" s="15"/>
    </row>
    <row r="394" customFormat="false" ht="25.5" hidden="false" customHeight="true" outlineLevel="0" collapsed="false">
      <c r="A394" s="14" t="n">
        <v>393</v>
      </c>
      <c r="B394" s="14" t="n">
        <v>3</v>
      </c>
      <c r="C394" s="14" t="s">
        <v>115</v>
      </c>
      <c r="D394" s="15" t="s">
        <v>1018</v>
      </c>
      <c r="E394" s="14" t="s">
        <v>117</v>
      </c>
      <c r="F394" s="15" t="s">
        <v>1019</v>
      </c>
      <c r="G394" s="14" t="s">
        <v>505</v>
      </c>
      <c r="H394" s="14" t="s">
        <v>990</v>
      </c>
      <c r="I394" s="15" t="s">
        <v>226</v>
      </c>
      <c r="J394" s="15" t="s">
        <v>1020</v>
      </c>
      <c r="K394" s="16" t="n">
        <f aca="false">ROUND((IF(E394="Transactional",5,IF(E394="Commercial",4,IF(E394="Comparison",3,IF(E394="Informational",2,3))))*LOG10(IF(ISNUMBER(L394),L394,IFERROR(VALUE(LEFT(F394,FIND("-",F394)-1)),100))+1))/IF(IF(ISBLANK(M394),G394,M394)="High",5,IF(IF(ISBLANK(M394),G394,M394)="Medium",3,1)),2)</f>
        <v>8.02</v>
      </c>
      <c r="L394" s="14"/>
      <c r="M394" s="14"/>
      <c r="N394" s="14"/>
      <c r="O394" s="14" t="s">
        <v>123</v>
      </c>
      <c r="P394" s="15" t="s">
        <v>992</v>
      </c>
    </row>
    <row r="395" customFormat="false" ht="25.5" hidden="false" customHeight="true" outlineLevel="0" collapsed="false">
      <c r="A395" s="14" t="n">
        <v>394</v>
      </c>
      <c r="B395" s="14" t="n">
        <v>3</v>
      </c>
      <c r="C395" s="14" t="s">
        <v>125</v>
      </c>
      <c r="D395" s="17" t="s">
        <v>1021</v>
      </c>
      <c r="E395" s="14" t="s">
        <v>117</v>
      </c>
      <c r="F395" s="15" t="s">
        <v>1022</v>
      </c>
      <c r="G395" s="14" t="s">
        <v>505</v>
      </c>
      <c r="H395" s="14" t="s">
        <v>990</v>
      </c>
      <c r="I395" s="15" t="s">
        <v>226</v>
      </c>
      <c r="J395" s="17" t="s">
        <v>1023</v>
      </c>
      <c r="K395" s="16" t="n">
        <f aca="false">ROUND((IF(E395="Transactional",5,IF(E395="Commercial",4,IF(E395="Comparison",3,IF(E395="Informational",2,3))))*LOG10(IF(ISNUMBER(L395),L395,IFERROR(VALUE(LEFT(F395,FIND("-",F395)-1)),100))+1))/IF(IF(ISBLANK(M395),G395,M395)="High",5,IF(IF(ISBLANK(M395),G395,M395)="Medium",3,1)),2)</f>
        <v>7.63</v>
      </c>
      <c r="L395" s="14"/>
      <c r="M395" s="14"/>
      <c r="N395" s="14"/>
      <c r="O395" s="14" t="s">
        <v>123</v>
      </c>
      <c r="P395" s="15"/>
    </row>
    <row r="396" customFormat="false" ht="25.5" hidden="false" customHeight="true" outlineLevel="0" collapsed="false">
      <c r="A396" s="14" t="n">
        <v>395</v>
      </c>
      <c r="B396" s="14" t="n">
        <v>3</v>
      </c>
      <c r="C396" s="14" t="s">
        <v>115</v>
      </c>
      <c r="D396" s="15" t="s">
        <v>1024</v>
      </c>
      <c r="E396" s="14" t="s">
        <v>117</v>
      </c>
      <c r="F396" s="15" t="s">
        <v>989</v>
      </c>
      <c r="G396" s="14" t="s">
        <v>505</v>
      </c>
      <c r="H396" s="14" t="s">
        <v>990</v>
      </c>
      <c r="I396" s="15" t="s">
        <v>185</v>
      </c>
      <c r="J396" s="15" t="s">
        <v>1025</v>
      </c>
      <c r="K396" s="16" t="n">
        <f aca="false">ROUND((IF(E396="Transactional",5,IF(E396="Commercial",4,IF(E396="Comparison",3,IF(E396="Informational",2,3))))*LOG10(IF(ISNUMBER(L396),L396,IFERROR(VALUE(LEFT(F396,FIND("-",F396)-1)),100))+1))/IF(IF(ISBLANK(M396),G396,M396)="High",5,IF(IF(ISBLANK(M396),G396,M396)="Medium",3,1)),2)</f>
        <v>9.91</v>
      </c>
      <c r="L396" s="14"/>
      <c r="M396" s="14"/>
      <c r="N396" s="14"/>
      <c r="O396" s="14" t="s">
        <v>123</v>
      </c>
      <c r="P396" s="15" t="s">
        <v>992</v>
      </c>
    </row>
    <row r="397" customFormat="false" ht="25.5" hidden="false" customHeight="true" outlineLevel="0" collapsed="false">
      <c r="A397" s="14" t="n">
        <v>396</v>
      </c>
      <c r="B397" s="14" t="n">
        <v>3</v>
      </c>
      <c r="C397" s="14" t="s">
        <v>125</v>
      </c>
      <c r="D397" s="17" t="s">
        <v>1026</v>
      </c>
      <c r="E397" s="14" t="s">
        <v>117</v>
      </c>
      <c r="F397" s="15" t="s">
        <v>994</v>
      </c>
      <c r="G397" s="14" t="s">
        <v>505</v>
      </c>
      <c r="H397" s="14" t="s">
        <v>990</v>
      </c>
      <c r="I397" s="15" t="s">
        <v>185</v>
      </c>
      <c r="J397" s="17" t="s">
        <v>1027</v>
      </c>
      <c r="K397" s="16" t="n">
        <f aca="false">ROUND((IF(E397="Transactional",5,IF(E397="Commercial",4,IF(E397="Comparison",3,IF(E397="Informational",2,3))))*LOG10(IF(ISNUMBER(L397),L397,IFERROR(VALUE(LEFT(F397,FIND("-",F397)-1)),100))+1))/IF(IF(ISBLANK(M397),G397,M397)="High",5,IF(IF(ISBLANK(M397),G397,M397)="Medium",3,1)),2)</f>
        <v>9.6</v>
      </c>
      <c r="L397" s="14"/>
      <c r="M397" s="14"/>
      <c r="N397" s="14"/>
      <c r="O397" s="14" t="s">
        <v>123</v>
      </c>
      <c r="P397" s="15"/>
    </row>
    <row r="398" customFormat="false" ht="25.5" hidden="false" customHeight="true" outlineLevel="0" collapsed="false">
      <c r="A398" s="14" t="n">
        <v>397</v>
      </c>
      <c r="B398" s="14" t="n">
        <v>3</v>
      </c>
      <c r="C398" s="14" t="s">
        <v>115</v>
      </c>
      <c r="D398" s="15" t="s">
        <v>1028</v>
      </c>
      <c r="E398" s="14" t="s">
        <v>117</v>
      </c>
      <c r="F398" s="15" t="s">
        <v>989</v>
      </c>
      <c r="G398" s="14" t="s">
        <v>505</v>
      </c>
      <c r="H398" s="14" t="s">
        <v>990</v>
      </c>
      <c r="I398" s="15" t="s">
        <v>185</v>
      </c>
      <c r="J398" s="15" t="s">
        <v>1029</v>
      </c>
      <c r="K398" s="16" t="n">
        <f aca="false">ROUND((IF(E398="Transactional",5,IF(E398="Commercial",4,IF(E398="Comparison",3,IF(E398="Informational",2,3))))*LOG10(IF(ISNUMBER(L398),L398,IFERROR(VALUE(LEFT(F398,FIND("-",F398)-1)),100))+1))/IF(IF(ISBLANK(M398),G398,M398)="High",5,IF(IF(ISBLANK(M398),G398,M398)="Medium",3,1)),2)</f>
        <v>9.91</v>
      </c>
      <c r="L398" s="14"/>
      <c r="M398" s="14"/>
      <c r="N398" s="14"/>
      <c r="O398" s="14" t="s">
        <v>123</v>
      </c>
      <c r="P398" s="15" t="s">
        <v>992</v>
      </c>
    </row>
    <row r="399" customFormat="false" ht="25.5" hidden="false" customHeight="true" outlineLevel="0" collapsed="false">
      <c r="A399" s="14" t="n">
        <v>398</v>
      </c>
      <c r="B399" s="14" t="n">
        <v>3</v>
      </c>
      <c r="C399" s="14" t="s">
        <v>125</v>
      </c>
      <c r="D399" s="17" t="s">
        <v>1030</v>
      </c>
      <c r="E399" s="14" t="s">
        <v>117</v>
      </c>
      <c r="F399" s="15" t="s">
        <v>994</v>
      </c>
      <c r="G399" s="14" t="s">
        <v>505</v>
      </c>
      <c r="H399" s="14" t="s">
        <v>990</v>
      </c>
      <c r="I399" s="15" t="s">
        <v>185</v>
      </c>
      <c r="J399" s="17" t="s">
        <v>1031</v>
      </c>
      <c r="K399" s="16" t="n">
        <f aca="false">ROUND((IF(E399="Transactional",5,IF(E399="Commercial",4,IF(E399="Comparison",3,IF(E399="Informational",2,3))))*LOG10(IF(ISNUMBER(L399),L399,IFERROR(VALUE(LEFT(F399,FIND("-",F399)-1)),100))+1))/IF(IF(ISBLANK(M399),G399,M399)="High",5,IF(IF(ISBLANK(M399),G399,M399)="Medium",3,1)),2)</f>
        <v>9.6</v>
      </c>
      <c r="L399" s="14"/>
      <c r="M399" s="14"/>
      <c r="N399" s="14"/>
      <c r="O399" s="14" t="s">
        <v>123</v>
      </c>
      <c r="P399" s="15"/>
    </row>
    <row r="400" customFormat="false" ht="25.5" hidden="false" customHeight="true" outlineLevel="0" collapsed="false">
      <c r="A400" s="14" t="n">
        <v>399</v>
      </c>
      <c r="B400" s="14" t="n">
        <v>3</v>
      </c>
      <c r="C400" s="14" t="s">
        <v>115</v>
      </c>
      <c r="D400" s="15" t="s">
        <v>1032</v>
      </c>
      <c r="E400" s="14" t="s">
        <v>117</v>
      </c>
      <c r="F400" s="15" t="s">
        <v>989</v>
      </c>
      <c r="G400" s="14" t="s">
        <v>505</v>
      </c>
      <c r="H400" s="14" t="s">
        <v>990</v>
      </c>
      <c r="I400" s="15" t="s">
        <v>185</v>
      </c>
      <c r="J400" s="15" t="s">
        <v>1033</v>
      </c>
      <c r="K400" s="16" t="n">
        <f aca="false">ROUND((IF(E400="Transactional",5,IF(E400="Commercial",4,IF(E400="Comparison",3,IF(E400="Informational",2,3))))*LOG10(IF(ISNUMBER(L400),L400,IFERROR(VALUE(LEFT(F400,FIND("-",F400)-1)),100))+1))/IF(IF(ISBLANK(M400),G400,M400)="High",5,IF(IF(ISBLANK(M400),G400,M400)="Medium",3,1)),2)</f>
        <v>9.91</v>
      </c>
      <c r="L400" s="14"/>
      <c r="M400" s="14"/>
      <c r="N400" s="14"/>
      <c r="O400" s="14" t="s">
        <v>123</v>
      </c>
      <c r="P400" s="15" t="s">
        <v>992</v>
      </c>
    </row>
    <row r="401" customFormat="false" ht="25.5" hidden="false" customHeight="true" outlineLevel="0" collapsed="false">
      <c r="A401" s="14" t="n">
        <v>400</v>
      </c>
      <c r="B401" s="14" t="n">
        <v>3</v>
      </c>
      <c r="C401" s="14" t="s">
        <v>125</v>
      </c>
      <c r="D401" s="17" t="s">
        <v>1034</v>
      </c>
      <c r="E401" s="14" t="s">
        <v>117</v>
      </c>
      <c r="F401" s="15" t="s">
        <v>994</v>
      </c>
      <c r="G401" s="14" t="s">
        <v>505</v>
      </c>
      <c r="H401" s="14" t="s">
        <v>990</v>
      </c>
      <c r="I401" s="15" t="s">
        <v>185</v>
      </c>
      <c r="J401" s="17" t="s">
        <v>1035</v>
      </c>
      <c r="K401" s="16" t="n">
        <f aca="false">ROUND((IF(E401="Transactional",5,IF(E401="Commercial",4,IF(E401="Comparison",3,IF(E401="Informational",2,3))))*LOG10(IF(ISNUMBER(L401),L401,IFERROR(VALUE(LEFT(F401,FIND("-",F401)-1)),100))+1))/IF(IF(ISBLANK(M401),G401,M401)="High",5,IF(IF(ISBLANK(M401),G401,M401)="Medium",3,1)),2)</f>
        <v>9.6</v>
      </c>
      <c r="L401" s="14"/>
      <c r="M401" s="14"/>
      <c r="N401" s="14"/>
      <c r="O401" s="14" t="s">
        <v>123</v>
      </c>
      <c r="P401" s="15"/>
    </row>
    <row r="402" customFormat="false" ht="25.5" hidden="false" customHeight="true" outlineLevel="0" collapsed="false">
      <c r="A402" s="14" t="n">
        <v>401</v>
      </c>
      <c r="B402" s="14" t="n">
        <v>3</v>
      </c>
      <c r="C402" s="14" t="s">
        <v>115</v>
      </c>
      <c r="D402" s="15" t="s">
        <v>1036</v>
      </c>
      <c r="E402" s="14" t="s">
        <v>117</v>
      </c>
      <c r="F402" s="15" t="s">
        <v>997</v>
      </c>
      <c r="G402" s="14" t="s">
        <v>505</v>
      </c>
      <c r="H402" s="14" t="s">
        <v>990</v>
      </c>
      <c r="I402" s="15" t="s">
        <v>185</v>
      </c>
      <c r="J402" s="15" t="s">
        <v>1037</v>
      </c>
      <c r="K402" s="16" t="n">
        <f aca="false">ROUND((IF(E402="Transactional",5,IF(E402="Commercial",4,IF(E402="Comparison",3,IF(E402="Informational",2,3))))*LOG10(IF(ISNUMBER(L402),L402,IFERROR(VALUE(LEFT(F402,FIND("-",F402)-1)),100))+1))/IF(IF(ISBLANK(M402),G402,M402)="High",5,IF(IF(ISBLANK(M402),G402,M402)="Medium",3,1)),2)</f>
        <v>9.21</v>
      </c>
      <c r="L402" s="14"/>
      <c r="M402" s="14"/>
      <c r="N402" s="14"/>
      <c r="O402" s="14" t="s">
        <v>123</v>
      </c>
      <c r="P402" s="15" t="s">
        <v>992</v>
      </c>
    </row>
    <row r="403" customFormat="false" ht="25.5" hidden="false" customHeight="true" outlineLevel="0" collapsed="false">
      <c r="A403" s="14" t="n">
        <v>402</v>
      </c>
      <c r="B403" s="14" t="n">
        <v>3</v>
      </c>
      <c r="C403" s="14" t="s">
        <v>125</v>
      </c>
      <c r="D403" s="17" t="s">
        <v>1038</v>
      </c>
      <c r="E403" s="14" t="s">
        <v>117</v>
      </c>
      <c r="F403" s="15" t="s">
        <v>1000</v>
      </c>
      <c r="G403" s="14" t="s">
        <v>505</v>
      </c>
      <c r="H403" s="14" t="s">
        <v>990</v>
      </c>
      <c r="I403" s="15" t="s">
        <v>185</v>
      </c>
      <c r="J403" s="17" t="s">
        <v>1039</v>
      </c>
      <c r="K403" s="16" t="n">
        <f aca="false">ROUND((IF(E403="Transactional",5,IF(E403="Commercial",4,IF(E403="Comparison",3,IF(E403="Informational",2,3))))*LOG10(IF(ISNUMBER(L403),L403,IFERROR(VALUE(LEFT(F403,FIND("-",F403)-1)),100))+1))/IF(IF(ISBLANK(M403),G403,M403)="High",5,IF(IF(ISBLANK(M403),G403,M403)="Medium",3,1)),2)</f>
        <v>8.72</v>
      </c>
      <c r="L403" s="14"/>
      <c r="M403" s="14"/>
      <c r="N403" s="14"/>
      <c r="O403" s="14" t="s">
        <v>123</v>
      </c>
      <c r="P403" s="15"/>
    </row>
    <row r="404" customFormat="false" ht="25.5" hidden="false" customHeight="true" outlineLevel="0" collapsed="false">
      <c r="A404" s="14" t="n">
        <v>403</v>
      </c>
      <c r="B404" s="14" t="n">
        <v>3</v>
      </c>
      <c r="C404" s="14" t="s">
        <v>115</v>
      </c>
      <c r="D404" s="15" t="s">
        <v>1040</v>
      </c>
      <c r="E404" s="14" t="s">
        <v>117</v>
      </c>
      <c r="F404" s="15" t="s">
        <v>997</v>
      </c>
      <c r="G404" s="14" t="s">
        <v>505</v>
      </c>
      <c r="H404" s="14" t="s">
        <v>990</v>
      </c>
      <c r="I404" s="15" t="s">
        <v>185</v>
      </c>
      <c r="J404" s="15" t="s">
        <v>1041</v>
      </c>
      <c r="K404" s="16" t="n">
        <f aca="false">ROUND((IF(E404="Transactional",5,IF(E404="Commercial",4,IF(E404="Comparison",3,IF(E404="Informational",2,3))))*LOG10(IF(ISNUMBER(L404),L404,IFERROR(VALUE(LEFT(F404,FIND("-",F404)-1)),100))+1))/IF(IF(ISBLANK(M404),G404,M404)="High",5,IF(IF(ISBLANK(M404),G404,M404)="Medium",3,1)),2)</f>
        <v>9.21</v>
      </c>
      <c r="L404" s="14"/>
      <c r="M404" s="14"/>
      <c r="N404" s="14"/>
      <c r="O404" s="14" t="s">
        <v>123</v>
      </c>
      <c r="P404" s="15" t="s">
        <v>992</v>
      </c>
    </row>
    <row r="405" customFormat="false" ht="25.5" hidden="false" customHeight="true" outlineLevel="0" collapsed="false">
      <c r="A405" s="14" t="n">
        <v>404</v>
      </c>
      <c r="B405" s="14" t="n">
        <v>3</v>
      </c>
      <c r="C405" s="14" t="s">
        <v>125</v>
      </c>
      <c r="D405" s="17" t="s">
        <v>1042</v>
      </c>
      <c r="E405" s="14" t="s">
        <v>117</v>
      </c>
      <c r="F405" s="15" t="s">
        <v>1000</v>
      </c>
      <c r="G405" s="14" t="s">
        <v>505</v>
      </c>
      <c r="H405" s="14" t="s">
        <v>990</v>
      </c>
      <c r="I405" s="15" t="s">
        <v>185</v>
      </c>
      <c r="J405" s="17" t="s">
        <v>1043</v>
      </c>
      <c r="K405" s="16" t="n">
        <f aca="false">ROUND((IF(E405="Transactional",5,IF(E405="Commercial",4,IF(E405="Comparison",3,IF(E405="Informational",2,3))))*LOG10(IF(ISNUMBER(L405),L405,IFERROR(VALUE(LEFT(F405,FIND("-",F405)-1)),100))+1))/IF(IF(ISBLANK(M405),G405,M405)="High",5,IF(IF(ISBLANK(M405),G405,M405)="Medium",3,1)),2)</f>
        <v>8.72</v>
      </c>
      <c r="L405" s="14"/>
      <c r="M405" s="14"/>
      <c r="N405" s="14"/>
      <c r="O405" s="14" t="s">
        <v>123</v>
      </c>
      <c r="P405" s="15"/>
    </row>
    <row r="406" customFormat="false" ht="25.5" hidden="false" customHeight="true" outlineLevel="0" collapsed="false">
      <c r="A406" s="14" t="n">
        <v>405</v>
      </c>
      <c r="B406" s="14" t="n">
        <v>3</v>
      </c>
      <c r="C406" s="14" t="s">
        <v>115</v>
      </c>
      <c r="D406" s="15" t="s">
        <v>1044</v>
      </c>
      <c r="E406" s="14" t="s">
        <v>117</v>
      </c>
      <c r="F406" s="15" t="s">
        <v>1019</v>
      </c>
      <c r="G406" s="14" t="s">
        <v>505</v>
      </c>
      <c r="H406" s="14" t="s">
        <v>990</v>
      </c>
      <c r="I406" s="15" t="s">
        <v>185</v>
      </c>
      <c r="J406" s="15" t="s">
        <v>1045</v>
      </c>
      <c r="K406" s="16" t="n">
        <f aca="false">ROUND((IF(E406="Transactional",5,IF(E406="Commercial",4,IF(E406="Comparison",3,IF(E406="Informational",2,3))))*LOG10(IF(ISNUMBER(L406),L406,IFERROR(VALUE(LEFT(F406,FIND("-",F406)-1)),100))+1))/IF(IF(ISBLANK(M406),G406,M406)="High",5,IF(IF(ISBLANK(M406),G406,M406)="Medium",3,1)),2)</f>
        <v>8.02</v>
      </c>
      <c r="L406" s="14"/>
      <c r="M406" s="14"/>
      <c r="N406" s="14"/>
      <c r="O406" s="14" t="s">
        <v>123</v>
      </c>
      <c r="P406" s="15" t="s">
        <v>992</v>
      </c>
    </row>
    <row r="407" customFormat="false" ht="25.5" hidden="false" customHeight="true" outlineLevel="0" collapsed="false">
      <c r="A407" s="14" t="n">
        <v>406</v>
      </c>
      <c r="B407" s="14" t="n">
        <v>3</v>
      </c>
      <c r="C407" s="14" t="s">
        <v>125</v>
      </c>
      <c r="D407" s="17" t="s">
        <v>1046</v>
      </c>
      <c r="E407" s="14" t="s">
        <v>117</v>
      </c>
      <c r="F407" s="15" t="s">
        <v>1022</v>
      </c>
      <c r="G407" s="14" t="s">
        <v>505</v>
      </c>
      <c r="H407" s="14" t="s">
        <v>990</v>
      </c>
      <c r="I407" s="15" t="s">
        <v>185</v>
      </c>
      <c r="J407" s="17" t="s">
        <v>1047</v>
      </c>
      <c r="K407" s="16" t="n">
        <f aca="false">ROUND((IF(E407="Transactional",5,IF(E407="Commercial",4,IF(E407="Comparison",3,IF(E407="Informational",2,3))))*LOG10(IF(ISNUMBER(L407),L407,IFERROR(VALUE(LEFT(F407,FIND("-",F407)-1)),100))+1))/IF(IF(ISBLANK(M407),G407,M407)="High",5,IF(IF(ISBLANK(M407),G407,M407)="Medium",3,1)),2)</f>
        <v>7.63</v>
      </c>
      <c r="L407" s="14"/>
      <c r="M407" s="14"/>
      <c r="N407" s="14"/>
      <c r="O407" s="14" t="s">
        <v>123</v>
      </c>
      <c r="P407" s="15"/>
    </row>
    <row r="408" customFormat="false" ht="25.5" hidden="false" customHeight="true" outlineLevel="0" collapsed="false">
      <c r="A408" s="14" t="n">
        <v>407</v>
      </c>
      <c r="B408" s="14" t="n">
        <v>3</v>
      </c>
      <c r="C408" s="14" t="s">
        <v>115</v>
      </c>
      <c r="D408" s="15" t="s">
        <v>1048</v>
      </c>
      <c r="E408" s="14" t="s">
        <v>117</v>
      </c>
      <c r="F408" s="15" t="s">
        <v>997</v>
      </c>
      <c r="G408" s="14" t="s">
        <v>505</v>
      </c>
      <c r="H408" s="14" t="s">
        <v>990</v>
      </c>
      <c r="I408" s="15" t="s">
        <v>185</v>
      </c>
      <c r="J408" s="15" t="s">
        <v>1049</v>
      </c>
      <c r="K408" s="16" t="n">
        <f aca="false">ROUND((IF(E408="Transactional",5,IF(E408="Commercial",4,IF(E408="Comparison",3,IF(E408="Informational",2,3))))*LOG10(IF(ISNUMBER(L408),L408,IFERROR(VALUE(LEFT(F408,FIND("-",F408)-1)),100))+1))/IF(IF(ISBLANK(M408),G408,M408)="High",5,IF(IF(ISBLANK(M408),G408,M408)="Medium",3,1)),2)</f>
        <v>9.21</v>
      </c>
      <c r="L408" s="14"/>
      <c r="M408" s="14"/>
      <c r="N408" s="14"/>
      <c r="O408" s="14" t="s">
        <v>123</v>
      </c>
      <c r="P408" s="15" t="s">
        <v>992</v>
      </c>
    </row>
    <row r="409" customFormat="false" ht="25.5" hidden="false" customHeight="true" outlineLevel="0" collapsed="false">
      <c r="A409" s="14" t="n">
        <v>408</v>
      </c>
      <c r="B409" s="14" t="n">
        <v>3</v>
      </c>
      <c r="C409" s="14" t="s">
        <v>125</v>
      </c>
      <c r="D409" s="17" t="s">
        <v>1050</v>
      </c>
      <c r="E409" s="14" t="s">
        <v>117</v>
      </c>
      <c r="F409" s="15" t="s">
        <v>1000</v>
      </c>
      <c r="G409" s="14" t="s">
        <v>505</v>
      </c>
      <c r="H409" s="14" t="s">
        <v>990</v>
      </c>
      <c r="I409" s="15" t="s">
        <v>185</v>
      </c>
      <c r="J409" s="17" t="s">
        <v>1051</v>
      </c>
      <c r="K409" s="16" t="n">
        <f aca="false">ROUND((IF(E409="Transactional",5,IF(E409="Commercial",4,IF(E409="Comparison",3,IF(E409="Informational",2,3))))*LOG10(IF(ISNUMBER(L409),L409,IFERROR(VALUE(LEFT(F409,FIND("-",F409)-1)),100))+1))/IF(IF(ISBLANK(M409),G409,M409)="High",5,IF(IF(ISBLANK(M409),G409,M409)="Medium",3,1)),2)</f>
        <v>8.72</v>
      </c>
      <c r="L409" s="14"/>
      <c r="M409" s="14"/>
      <c r="N409" s="14"/>
      <c r="O409" s="14" t="s">
        <v>123</v>
      </c>
      <c r="P409" s="15"/>
    </row>
    <row r="410" customFormat="false" ht="25.5" hidden="false" customHeight="true" outlineLevel="0" collapsed="false">
      <c r="A410" s="14" t="n">
        <v>409</v>
      </c>
      <c r="B410" s="14" t="n">
        <v>3</v>
      </c>
      <c r="C410" s="14" t="s">
        <v>115</v>
      </c>
      <c r="D410" s="15" t="s">
        <v>1052</v>
      </c>
      <c r="E410" s="14" t="s">
        <v>117</v>
      </c>
      <c r="F410" s="15" t="s">
        <v>1019</v>
      </c>
      <c r="G410" s="14" t="s">
        <v>505</v>
      </c>
      <c r="H410" s="14" t="s">
        <v>990</v>
      </c>
      <c r="I410" s="15" t="s">
        <v>185</v>
      </c>
      <c r="J410" s="15" t="s">
        <v>1053</v>
      </c>
      <c r="K410" s="16" t="n">
        <f aca="false">ROUND((IF(E410="Transactional",5,IF(E410="Commercial",4,IF(E410="Comparison",3,IF(E410="Informational",2,3))))*LOG10(IF(ISNUMBER(L410),L410,IFERROR(VALUE(LEFT(F410,FIND("-",F410)-1)),100))+1))/IF(IF(ISBLANK(M410),G410,M410)="High",5,IF(IF(ISBLANK(M410),G410,M410)="Medium",3,1)),2)</f>
        <v>8.02</v>
      </c>
      <c r="L410" s="14"/>
      <c r="M410" s="14"/>
      <c r="N410" s="14"/>
      <c r="O410" s="14" t="s">
        <v>123</v>
      </c>
      <c r="P410" s="15" t="s">
        <v>992</v>
      </c>
    </row>
    <row r="411" customFormat="false" ht="25.5" hidden="false" customHeight="true" outlineLevel="0" collapsed="false">
      <c r="A411" s="14" t="n">
        <v>410</v>
      </c>
      <c r="B411" s="14" t="n">
        <v>3</v>
      </c>
      <c r="C411" s="14" t="s">
        <v>125</v>
      </c>
      <c r="D411" s="17" t="s">
        <v>1054</v>
      </c>
      <c r="E411" s="14" t="s">
        <v>117</v>
      </c>
      <c r="F411" s="15" t="s">
        <v>1022</v>
      </c>
      <c r="G411" s="14" t="s">
        <v>505</v>
      </c>
      <c r="H411" s="14" t="s">
        <v>990</v>
      </c>
      <c r="I411" s="15" t="s">
        <v>185</v>
      </c>
      <c r="J411" s="17" t="s">
        <v>1055</v>
      </c>
      <c r="K411" s="16" t="n">
        <f aca="false">ROUND((IF(E411="Transactional",5,IF(E411="Commercial",4,IF(E411="Comparison",3,IF(E411="Informational",2,3))))*LOG10(IF(ISNUMBER(L411),L411,IFERROR(VALUE(LEFT(F411,FIND("-",F411)-1)),100))+1))/IF(IF(ISBLANK(M411),G411,M411)="High",5,IF(IF(ISBLANK(M411),G411,M411)="Medium",3,1)),2)</f>
        <v>7.63</v>
      </c>
      <c r="L411" s="14"/>
      <c r="M411" s="14"/>
      <c r="N411" s="14"/>
      <c r="O411" s="14" t="s">
        <v>123</v>
      </c>
      <c r="P411" s="15"/>
    </row>
    <row r="412" customFormat="false" ht="25.5" hidden="false" customHeight="true" outlineLevel="0" collapsed="false">
      <c r="A412" s="14" t="n">
        <v>411</v>
      </c>
      <c r="B412" s="14" t="n">
        <v>3</v>
      </c>
      <c r="C412" s="14" t="s">
        <v>115</v>
      </c>
      <c r="D412" s="15" t="s">
        <v>1056</v>
      </c>
      <c r="E412" s="14" t="s">
        <v>117</v>
      </c>
      <c r="F412" s="15" t="s">
        <v>997</v>
      </c>
      <c r="G412" s="14" t="s">
        <v>505</v>
      </c>
      <c r="H412" s="14" t="s">
        <v>990</v>
      </c>
      <c r="I412" s="15" t="s">
        <v>272</v>
      </c>
      <c r="J412" s="15" t="s">
        <v>1057</v>
      </c>
      <c r="K412" s="16" t="n">
        <f aca="false">ROUND((IF(E412="Transactional",5,IF(E412="Commercial",4,IF(E412="Comparison",3,IF(E412="Informational",2,3))))*LOG10(IF(ISNUMBER(L412),L412,IFERROR(VALUE(LEFT(F412,FIND("-",F412)-1)),100))+1))/IF(IF(ISBLANK(M412),G412,M412)="High",5,IF(IF(ISBLANK(M412),G412,M412)="Medium",3,1)),2)</f>
        <v>9.21</v>
      </c>
      <c r="L412" s="14"/>
      <c r="M412" s="14"/>
      <c r="N412" s="14"/>
      <c r="O412" s="14" t="s">
        <v>123</v>
      </c>
      <c r="P412" s="15" t="s">
        <v>992</v>
      </c>
    </row>
    <row r="413" customFormat="false" ht="25.5" hidden="false" customHeight="true" outlineLevel="0" collapsed="false">
      <c r="A413" s="14" t="n">
        <v>412</v>
      </c>
      <c r="B413" s="14" t="n">
        <v>3</v>
      </c>
      <c r="C413" s="14" t="s">
        <v>125</v>
      </c>
      <c r="D413" s="17" t="s">
        <v>1058</v>
      </c>
      <c r="E413" s="14" t="s">
        <v>117</v>
      </c>
      <c r="F413" s="15" t="s">
        <v>1000</v>
      </c>
      <c r="G413" s="14" t="s">
        <v>505</v>
      </c>
      <c r="H413" s="14" t="s">
        <v>990</v>
      </c>
      <c r="I413" s="15" t="s">
        <v>272</v>
      </c>
      <c r="J413" s="17" t="s">
        <v>1059</v>
      </c>
      <c r="K413" s="16" t="n">
        <f aca="false">ROUND((IF(E413="Transactional",5,IF(E413="Commercial",4,IF(E413="Comparison",3,IF(E413="Informational",2,3))))*LOG10(IF(ISNUMBER(L413),L413,IFERROR(VALUE(LEFT(F413,FIND("-",F413)-1)),100))+1))/IF(IF(ISBLANK(M413),G413,M413)="High",5,IF(IF(ISBLANK(M413),G413,M413)="Medium",3,1)),2)</f>
        <v>8.72</v>
      </c>
      <c r="L413" s="14"/>
      <c r="M413" s="14"/>
      <c r="N413" s="14"/>
      <c r="O413" s="14" t="s">
        <v>123</v>
      </c>
      <c r="P413" s="15"/>
    </row>
    <row r="414" customFormat="false" ht="25.5" hidden="false" customHeight="true" outlineLevel="0" collapsed="false">
      <c r="A414" s="14" t="n">
        <v>413</v>
      </c>
      <c r="B414" s="14" t="n">
        <v>3</v>
      </c>
      <c r="C414" s="14" t="s">
        <v>115</v>
      </c>
      <c r="D414" s="15" t="s">
        <v>1060</v>
      </c>
      <c r="E414" s="14" t="s">
        <v>117</v>
      </c>
      <c r="F414" s="15" t="s">
        <v>997</v>
      </c>
      <c r="G414" s="14" t="s">
        <v>505</v>
      </c>
      <c r="H414" s="14" t="s">
        <v>990</v>
      </c>
      <c r="I414" s="15" t="s">
        <v>272</v>
      </c>
      <c r="J414" s="15" t="s">
        <v>1061</v>
      </c>
      <c r="K414" s="16" t="n">
        <f aca="false">ROUND((IF(E414="Transactional",5,IF(E414="Commercial",4,IF(E414="Comparison",3,IF(E414="Informational",2,3))))*LOG10(IF(ISNUMBER(L414),L414,IFERROR(VALUE(LEFT(F414,FIND("-",F414)-1)),100))+1))/IF(IF(ISBLANK(M414),G414,M414)="High",5,IF(IF(ISBLANK(M414),G414,M414)="Medium",3,1)),2)</f>
        <v>9.21</v>
      </c>
      <c r="L414" s="14"/>
      <c r="M414" s="14"/>
      <c r="N414" s="14"/>
      <c r="O414" s="14" t="s">
        <v>123</v>
      </c>
      <c r="P414" s="15" t="s">
        <v>992</v>
      </c>
    </row>
    <row r="415" customFormat="false" ht="25.5" hidden="false" customHeight="true" outlineLevel="0" collapsed="false">
      <c r="A415" s="14" t="n">
        <v>414</v>
      </c>
      <c r="B415" s="14" t="n">
        <v>3</v>
      </c>
      <c r="C415" s="14" t="s">
        <v>125</v>
      </c>
      <c r="D415" s="17" t="s">
        <v>1062</v>
      </c>
      <c r="E415" s="14" t="s">
        <v>117</v>
      </c>
      <c r="F415" s="15" t="s">
        <v>1000</v>
      </c>
      <c r="G415" s="14" t="s">
        <v>505</v>
      </c>
      <c r="H415" s="14" t="s">
        <v>990</v>
      </c>
      <c r="I415" s="15" t="s">
        <v>272</v>
      </c>
      <c r="J415" s="17" t="s">
        <v>1063</v>
      </c>
      <c r="K415" s="16" t="n">
        <f aca="false">ROUND((IF(E415="Transactional",5,IF(E415="Commercial",4,IF(E415="Comparison",3,IF(E415="Informational",2,3))))*LOG10(IF(ISNUMBER(L415),L415,IFERROR(VALUE(LEFT(F415,FIND("-",F415)-1)),100))+1))/IF(IF(ISBLANK(M415),G415,M415)="High",5,IF(IF(ISBLANK(M415),G415,M415)="Medium",3,1)),2)</f>
        <v>8.72</v>
      </c>
      <c r="L415" s="14"/>
      <c r="M415" s="14"/>
      <c r="N415" s="14"/>
      <c r="O415" s="14" t="s">
        <v>123</v>
      </c>
      <c r="P415" s="15"/>
    </row>
    <row r="416" customFormat="false" ht="25.5" hidden="false" customHeight="true" outlineLevel="0" collapsed="false">
      <c r="A416" s="14" t="n">
        <v>415</v>
      </c>
      <c r="B416" s="14" t="n">
        <v>3</v>
      </c>
      <c r="C416" s="14" t="s">
        <v>115</v>
      </c>
      <c r="D416" s="15" t="s">
        <v>1064</v>
      </c>
      <c r="E416" s="14" t="s">
        <v>117</v>
      </c>
      <c r="F416" s="15" t="s">
        <v>997</v>
      </c>
      <c r="G416" s="14" t="s">
        <v>505</v>
      </c>
      <c r="H416" s="14" t="s">
        <v>990</v>
      </c>
      <c r="I416" s="15" t="s">
        <v>272</v>
      </c>
      <c r="J416" s="15" t="s">
        <v>1065</v>
      </c>
      <c r="K416" s="16" t="n">
        <f aca="false">ROUND((IF(E416="Transactional",5,IF(E416="Commercial",4,IF(E416="Comparison",3,IF(E416="Informational",2,3))))*LOG10(IF(ISNUMBER(L416),L416,IFERROR(VALUE(LEFT(F416,FIND("-",F416)-1)),100))+1))/IF(IF(ISBLANK(M416),G416,M416)="High",5,IF(IF(ISBLANK(M416),G416,M416)="Medium",3,1)),2)</f>
        <v>9.21</v>
      </c>
      <c r="L416" s="14"/>
      <c r="M416" s="14"/>
      <c r="N416" s="14"/>
      <c r="O416" s="14" t="s">
        <v>123</v>
      </c>
      <c r="P416" s="15" t="s">
        <v>992</v>
      </c>
    </row>
    <row r="417" customFormat="false" ht="25.5" hidden="false" customHeight="true" outlineLevel="0" collapsed="false">
      <c r="A417" s="14" t="n">
        <v>416</v>
      </c>
      <c r="B417" s="14" t="n">
        <v>3</v>
      </c>
      <c r="C417" s="14" t="s">
        <v>125</v>
      </c>
      <c r="D417" s="17" t="s">
        <v>1066</v>
      </c>
      <c r="E417" s="14" t="s">
        <v>117</v>
      </c>
      <c r="F417" s="15" t="s">
        <v>1000</v>
      </c>
      <c r="G417" s="14" t="s">
        <v>505</v>
      </c>
      <c r="H417" s="14" t="s">
        <v>990</v>
      </c>
      <c r="I417" s="15" t="s">
        <v>272</v>
      </c>
      <c r="J417" s="17" t="s">
        <v>1067</v>
      </c>
      <c r="K417" s="16" t="n">
        <f aca="false">ROUND((IF(E417="Transactional",5,IF(E417="Commercial",4,IF(E417="Comparison",3,IF(E417="Informational",2,3))))*LOG10(IF(ISNUMBER(L417),L417,IFERROR(VALUE(LEFT(F417,FIND("-",F417)-1)),100))+1))/IF(IF(ISBLANK(M417),G417,M417)="High",5,IF(IF(ISBLANK(M417),G417,M417)="Medium",3,1)),2)</f>
        <v>8.72</v>
      </c>
      <c r="L417" s="14"/>
      <c r="M417" s="14"/>
      <c r="N417" s="14"/>
      <c r="O417" s="14" t="s">
        <v>123</v>
      </c>
      <c r="P417" s="15"/>
    </row>
    <row r="418" customFormat="false" ht="25.5" hidden="false" customHeight="true" outlineLevel="0" collapsed="false">
      <c r="A418" s="14" t="n">
        <v>417</v>
      </c>
      <c r="B418" s="14" t="n">
        <v>3</v>
      </c>
      <c r="C418" s="14" t="s">
        <v>115</v>
      </c>
      <c r="D418" s="15" t="s">
        <v>1068</v>
      </c>
      <c r="E418" s="14" t="s">
        <v>117</v>
      </c>
      <c r="F418" s="15" t="s">
        <v>1019</v>
      </c>
      <c r="G418" s="14" t="s">
        <v>505</v>
      </c>
      <c r="H418" s="14" t="s">
        <v>990</v>
      </c>
      <c r="I418" s="15" t="s">
        <v>254</v>
      </c>
      <c r="J418" s="15" t="s">
        <v>1069</v>
      </c>
      <c r="K418" s="16" t="n">
        <f aca="false">ROUND((IF(E418="Transactional",5,IF(E418="Commercial",4,IF(E418="Comparison",3,IF(E418="Informational",2,3))))*LOG10(IF(ISNUMBER(L418),L418,IFERROR(VALUE(LEFT(F418,FIND("-",F418)-1)),100))+1))/IF(IF(ISBLANK(M418),G418,M418)="High",5,IF(IF(ISBLANK(M418),G418,M418)="Medium",3,1)),2)</f>
        <v>8.02</v>
      </c>
      <c r="L418" s="14"/>
      <c r="M418" s="14"/>
      <c r="N418" s="14"/>
      <c r="O418" s="14" t="s">
        <v>123</v>
      </c>
      <c r="P418" s="15" t="s">
        <v>992</v>
      </c>
    </row>
    <row r="419" customFormat="false" ht="25.5" hidden="false" customHeight="true" outlineLevel="0" collapsed="false">
      <c r="A419" s="14" t="n">
        <v>418</v>
      </c>
      <c r="B419" s="14" t="n">
        <v>3</v>
      </c>
      <c r="C419" s="14" t="s">
        <v>125</v>
      </c>
      <c r="D419" s="17" t="s">
        <v>1070</v>
      </c>
      <c r="E419" s="14" t="s">
        <v>117</v>
      </c>
      <c r="F419" s="15" t="s">
        <v>1022</v>
      </c>
      <c r="G419" s="14" t="s">
        <v>505</v>
      </c>
      <c r="H419" s="14" t="s">
        <v>990</v>
      </c>
      <c r="I419" s="15" t="s">
        <v>254</v>
      </c>
      <c r="J419" s="17" t="s">
        <v>1071</v>
      </c>
      <c r="K419" s="16" t="n">
        <f aca="false">ROUND((IF(E419="Transactional",5,IF(E419="Commercial",4,IF(E419="Comparison",3,IF(E419="Informational",2,3))))*LOG10(IF(ISNUMBER(L419),L419,IFERROR(VALUE(LEFT(F419,FIND("-",F419)-1)),100))+1))/IF(IF(ISBLANK(M419),G419,M419)="High",5,IF(IF(ISBLANK(M419),G419,M419)="Medium",3,1)),2)</f>
        <v>7.63</v>
      </c>
      <c r="L419" s="14"/>
      <c r="M419" s="14"/>
      <c r="N419" s="14"/>
      <c r="O419" s="14" t="s">
        <v>123</v>
      </c>
      <c r="P419" s="15"/>
    </row>
    <row r="420" customFormat="false" ht="25.5" hidden="false" customHeight="true" outlineLevel="0" collapsed="false">
      <c r="A420" s="14" t="n">
        <v>419</v>
      </c>
      <c r="B420" s="14" t="n">
        <v>3</v>
      </c>
      <c r="C420" s="14" t="s">
        <v>115</v>
      </c>
      <c r="D420" s="15" t="s">
        <v>1072</v>
      </c>
      <c r="E420" s="14" t="s">
        <v>117</v>
      </c>
      <c r="F420" s="15" t="s">
        <v>997</v>
      </c>
      <c r="G420" s="14" t="s">
        <v>505</v>
      </c>
      <c r="H420" s="14" t="s">
        <v>990</v>
      </c>
      <c r="I420" s="15" t="s">
        <v>472</v>
      </c>
      <c r="J420" s="15" t="s">
        <v>1073</v>
      </c>
      <c r="K420" s="16" t="n">
        <f aca="false">ROUND((IF(E420="Transactional",5,IF(E420="Commercial",4,IF(E420="Comparison",3,IF(E420="Informational",2,3))))*LOG10(IF(ISNUMBER(L420),L420,IFERROR(VALUE(LEFT(F420,FIND("-",F420)-1)),100))+1))/IF(IF(ISBLANK(M420),G420,M420)="High",5,IF(IF(ISBLANK(M420),G420,M420)="Medium",3,1)),2)</f>
        <v>9.21</v>
      </c>
      <c r="L420" s="14"/>
      <c r="M420" s="14"/>
      <c r="N420" s="14"/>
      <c r="O420" s="14" t="s">
        <v>123</v>
      </c>
      <c r="P420" s="15" t="s">
        <v>992</v>
      </c>
    </row>
    <row r="421" customFormat="false" ht="25.5" hidden="false" customHeight="true" outlineLevel="0" collapsed="false">
      <c r="A421" s="14" t="n">
        <v>420</v>
      </c>
      <c r="B421" s="14" t="n">
        <v>3</v>
      </c>
      <c r="C421" s="14" t="s">
        <v>125</v>
      </c>
      <c r="D421" s="17" t="s">
        <v>1074</v>
      </c>
      <c r="E421" s="14" t="s">
        <v>117</v>
      </c>
      <c r="F421" s="15" t="s">
        <v>1000</v>
      </c>
      <c r="G421" s="14" t="s">
        <v>505</v>
      </c>
      <c r="H421" s="14" t="s">
        <v>990</v>
      </c>
      <c r="I421" s="15" t="s">
        <v>472</v>
      </c>
      <c r="J421" s="17" t="s">
        <v>1075</v>
      </c>
      <c r="K421" s="16" t="n">
        <f aca="false">ROUND((IF(E421="Transactional",5,IF(E421="Commercial",4,IF(E421="Comparison",3,IF(E421="Informational",2,3))))*LOG10(IF(ISNUMBER(L421),L421,IFERROR(VALUE(LEFT(F421,FIND("-",F421)-1)),100))+1))/IF(IF(ISBLANK(M421),G421,M421)="High",5,IF(IF(ISBLANK(M421),G421,M421)="Medium",3,1)),2)</f>
        <v>8.72</v>
      </c>
      <c r="L421" s="14"/>
      <c r="M421" s="14"/>
      <c r="N421" s="14"/>
      <c r="O421" s="14" t="s">
        <v>123</v>
      </c>
      <c r="P421" s="15"/>
    </row>
    <row r="422" customFormat="false" ht="25.5" hidden="false" customHeight="true" outlineLevel="0" collapsed="false">
      <c r="A422" s="14" t="n">
        <v>421</v>
      </c>
      <c r="B422" s="14" t="n">
        <v>3</v>
      </c>
      <c r="C422" s="14" t="s">
        <v>115</v>
      </c>
      <c r="D422" s="15" t="s">
        <v>1076</v>
      </c>
      <c r="E422" s="14" t="s">
        <v>117</v>
      </c>
      <c r="F422" s="15" t="s">
        <v>997</v>
      </c>
      <c r="G422" s="14" t="s">
        <v>505</v>
      </c>
      <c r="H422" s="14" t="s">
        <v>990</v>
      </c>
      <c r="I422" s="15" t="s">
        <v>472</v>
      </c>
      <c r="J422" s="15" t="s">
        <v>1077</v>
      </c>
      <c r="K422" s="16" t="n">
        <f aca="false">ROUND((IF(E422="Transactional",5,IF(E422="Commercial",4,IF(E422="Comparison",3,IF(E422="Informational",2,3))))*LOG10(IF(ISNUMBER(L422),L422,IFERROR(VALUE(LEFT(F422,FIND("-",F422)-1)),100))+1))/IF(IF(ISBLANK(M422),G422,M422)="High",5,IF(IF(ISBLANK(M422),G422,M422)="Medium",3,1)),2)</f>
        <v>9.21</v>
      </c>
      <c r="L422" s="14"/>
      <c r="M422" s="14"/>
      <c r="N422" s="14"/>
      <c r="O422" s="14" t="s">
        <v>123</v>
      </c>
      <c r="P422" s="15" t="s">
        <v>992</v>
      </c>
    </row>
    <row r="423" customFormat="false" ht="25.5" hidden="false" customHeight="true" outlineLevel="0" collapsed="false">
      <c r="A423" s="14" t="n">
        <v>422</v>
      </c>
      <c r="B423" s="14" t="n">
        <v>3</v>
      </c>
      <c r="C423" s="14" t="s">
        <v>125</v>
      </c>
      <c r="D423" s="17" t="s">
        <v>1078</v>
      </c>
      <c r="E423" s="14" t="s">
        <v>117</v>
      </c>
      <c r="F423" s="15" t="s">
        <v>1000</v>
      </c>
      <c r="G423" s="14" t="s">
        <v>505</v>
      </c>
      <c r="H423" s="14" t="s">
        <v>990</v>
      </c>
      <c r="I423" s="15" t="s">
        <v>472</v>
      </c>
      <c r="J423" s="17" t="s">
        <v>1079</v>
      </c>
      <c r="K423" s="16" t="n">
        <f aca="false">ROUND((IF(E423="Transactional",5,IF(E423="Commercial",4,IF(E423="Comparison",3,IF(E423="Informational",2,3))))*LOG10(IF(ISNUMBER(L423),L423,IFERROR(VALUE(LEFT(F423,FIND("-",F423)-1)),100))+1))/IF(IF(ISBLANK(M423),G423,M423)="High",5,IF(IF(ISBLANK(M423),G423,M423)="Medium",3,1)),2)</f>
        <v>8.72</v>
      </c>
      <c r="L423" s="14"/>
      <c r="M423" s="14"/>
      <c r="N423" s="14"/>
      <c r="O423" s="14" t="s">
        <v>123</v>
      </c>
      <c r="P423" s="15"/>
    </row>
    <row r="424" customFormat="false" ht="25.5" hidden="false" customHeight="true" outlineLevel="0" collapsed="false">
      <c r="A424" s="14" t="n">
        <v>423</v>
      </c>
      <c r="B424" s="14" t="n">
        <v>3</v>
      </c>
      <c r="C424" s="14" t="s">
        <v>115</v>
      </c>
      <c r="D424" s="15" t="s">
        <v>1080</v>
      </c>
      <c r="E424" s="14" t="s">
        <v>117</v>
      </c>
      <c r="F424" s="15" t="s">
        <v>997</v>
      </c>
      <c r="G424" s="14" t="s">
        <v>505</v>
      </c>
      <c r="H424" s="14" t="s">
        <v>990</v>
      </c>
      <c r="I424" s="15" t="s">
        <v>461</v>
      </c>
      <c r="J424" s="15" t="s">
        <v>1081</v>
      </c>
      <c r="K424" s="16" t="n">
        <f aca="false">ROUND((IF(E424="Transactional",5,IF(E424="Commercial",4,IF(E424="Comparison",3,IF(E424="Informational",2,3))))*LOG10(IF(ISNUMBER(L424),L424,IFERROR(VALUE(LEFT(F424,FIND("-",F424)-1)),100))+1))/IF(IF(ISBLANK(M424),G424,M424)="High",5,IF(IF(ISBLANK(M424),G424,M424)="Medium",3,1)),2)</f>
        <v>9.21</v>
      </c>
      <c r="L424" s="14"/>
      <c r="M424" s="14"/>
      <c r="N424" s="14"/>
      <c r="O424" s="14" t="s">
        <v>123</v>
      </c>
      <c r="P424" s="15" t="s">
        <v>992</v>
      </c>
    </row>
    <row r="425" customFormat="false" ht="25.5" hidden="false" customHeight="true" outlineLevel="0" collapsed="false">
      <c r="A425" s="14" t="n">
        <v>424</v>
      </c>
      <c r="B425" s="14" t="n">
        <v>3</v>
      </c>
      <c r="C425" s="14" t="s">
        <v>125</v>
      </c>
      <c r="D425" s="17" t="s">
        <v>1082</v>
      </c>
      <c r="E425" s="14" t="s">
        <v>117</v>
      </c>
      <c r="F425" s="15" t="s">
        <v>1000</v>
      </c>
      <c r="G425" s="14" t="s">
        <v>505</v>
      </c>
      <c r="H425" s="14" t="s">
        <v>990</v>
      </c>
      <c r="I425" s="15" t="s">
        <v>461</v>
      </c>
      <c r="J425" s="17" t="s">
        <v>1083</v>
      </c>
      <c r="K425" s="16" t="n">
        <f aca="false">ROUND((IF(E425="Transactional",5,IF(E425="Commercial",4,IF(E425="Comparison",3,IF(E425="Informational",2,3))))*LOG10(IF(ISNUMBER(L425),L425,IFERROR(VALUE(LEFT(F425,FIND("-",F425)-1)),100))+1))/IF(IF(ISBLANK(M425),G425,M425)="High",5,IF(IF(ISBLANK(M425),G425,M425)="Medium",3,1)),2)</f>
        <v>8.72</v>
      </c>
      <c r="L425" s="14"/>
      <c r="M425" s="14"/>
      <c r="N425" s="14"/>
      <c r="O425" s="14" t="s">
        <v>123</v>
      </c>
      <c r="P425" s="15"/>
    </row>
    <row r="426" customFormat="false" ht="25.5" hidden="false" customHeight="true" outlineLevel="0" collapsed="false">
      <c r="A426" s="14" t="n">
        <v>425</v>
      </c>
      <c r="B426" s="14" t="n">
        <v>3</v>
      </c>
      <c r="C426" s="14" t="s">
        <v>115</v>
      </c>
      <c r="D426" s="15" t="s">
        <v>1084</v>
      </c>
      <c r="E426" s="14" t="s">
        <v>117</v>
      </c>
      <c r="F426" s="15" t="s">
        <v>997</v>
      </c>
      <c r="G426" s="14" t="s">
        <v>505</v>
      </c>
      <c r="H426" s="14" t="s">
        <v>990</v>
      </c>
      <c r="I426" s="15" t="s">
        <v>461</v>
      </c>
      <c r="J426" s="15" t="s">
        <v>1085</v>
      </c>
      <c r="K426" s="16" t="n">
        <f aca="false">ROUND((IF(E426="Transactional",5,IF(E426="Commercial",4,IF(E426="Comparison",3,IF(E426="Informational",2,3))))*LOG10(IF(ISNUMBER(L426),L426,IFERROR(VALUE(LEFT(F426,FIND("-",F426)-1)),100))+1))/IF(IF(ISBLANK(M426),G426,M426)="High",5,IF(IF(ISBLANK(M426),G426,M426)="Medium",3,1)),2)</f>
        <v>9.21</v>
      </c>
      <c r="L426" s="14"/>
      <c r="M426" s="14"/>
      <c r="N426" s="14"/>
      <c r="O426" s="14" t="s">
        <v>123</v>
      </c>
      <c r="P426" s="15" t="s">
        <v>992</v>
      </c>
    </row>
    <row r="427" customFormat="false" ht="25.5" hidden="false" customHeight="true" outlineLevel="0" collapsed="false">
      <c r="A427" s="14" t="n">
        <v>426</v>
      </c>
      <c r="B427" s="14" t="n">
        <v>3</v>
      </c>
      <c r="C427" s="14" t="s">
        <v>125</v>
      </c>
      <c r="D427" s="17" t="s">
        <v>1086</v>
      </c>
      <c r="E427" s="14" t="s">
        <v>117</v>
      </c>
      <c r="F427" s="15" t="s">
        <v>1000</v>
      </c>
      <c r="G427" s="14" t="s">
        <v>505</v>
      </c>
      <c r="H427" s="14" t="s">
        <v>990</v>
      </c>
      <c r="I427" s="15" t="s">
        <v>461</v>
      </c>
      <c r="J427" s="17" t="s">
        <v>1087</v>
      </c>
      <c r="K427" s="16" t="n">
        <f aca="false">ROUND((IF(E427="Transactional",5,IF(E427="Commercial",4,IF(E427="Comparison",3,IF(E427="Informational",2,3))))*LOG10(IF(ISNUMBER(L427),L427,IFERROR(VALUE(LEFT(F427,FIND("-",F427)-1)),100))+1))/IF(IF(ISBLANK(M427),G427,M427)="High",5,IF(IF(ISBLANK(M427),G427,M427)="Medium",3,1)),2)</f>
        <v>8.72</v>
      </c>
      <c r="L427" s="14"/>
      <c r="M427" s="14"/>
      <c r="N427" s="14"/>
      <c r="O427" s="14" t="s">
        <v>123</v>
      </c>
      <c r="P427" s="15"/>
    </row>
    <row r="428" customFormat="false" ht="25.5" hidden="false" customHeight="true" outlineLevel="0" collapsed="false">
      <c r="A428" s="14" t="n">
        <v>427</v>
      </c>
      <c r="B428" s="14" t="n">
        <v>3</v>
      </c>
      <c r="C428" s="14" t="s">
        <v>115</v>
      </c>
      <c r="D428" s="15" t="s">
        <v>1088</v>
      </c>
      <c r="E428" s="14" t="s">
        <v>117</v>
      </c>
      <c r="F428" s="15" t="s">
        <v>997</v>
      </c>
      <c r="G428" s="14" t="s">
        <v>505</v>
      </c>
      <c r="H428" s="14" t="s">
        <v>990</v>
      </c>
      <c r="I428" s="15" t="s">
        <v>461</v>
      </c>
      <c r="J428" s="15" t="s">
        <v>1089</v>
      </c>
      <c r="K428" s="16" t="n">
        <f aca="false">ROUND((IF(E428="Transactional",5,IF(E428="Commercial",4,IF(E428="Comparison",3,IF(E428="Informational",2,3))))*LOG10(IF(ISNUMBER(L428),L428,IFERROR(VALUE(LEFT(F428,FIND("-",F428)-1)),100))+1))/IF(IF(ISBLANK(M428),G428,M428)="High",5,IF(IF(ISBLANK(M428),G428,M428)="Medium",3,1)),2)</f>
        <v>9.21</v>
      </c>
      <c r="L428" s="14"/>
      <c r="M428" s="14"/>
      <c r="N428" s="14"/>
      <c r="O428" s="14" t="s">
        <v>123</v>
      </c>
      <c r="P428" s="15" t="s">
        <v>992</v>
      </c>
    </row>
    <row r="429" customFormat="false" ht="25.5" hidden="false" customHeight="true" outlineLevel="0" collapsed="false">
      <c r="A429" s="14" t="n">
        <v>428</v>
      </c>
      <c r="B429" s="14" t="n">
        <v>3</v>
      </c>
      <c r="C429" s="14" t="s">
        <v>125</v>
      </c>
      <c r="D429" s="17" t="s">
        <v>1090</v>
      </c>
      <c r="E429" s="14" t="s">
        <v>117</v>
      </c>
      <c r="F429" s="15" t="s">
        <v>1000</v>
      </c>
      <c r="G429" s="14" t="s">
        <v>505</v>
      </c>
      <c r="H429" s="14" t="s">
        <v>990</v>
      </c>
      <c r="I429" s="15" t="s">
        <v>461</v>
      </c>
      <c r="J429" s="17" t="s">
        <v>1091</v>
      </c>
      <c r="K429" s="16" t="n">
        <f aca="false">ROUND((IF(E429="Transactional",5,IF(E429="Commercial",4,IF(E429="Comparison",3,IF(E429="Informational",2,3))))*LOG10(IF(ISNUMBER(L429),L429,IFERROR(VALUE(LEFT(F429,FIND("-",F429)-1)),100))+1))/IF(IF(ISBLANK(M429),G429,M429)="High",5,IF(IF(ISBLANK(M429),G429,M429)="Medium",3,1)),2)</f>
        <v>8.72</v>
      </c>
      <c r="L429" s="14"/>
      <c r="M429" s="14"/>
      <c r="N429" s="14"/>
      <c r="O429" s="14" t="s">
        <v>123</v>
      </c>
      <c r="P429" s="15"/>
    </row>
    <row r="430" customFormat="false" ht="25.5" hidden="false" customHeight="true" outlineLevel="0" collapsed="false">
      <c r="A430" s="14" t="n">
        <v>429</v>
      </c>
      <c r="B430" s="14" t="n">
        <v>3</v>
      </c>
      <c r="C430" s="14" t="s">
        <v>115</v>
      </c>
      <c r="D430" s="15" t="s">
        <v>1092</v>
      </c>
      <c r="E430" s="14" t="s">
        <v>117</v>
      </c>
      <c r="F430" s="15" t="s">
        <v>1019</v>
      </c>
      <c r="G430" s="14" t="s">
        <v>505</v>
      </c>
      <c r="H430" s="14" t="s">
        <v>990</v>
      </c>
      <c r="I430" s="15" t="s">
        <v>260</v>
      </c>
      <c r="J430" s="15" t="s">
        <v>1093</v>
      </c>
      <c r="K430" s="16" t="n">
        <f aca="false">ROUND((IF(E430="Transactional",5,IF(E430="Commercial",4,IF(E430="Comparison",3,IF(E430="Informational",2,3))))*LOG10(IF(ISNUMBER(L430),L430,IFERROR(VALUE(LEFT(F430,FIND("-",F430)-1)),100))+1))/IF(IF(ISBLANK(M430),G430,M430)="High",5,IF(IF(ISBLANK(M430),G430,M430)="Medium",3,1)),2)</f>
        <v>8.02</v>
      </c>
      <c r="L430" s="14"/>
      <c r="M430" s="14"/>
      <c r="N430" s="14"/>
      <c r="O430" s="14" t="s">
        <v>123</v>
      </c>
      <c r="P430" s="15" t="s">
        <v>992</v>
      </c>
    </row>
    <row r="431" customFormat="false" ht="25.5" hidden="false" customHeight="true" outlineLevel="0" collapsed="false">
      <c r="A431" s="14" t="n">
        <v>430</v>
      </c>
      <c r="B431" s="14" t="n">
        <v>3</v>
      </c>
      <c r="C431" s="14" t="s">
        <v>125</v>
      </c>
      <c r="D431" s="17" t="s">
        <v>1094</v>
      </c>
      <c r="E431" s="14" t="s">
        <v>117</v>
      </c>
      <c r="F431" s="15" t="s">
        <v>1022</v>
      </c>
      <c r="G431" s="14" t="s">
        <v>505</v>
      </c>
      <c r="H431" s="14" t="s">
        <v>990</v>
      </c>
      <c r="I431" s="15" t="s">
        <v>260</v>
      </c>
      <c r="J431" s="17" t="s">
        <v>1095</v>
      </c>
      <c r="K431" s="16" t="n">
        <f aca="false">ROUND((IF(E431="Transactional",5,IF(E431="Commercial",4,IF(E431="Comparison",3,IF(E431="Informational",2,3))))*LOG10(IF(ISNUMBER(L431),L431,IFERROR(VALUE(LEFT(F431,FIND("-",F431)-1)),100))+1))/IF(IF(ISBLANK(M431),G431,M431)="High",5,IF(IF(ISBLANK(M431),G431,M431)="Medium",3,1)),2)</f>
        <v>7.63</v>
      </c>
      <c r="L431" s="14"/>
      <c r="M431" s="14"/>
      <c r="N431" s="14"/>
      <c r="O431" s="14" t="s">
        <v>123</v>
      </c>
      <c r="P431" s="15"/>
    </row>
    <row r="432" customFormat="false" ht="25.5" hidden="false" customHeight="true" outlineLevel="0" collapsed="false">
      <c r="A432" s="14" t="n">
        <v>431</v>
      </c>
      <c r="B432" s="14" t="n">
        <v>3</v>
      </c>
      <c r="C432" s="14" t="s">
        <v>115</v>
      </c>
      <c r="D432" s="15" t="s">
        <v>1096</v>
      </c>
      <c r="E432" s="14" t="s">
        <v>117</v>
      </c>
      <c r="F432" s="15" t="s">
        <v>1019</v>
      </c>
      <c r="G432" s="14" t="s">
        <v>505</v>
      </c>
      <c r="H432" s="14" t="s">
        <v>990</v>
      </c>
      <c r="I432" s="15" t="s">
        <v>260</v>
      </c>
      <c r="J432" s="15" t="s">
        <v>1097</v>
      </c>
      <c r="K432" s="16" t="n">
        <f aca="false">ROUND((IF(E432="Transactional",5,IF(E432="Commercial",4,IF(E432="Comparison",3,IF(E432="Informational",2,3))))*LOG10(IF(ISNUMBER(L432),L432,IFERROR(VALUE(LEFT(F432,FIND("-",F432)-1)),100))+1))/IF(IF(ISBLANK(M432),G432,M432)="High",5,IF(IF(ISBLANK(M432),G432,M432)="Medium",3,1)),2)</f>
        <v>8.02</v>
      </c>
      <c r="L432" s="14"/>
      <c r="M432" s="14"/>
      <c r="N432" s="14"/>
      <c r="O432" s="14" t="s">
        <v>123</v>
      </c>
      <c r="P432" s="15" t="s">
        <v>992</v>
      </c>
    </row>
    <row r="433" customFormat="false" ht="25.5" hidden="false" customHeight="true" outlineLevel="0" collapsed="false">
      <c r="A433" s="14" t="n">
        <v>432</v>
      </c>
      <c r="B433" s="14" t="n">
        <v>3</v>
      </c>
      <c r="C433" s="14" t="s">
        <v>125</v>
      </c>
      <c r="D433" s="17" t="s">
        <v>1098</v>
      </c>
      <c r="E433" s="14" t="s">
        <v>117</v>
      </c>
      <c r="F433" s="15" t="s">
        <v>1022</v>
      </c>
      <c r="G433" s="14" t="s">
        <v>505</v>
      </c>
      <c r="H433" s="14" t="s">
        <v>990</v>
      </c>
      <c r="I433" s="15" t="s">
        <v>260</v>
      </c>
      <c r="J433" s="17" t="s">
        <v>1099</v>
      </c>
      <c r="K433" s="16" t="n">
        <f aca="false">ROUND((IF(E433="Transactional",5,IF(E433="Commercial",4,IF(E433="Comparison",3,IF(E433="Informational",2,3))))*LOG10(IF(ISNUMBER(L433),L433,IFERROR(VALUE(LEFT(F433,FIND("-",F433)-1)),100))+1))/IF(IF(ISBLANK(M433),G433,M433)="High",5,IF(IF(ISBLANK(M433),G433,M433)="Medium",3,1)),2)</f>
        <v>7.63</v>
      </c>
      <c r="L433" s="14"/>
      <c r="M433" s="14"/>
      <c r="N433" s="14"/>
      <c r="O433" s="14" t="s">
        <v>123</v>
      </c>
      <c r="P433" s="15"/>
    </row>
    <row r="434" customFormat="false" ht="25.5" hidden="false" customHeight="true" outlineLevel="0" collapsed="false">
      <c r="A434" s="18" t="n">
        <v>433</v>
      </c>
      <c r="B434" s="18" t="n">
        <v>4</v>
      </c>
      <c r="C434" s="18" t="s">
        <v>115</v>
      </c>
      <c r="D434" s="19" t="s">
        <v>1100</v>
      </c>
      <c r="E434" s="18" t="s">
        <v>1101</v>
      </c>
      <c r="F434" s="19" t="s">
        <v>1102</v>
      </c>
      <c r="G434" s="18" t="s">
        <v>505</v>
      </c>
      <c r="H434" s="18" t="s">
        <v>1103</v>
      </c>
      <c r="I434" s="19" t="s">
        <v>121</v>
      </c>
      <c r="J434" s="19" t="s">
        <v>1104</v>
      </c>
      <c r="K434" s="20" t="n">
        <f aca="false">ROUND((IF(E434="Transactional",5,IF(E434="Commercial",4,IF(E434="Comparison",3,IF(E434="Informational",2,3))))*LOG10(IF(ISNUMBER(L434),L434,IFERROR(VALUE(LEFT(F434,FIND("-",F434)-1)),100))+1))/IF(IF(ISBLANK(M434),G434,M434)="High",5,IF(IF(ISBLANK(M434),G434,M434)="Medium",3,1)),2)</f>
        <v>13.5</v>
      </c>
      <c r="L434" s="18"/>
      <c r="M434" s="18"/>
      <c r="N434" s="18"/>
      <c r="O434" s="18" t="s">
        <v>123</v>
      </c>
      <c r="P434" s="19" t="s">
        <v>1105</v>
      </c>
    </row>
    <row r="435" customFormat="false" ht="25.5" hidden="false" customHeight="true" outlineLevel="0" collapsed="false">
      <c r="A435" s="18" t="n">
        <v>434</v>
      </c>
      <c r="B435" s="18" t="n">
        <v>4</v>
      </c>
      <c r="C435" s="18" t="s">
        <v>125</v>
      </c>
      <c r="D435" s="21" t="s">
        <v>1106</v>
      </c>
      <c r="E435" s="18" t="s">
        <v>1101</v>
      </c>
      <c r="F435" s="19" t="s">
        <v>136</v>
      </c>
      <c r="G435" s="18" t="s">
        <v>505</v>
      </c>
      <c r="H435" s="18" t="s">
        <v>1103</v>
      </c>
      <c r="I435" s="19" t="s">
        <v>121</v>
      </c>
      <c r="J435" s="21" t="s">
        <v>1107</v>
      </c>
      <c r="K435" s="20" t="n">
        <f aca="false">ROUND((IF(E435="Transactional",5,IF(E435="Commercial",4,IF(E435="Comparison",3,IF(E435="Informational",2,3))))*LOG10(IF(ISNUMBER(L435),L435,IFERROR(VALUE(LEFT(F435,FIND("-",F435)-1)),100))+1))/IF(IF(ISBLANK(M435),G435,M435)="High",5,IF(IF(ISBLANK(M435),G435,M435)="Medium",3,1)),2)</f>
        <v>13.02</v>
      </c>
      <c r="L435" s="18"/>
      <c r="M435" s="18"/>
      <c r="N435" s="18"/>
      <c r="O435" s="18" t="s">
        <v>123</v>
      </c>
      <c r="P435" s="19"/>
    </row>
    <row r="436" customFormat="false" ht="25.5" hidden="false" customHeight="true" outlineLevel="0" collapsed="false">
      <c r="A436" s="18" t="n">
        <v>435</v>
      </c>
      <c r="B436" s="18" t="n">
        <v>4</v>
      </c>
      <c r="C436" s="18" t="s">
        <v>115</v>
      </c>
      <c r="D436" s="19" t="s">
        <v>1108</v>
      </c>
      <c r="E436" s="18" t="s">
        <v>117</v>
      </c>
      <c r="F436" s="19" t="s">
        <v>989</v>
      </c>
      <c r="G436" s="18" t="s">
        <v>505</v>
      </c>
      <c r="H436" s="18" t="s">
        <v>1103</v>
      </c>
      <c r="I436" s="19" t="s">
        <v>121</v>
      </c>
      <c r="J436" s="19" t="s">
        <v>1109</v>
      </c>
      <c r="K436" s="20" t="n">
        <f aca="false">ROUND((IF(E436="Transactional",5,IF(E436="Commercial",4,IF(E436="Comparison",3,IF(E436="Informational",2,3))))*LOG10(IF(ISNUMBER(L436),L436,IFERROR(VALUE(LEFT(F436,FIND("-",F436)-1)),100))+1))/IF(IF(ISBLANK(M436),G436,M436)="High",5,IF(IF(ISBLANK(M436),G436,M436)="Medium",3,1)),2)</f>
        <v>9.91</v>
      </c>
      <c r="L436" s="18"/>
      <c r="M436" s="18"/>
      <c r="N436" s="18"/>
      <c r="O436" s="18" t="s">
        <v>123</v>
      </c>
      <c r="P436" s="19" t="s">
        <v>1105</v>
      </c>
    </row>
    <row r="437" customFormat="false" ht="25.5" hidden="false" customHeight="true" outlineLevel="0" collapsed="false">
      <c r="A437" s="18" t="n">
        <v>436</v>
      </c>
      <c r="B437" s="18" t="n">
        <v>4</v>
      </c>
      <c r="C437" s="18" t="s">
        <v>125</v>
      </c>
      <c r="D437" s="21" t="s">
        <v>1110</v>
      </c>
      <c r="E437" s="18" t="s">
        <v>117</v>
      </c>
      <c r="F437" s="19" t="s">
        <v>994</v>
      </c>
      <c r="G437" s="18" t="s">
        <v>505</v>
      </c>
      <c r="H437" s="18" t="s">
        <v>1103</v>
      </c>
      <c r="I437" s="19" t="s">
        <v>121</v>
      </c>
      <c r="J437" s="21" t="s">
        <v>1111</v>
      </c>
      <c r="K437" s="20" t="n">
        <f aca="false">ROUND((IF(E437="Transactional",5,IF(E437="Commercial",4,IF(E437="Comparison",3,IF(E437="Informational",2,3))))*LOG10(IF(ISNUMBER(L437),L437,IFERROR(VALUE(LEFT(F437,FIND("-",F437)-1)),100))+1))/IF(IF(ISBLANK(M437),G437,M437)="High",5,IF(IF(ISBLANK(M437),G437,M437)="Medium",3,1)),2)</f>
        <v>9.6</v>
      </c>
      <c r="L437" s="18"/>
      <c r="M437" s="18"/>
      <c r="N437" s="18"/>
      <c r="O437" s="18" t="s">
        <v>123</v>
      </c>
      <c r="P437" s="19"/>
    </row>
    <row r="438" customFormat="false" ht="25.5" hidden="false" customHeight="true" outlineLevel="0" collapsed="false">
      <c r="A438" s="18" t="n">
        <v>437</v>
      </c>
      <c r="B438" s="18" t="n">
        <v>4</v>
      </c>
      <c r="C438" s="18" t="s">
        <v>115</v>
      </c>
      <c r="D438" s="19" t="s">
        <v>1112</v>
      </c>
      <c r="E438" s="18" t="s">
        <v>117</v>
      </c>
      <c r="F438" s="19" t="s">
        <v>1000</v>
      </c>
      <c r="G438" s="18" t="s">
        <v>505</v>
      </c>
      <c r="H438" s="18" t="s">
        <v>1103</v>
      </c>
      <c r="I438" s="19" t="s">
        <v>121</v>
      </c>
      <c r="J438" s="19" t="s">
        <v>1113</v>
      </c>
      <c r="K438" s="20" t="n">
        <f aca="false">ROUND((IF(E438="Transactional",5,IF(E438="Commercial",4,IF(E438="Comparison",3,IF(E438="Informational",2,3))))*LOG10(IF(ISNUMBER(L438),L438,IFERROR(VALUE(LEFT(F438,FIND("-",F438)-1)),100))+1))/IF(IF(ISBLANK(M438),G438,M438)="High",5,IF(IF(ISBLANK(M438),G438,M438)="Medium",3,1)),2)</f>
        <v>8.72</v>
      </c>
      <c r="L438" s="18"/>
      <c r="M438" s="18"/>
      <c r="N438" s="18"/>
      <c r="O438" s="18" t="s">
        <v>123</v>
      </c>
      <c r="P438" s="19" t="s">
        <v>1105</v>
      </c>
    </row>
    <row r="439" customFormat="false" ht="25.5" hidden="false" customHeight="true" outlineLevel="0" collapsed="false">
      <c r="A439" s="18" t="n">
        <v>438</v>
      </c>
      <c r="B439" s="18" t="n">
        <v>4</v>
      </c>
      <c r="C439" s="18" t="s">
        <v>125</v>
      </c>
      <c r="D439" s="21" t="s">
        <v>1114</v>
      </c>
      <c r="E439" s="18" t="s">
        <v>117</v>
      </c>
      <c r="F439" s="19" t="s">
        <v>1115</v>
      </c>
      <c r="G439" s="18" t="s">
        <v>505</v>
      </c>
      <c r="H439" s="18" t="s">
        <v>1103</v>
      </c>
      <c r="I439" s="19" t="s">
        <v>121</v>
      </c>
      <c r="J439" s="21" t="s">
        <v>1116</v>
      </c>
      <c r="K439" s="20" t="n">
        <f aca="false">ROUND((IF(E439="Transactional",5,IF(E439="Commercial",4,IF(E439="Comparison",3,IF(E439="Informational",2,3))))*LOG10(IF(ISNUMBER(L439),L439,IFERROR(VALUE(LEFT(F439,FIND("-",F439)-1)),100))+1))/IF(IF(ISBLANK(M439),G439,M439)="High",5,IF(IF(ISBLANK(M439),G439,M439)="Medium",3,1)),2)</f>
        <v>8.47</v>
      </c>
      <c r="L439" s="18"/>
      <c r="M439" s="18"/>
      <c r="N439" s="18"/>
      <c r="O439" s="18" t="s">
        <v>123</v>
      </c>
      <c r="P439" s="19"/>
    </row>
    <row r="440" customFormat="false" ht="25.5" hidden="false" customHeight="true" outlineLevel="0" collapsed="false">
      <c r="A440" s="18" t="n">
        <v>439</v>
      </c>
      <c r="B440" s="18" t="n">
        <v>4</v>
      </c>
      <c r="C440" s="18" t="s">
        <v>115</v>
      </c>
      <c r="D440" s="19" t="s">
        <v>1117</v>
      </c>
      <c r="E440" s="18" t="s">
        <v>117</v>
      </c>
      <c r="F440" s="19" t="s">
        <v>989</v>
      </c>
      <c r="G440" s="18" t="s">
        <v>505</v>
      </c>
      <c r="H440" s="18" t="s">
        <v>1103</v>
      </c>
      <c r="I440" s="19" t="s">
        <v>121</v>
      </c>
      <c r="J440" s="19" t="s">
        <v>1118</v>
      </c>
      <c r="K440" s="20" t="n">
        <f aca="false">ROUND((IF(E440="Transactional",5,IF(E440="Commercial",4,IF(E440="Comparison",3,IF(E440="Informational",2,3))))*LOG10(IF(ISNUMBER(L440),L440,IFERROR(VALUE(LEFT(F440,FIND("-",F440)-1)),100))+1))/IF(IF(ISBLANK(M440),G440,M440)="High",5,IF(IF(ISBLANK(M440),G440,M440)="Medium",3,1)),2)</f>
        <v>9.91</v>
      </c>
      <c r="L440" s="18"/>
      <c r="M440" s="18"/>
      <c r="N440" s="18"/>
      <c r="O440" s="18" t="s">
        <v>123</v>
      </c>
      <c r="P440" s="19" t="s">
        <v>1105</v>
      </c>
    </row>
    <row r="441" customFormat="false" ht="25.5" hidden="false" customHeight="true" outlineLevel="0" collapsed="false">
      <c r="A441" s="18" t="n">
        <v>440</v>
      </c>
      <c r="B441" s="18" t="n">
        <v>4</v>
      </c>
      <c r="C441" s="18" t="s">
        <v>125</v>
      </c>
      <c r="D441" s="21" t="s">
        <v>1119</v>
      </c>
      <c r="E441" s="18" t="s">
        <v>117</v>
      </c>
      <c r="F441" s="19" t="s">
        <v>994</v>
      </c>
      <c r="G441" s="18" t="s">
        <v>505</v>
      </c>
      <c r="H441" s="18" t="s">
        <v>1103</v>
      </c>
      <c r="I441" s="19" t="s">
        <v>121</v>
      </c>
      <c r="J441" s="21" t="s">
        <v>1120</v>
      </c>
      <c r="K441" s="20" t="n">
        <f aca="false">ROUND((IF(E441="Transactional",5,IF(E441="Commercial",4,IF(E441="Comparison",3,IF(E441="Informational",2,3))))*LOG10(IF(ISNUMBER(L441),L441,IFERROR(VALUE(LEFT(F441,FIND("-",F441)-1)),100))+1))/IF(IF(ISBLANK(M441),G441,M441)="High",5,IF(IF(ISBLANK(M441),G441,M441)="Medium",3,1)),2)</f>
        <v>9.6</v>
      </c>
      <c r="L441" s="18"/>
      <c r="M441" s="18"/>
      <c r="N441" s="18"/>
      <c r="O441" s="18" t="s">
        <v>123</v>
      </c>
      <c r="P441" s="19"/>
    </row>
    <row r="442" customFormat="false" ht="25.5" hidden="false" customHeight="true" outlineLevel="0" collapsed="false">
      <c r="A442" s="18" t="n">
        <v>441</v>
      </c>
      <c r="B442" s="18" t="n">
        <v>4</v>
      </c>
      <c r="C442" s="18" t="s">
        <v>115</v>
      </c>
      <c r="D442" s="19" t="s">
        <v>1121</v>
      </c>
      <c r="E442" s="18" t="s">
        <v>117</v>
      </c>
      <c r="F442" s="19" t="s">
        <v>1102</v>
      </c>
      <c r="G442" s="18" t="s">
        <v>505</v>
      </c>
      <c r="H442" s="18" t="s">
        <v>1103</v>
      </c>
      <c r="I442" s="19" t="s">
        <v>174</v>
      </c>
      <c r="J442" s="19" t="s">
        <v>1122</v>
      </c>
      <c r="K442" s="20" t="n">
        <f aca="false">ROUND((IF(E442="Transactional",5,IF(E442="Commercial",4,IF(E442="Comparison",3,IF(E442="Informational",2,3))))*LOG10(IF(ISNUMBER(L442),L442,IFERROR(VALUE(LEFT(F442,FIND("-",F442)-1)),100))+1))/IF(IF(ISBLANK(M442),G442,M442)="High",5,IF(IF(ISBLANK(M442),G442,M442)="Medium",3,1)),2)</f>
        <v>10.8</v>
      </c>
      <c r="L442" s="18"/>
      <c r="M442" s="18"/>
      <c r="N442" s="18"/>
      <c r="O442" s="18" t="s">
        <v>123</v>
      </c>
      <c r="P442" s="19" t="s">
        <v>1105</v>
      </c>
    </row>
    <row r="443" customFormat="false" ht="25.5" hidden="false" customHeight="true" outlineLevel="0" collapsed="false">
      <c r="A443" s="18" t="n">
        <v>442</v>
      </c>
      <c r="B443" s="18" t="n">
        <v>4</v>
      </c>
      <c r="C443" s="18" t="s">
        <v>125</v>
      </c>
      <c r="D443" s="21" t="s">
        <v>1123</v>
      </c>
      <c r="E443" s="18" t="s">
        <v>117</v>
      </c>
      <c r="F443" s="19" t="s">
        <v>136</v>
      </c>
      <c r="G443" s="18" t="s">
        <v>505</v>
      </c>
      <c r="H443" s="18" t="s">
        <v>1103</v>
      </c>
      <c r="I443" s="19" t="s">
        <v>174</v>
      </c>
      <c r="J443" s="21" t="s">
        <v>1124</v>
      </c>
      <c r="K443" s="20" t="n">
        <f aca="false">ROUND((IF(E443="Transactional",5,IF(E443="Commercial",4,IF(E443="Comparison",3,IF(E443="Informational",2,3))))*LOG10(IF(ISNUMBER(L443),L443,IFERROR(VALUE(LEFT(F443,FIND("-",F443)-1)),100))+1))/IF(IF(ISBLANK(M443),G443,M443)="High",5,IF(IF(ISBLANK(M443),G443,M443)="Medium",3,1)),2)</f>
        <v>10.41</v>
      </c>
      <c r="L443" s="18"/>
      <c r="M443" s="18"/>
      <c r="N443" s="18"/>
      <c r="O443" s="18" t="s">
        <v>123</v>
      </c>
      <c r="P443" s="19"/>
    </row>
    <row r="444" customFormat="false" ht="25.5" hidden="false" customHeight="true" outlineLevel="0" collapsed="false">
      <c r="A444" s="18" t="n">
        <v>443</v>
      </c>
      <c r="B444" s="18" t="n">
        <v>4</v>
      </c>
      <c r="C444" s="18" t="s">
        <v>115</v>
      </c>
      <c r="D444" s="19" t="s">
        <v>1125</v>
      </c>
      <c r="E444" s="18" t="s">
        <v>117</v>
      </c>
      <c r="F444" s="19" t="s">
        <v>989</v>
      </c>
      <c r="G444" s="18" t="s">
        <v>505</v>
      </c>
      <c r="H444" s="18" t="s">
        <v>1103</v>
      </c>
      <c r="I444" s="19" t="s">
        <v>174</v>
      </c>
      <c r="J444" s="19" t="s">
        <v>1126</v>
      </c>
      <c r="K444" s="20" t="n">
        <f aca="false">ROUND((IF(E444="Transactional",5,IF(E444="Commercial",4,IF(E444="Comparison",3,IF(E444="Informational",2,3))))*LOG10(IF(ISNUMBER(L444),L444,IFERROR(VALUE(LEFT(F444,FIND("-",F444)-1)),100))+1))/IF(IF(ISBLANK(M444),G444,M444)="High",5,IF(IF(ISBLANK(M444),G444,M444)="Medium",3,1)),2)</f>
        <v>9.91</v>
      </c>
      <c r="L444" s="18"/>
      <c r="M444" s="18"/>
      <c r="N444" s="18"/>
      <c r="O444" s="18" t="s">
        <v>123</v>
      </c>
      <c r="P444" s="19" t="s">
        <v>1105</v>
      </c>
    </row>
    <row r="445" customFormat="false" ht="25.5" hidden="false" customHeight="true" outlineLevel="0" collapsed="false">
      <c r="A445" s="18" t="n">
        <v>444</v>
      </c>
      <c r="B445" s="18" t="n">
        <v>4</v>
      </c>
      <c r="C445" s="18" t="s">
        <v>125</v>
      </c>
      <c r="D445" s="21" t="s">
        <v>1127</v>
      </c>
      <c r="E445" s="18" t="s">
        <v>117</v>
      </c>
      <c r="F445" s="19" t="s">
        <v>994</v>
      </c>
      <c r="G445" s="18" t="s">
        <v>505</v>
      </c>
      <c r="H445" s="18" t="s">
        <v>1103</v>
      </c>
      <c r="I445" s="19" t="s">
        <v>174</v>
      </c>
      <c r="J445" s="21" t="s">
        <v>1128</v>
      </c>
      <c r="K445" s="20" t="n">
        <f aca="false">ROUND((IF(E445="Transactional",5,IF(E445="Commercial",4,IF(E445="Comparison",3,IF(E445="Informational",2,3))))*LOG10(IF(ISNUMBER(L445),L445,IFERROR(VALUE(LEFT(F445,FIND("-",F445)-1)),100))+1))/IF(IF(ISBLANK(M445),G445,M445)="High",5,IF(IF(ISBLANK(M445),G445,M445)="Medium",3,1)),2)</f>
        <v>9.6</v>
      </c>
      <c r="L445" s="18"/>
      <c r="M445" s="18"/>
      <c r="N445" s="18"/>
      <c r="O445" s="18" t="s">
        <v>123</v>
      </c>
      <c r="P445" s="19"/>
    </row>
    <row r="446" customFormat="false" ht="25.5" hidden="false" customHeight="true" outlineLevel="0" collapsed="false">
      <c r="A446" s="18" t="n">
        <v>445</v>
      </c>
      <c r="B446" s="18" t="n">
        <v>4</v>
      </c>
      <c r="C446" s="18" t="s">
        <v>115</v>
      </c>
      <c r="D446" s="19" t="s">
        <v>1129</v>
      </c>
      <c r="E446" s="18" t="s">
        <v>117</v>
      </c>
      <c r="F446" s="19" t="s">
        <v>989</v>
      </c>
      <c r="G446" s="18" t="s">
        <v>505</v>
      </c>
      <c r="H446" s="18" t="s">
        <v>1103</v>
      </c>
      <c r="I446" s="19" t="s">
        <v>174</v>
      </c>
      <c r="J446" s="19" t="s">
        <v>1130</v>
      </c>
      <c r="K446" s="20" t="n">
        <f aca="false">ROUND((IF(E446="Transactional",5,IF(E446="Commercial",4,IF(E446="Comparison",3,IF(E446="Informational",2,3))))*LOG10(IF(ISNUMBER(L446),L446,IFERROR(VALUE(LEFT(F446,FIND("-",F446)-1)),100))+1))/IF(IF(ISBLANK(M446),G446,M446)="High",5,IF(IF(ISBLANK(M446),G446,M446)="Medium",3,1)),2)</f>
        <v>9.91</v>
      </c>
      <c r="L446" s="18"/>
      <c r="M446" s="18"/>
      <c r="N446" s="18"/>
      <c r="O446" s="18" t="s">
        <v>123</v>
      </c>
      <c r="P446" s="19" t="s">
        <v>1105</v>
      </c>
    </row>
    <row r="447" customFormat="false" ht="25.5" hidden="false" customHeight="true" outlineLevel="0" collapsed="false">
      <c r="A447" s="18" t="n">
        <v>446</v>
      </c>
      <c r="B447" s="18" t="n">
        <v>4</v>
      </c>
      <c r="C447" s="18" t="s">
        <v>125</v>
      </c>
      <c r="D447" s="21" t="s">
        <v>1131</v>
      </c>
      <c r="E447" s="18" t="s">
        <v>117</v>
      </c>
      <c r="F447" s="19" t="s">
        <v>994</v>
      </c>
      <c r="G447" s="18" t="s">
        <v>505</v>
      </c>
      <c r="H447" s="18" t="s">
        <v>1103</v>
      </c>
      <c r="I447" s="19" t="s">
        <v>174</v>
      </c>
      <c r="J447" s="21" t="s">
        <v>1132</v>
      </c>
      <c r="K447" s="20" t="n">
        <f aca="false">ROUND((IF(E447="Transactional",5,IF(E447="Commercial",4,IF(E447="Comparison",3,IF(E447="Informational",2,3))))*LOG10(IF(ISNUMBER(L447),L447,IFERROR(VALUE(LEFT(F447,FIND("-",F447)-1)),100))+1))/IF(IF(ISBLANK(M447),G447,M447)="High",5,IF(IF(ISBLANK(M447),G447,M447)="Medium",3,1)),2)</f>
        <v>9.6</v>
      </c>
      <c r="L447" s="18"/>
      <c r="M447" s="18"/>
      <c r="N447" s="18"/>
      <c r="O447" s="18" t="s">
        <v>123</v>
      </c>
      <c r="P447" s="19"/>
    </row>
    <row r="448" customFormat="false" ht="25.5" hidden="false" customHeight="true" outlineLevel="0" collapsed="false">
      <c r="A448" s="18" t="n">
        <v>447</v>
      </c>
      <c r="B448" s="18" t="n">
        <v>4</v>
      </c>
      <c r="C448" s="18" t="s">
        <v>115</v>
      </c>
      <c r="D448" s="19" t="s">
        <v>1133</v>
      </c>
      <c r="E448" s="18" t="s">
        <v>117</v>
      </c>
      <c r="F448" s="19" t="s">
        <v>1000</v>
      </c>
      <c r="G448" s="18" t="s">
        <v>505</v>
      </c>
      <c r="H448" s="18" t="s">
        <v>1103</v>
      </c>
      <c r="I448" s="19" t="s">
        <v>174</v>
      </c>
      <c r="J448" s="19" t="s">
        <v>1134</v>
      </c>
      <c r="K448" s="20" t="n">
        <f aca="false">ROUND((IF(E448="Transactional",5,IF(E448="Commercial",4,IF(E448="Comparison",3,IF(E448="Informational",2,3))))*LOG10(IF(ISNUMBER(L448),L448,IFERROR(VALUE(LEFT(F448,FIND("-",F448)-1)),100))+1))/IF(IF(ISBLANK(M448),G448,M448)="High",5,IF(IF(ISBLANK(M448),G448,M448)="Medium",3,1)),2)</f>
        <v>8.72</v>
      </c>
      <c r="L448" s="18"/>
      <c r="M448" s="18"/>
      <c r="N448" s="18"/>
      <c r="O448" s="18" t="s">
        <v>123</v>
      </c>
      <c r="P448" s="19" t="s">
        <v>1105</v>
      </c>
    </row>
    <row r="449" customFormat="false" ht="25.5" hidden="false" customHeight="true" outlineLevel="0" collapsed="false">
      <c r="A449" s="18" t="n">
        <v>448</v>
      </c>
      <c r="B449" s="18" t="n">
        <v>4</v>
      </c>
      <c r="C449" s="18" t="s">
        <v>125</v>
      </c>
      <c r="D449" s="21" t="s">
        <v>1135</v>
      </c>
      <c r="E449" s="18" t="s">
        <v>117</v>
      </c>
      <c r="F449" s="19" t="s">
        <v>1115</v>
      </c>
      <c r="G449" s="18" t="s">
        <v>505</v>
      </c>
      <c r="H449" s="18" t="s">
        <v>1103</v>
      </c>
      <c r="I449" s="19" t="s">
        <v>174</v>
      </c>
      <c r="J449" s="21" t="s">
        <v>1136</v>
      </c>
      <c r="K449" s="20" t="n">
        <f aca="false">ROUND((IF(E449="Transactional",5,IF(E449="Commercial",4,IF(E449="Comparison",3,IF(E449="Informational",2,3))))*LOG10(IF(ISNUMBER(L449),L449,IFERROR(VALUE(LEFT(F449,FIND("-",F449)-1)),100))+1))/IF(IF(ISBLANK(M449),G449,M449)="High",5,IF(IF(ISBLANK(M449),G449,M449)="Medium",3,1)),2)</f>
        <v>8.47</v>
      </c>
      <c r="L449" s="18"/>
      <c r="M449" s="18"/>
      <c r="N449" s="18"/>
      <c r="O449" s="18" t="s">
        <v>123</v>
      </c>
      <c r="P449" s="19"/>
    </row>
    <row r="450" customFormat="false" ht="25.5" hidden="false" customHeight="true" outlineLevel="0" collapsed="false">
      <c r="A450" s="18" t="n">
        <v>449</v>
      </c>
      <c r="B450" s="18" t="n">
        <v>4</v>
      </c>
      <c r="C450" s="18" t="s">
        <v>115</v>
      </c>
      <c r="D450" s="19" t="s">
        <v>1137</v>
      </c>
      <c r="E450" s="18" t="s">
        <v>117</v>
      </c>
      <c r="F450" s="19" t="s">
        <v>1102</v>
      </c>
      <c r="G450" s="18" t="s">
        <v>505</v>
      </c>
      <c r="H450" s="18" t="s">
        <v>1103</v>
      </c>
      <c r="I450" s="19" t="s">
        <v>174</v>
      </c>
      <c r="J450" s="19" t="s">
        <v>1138</v>
      </c>
      <c r="K450" s="20" t="n">
        <f aca="false">ROUND((IF(E450="Transactional",5,IF(E450="Commercial",4,IF(E450="Comparison",3,IF(E450="Informational",2,3))))*LOG10(IF(ISNUMBER(L450),L450,IFERROR(VALUE(LEFT(F450,FIND("-",F450)-1)),100))+1))/IF(IF(ISBLANK(M450),G450,M450)="High",5,IF(IF(ISBLANK(M450),G450,M450)="Medium",3,1)),2)</f>
        <v>10.8</v>
      </c>
      <c r="L450" s="18"/>
      <c r="M450" s="18"/>
      <c r="N450" s="18"/>
      <c r="O450" s="18" t="s">
        <v>123</v>
      </c>
      <c r="P450" s="19" t="s">
        <v>1105</v>
      </c>
    </row>
    <row r="451" customFormat="false" ht="25.5" hidden="false" customHeight="true" outlineLevel="0" collapsed="false">
      <c r="A451" s="18" t="n">
        <v>450</v>
      </c>
      <c r="B451" s="18" t="n">
        <v>4</v>
      </c>
      <c r="C451" s="18" t="s">
        <v>125</v>
      </c>
      <c r="D451" s="21" t="s">
        <v>1139</v>
      </c>
      <c r="E451" s="18" t="s">
        <v>117</v>
      </c>
      <c r="F451" s="19" t="s">
        <v>136</v>
      </c>
      <c r="G451" s="18" t="s">
        <v>505</v>
      </c>
      <c r="H451" s="18" t="s">
        <v>1103</v>
      </c>
      <c r="I451" s="19" t="s">
        <v>174</v>
      </c>
      <c r="J451" s="21" t="s">
        <v>1140</v>
      </c>
      <c r="K451" s="20" t="n">
        <f aca="false">ROUND((IF(E451="Transactional",5,IF(E451="Commercial",4,IF(E451="Comparison",3,IF(E451="Informational",2,3))))*LOG10(IF(ISNUMBER(L451),L451,IFERROR(VALUE(LEFT(F451,FIND("-",F451)-1)),100))+1))/IF(IF(ISBLANK(M451),G451,M451)="High",5,IF(IF(ISBLANK(M451),G451,M451)="Medium",3,1)),2)</f>
        <v>10.41</v>
      </c>
      <c r="L451" s="18"/>
      <c r="M451" s="18"/>
      <c r="N451" s="18"/>
      <c r="O451" s="18" t="s">
        <v>123</v>
      </c>
      <c r="P451" s="19"/>
    </row>
    <row r="452" customFormat="false" ht="25.5" hidden="false" customHeight="true" outlineLevel="0" collapsed="false">
      <c r="A452" s="18" t="n">
        <v>451</v>
      </c>
      <c r="B452" s="18" t="n">
        <v>4</v>
      </c>
      <c r="C452" s="18" t="s">
        <v>115</v>
      </c>
      <c r="D452" s="19" t="s">
        <v>1141</v>
      </c>
      <c r="E452" s="18" t="s">
        <v>117</v>
      </c>
      <c r="F452" s="19" t="s">
        <v>989</v>
      </c>
      <c r="G452" s="18" t="s">
        <v>505</v>
      </c>
      <c r="H452" s="18" t="s">
        <v>1103</v>
      </c>
      <c r="I452" s="19" t="s">
        <v>174</v>
      </c>
      <c r="J452" s="19" t="s">
        <v>1142</v>
      </c>
      <c r="K452" s="20" t="n">
        <f aca="false">ROUND((IF(E452="Transactional",5,IF(E452="Commercial",4,IF(E452="Comparison",3,IF(E452="Informational",2,3))))*LOG10(IF(ISNUMBER(L452),L452,IFERROR(VALUE(LEFT(F452,FIND("-",F452)-1)),100))+1))/IF(IF(ISBLANK(M452),G452,M452)="High",5,IF(IF(ISBLANK(M452),G452,M452)="Medium",3,1)),2)</f>
        <v>9.91</v>
      </c>
      <c r="L452" s="18"/>
      <c r="M452" s="18"/>
      <c r="N452" s="18"/>
      <c r="O452" s="18" t="s">
        <v>123</v>
      </c>
      <c r="P452" s="19" t="s">
        <v>1105</v>
      </c>
    </row>
    <row r="453" customFormat="false" ht="25.5" hidden="false" customHeight="true" outlineLevel="0" collapsed="false">
      <c r="A453" s="18" t="n">
        <v>452</v>
      </c>
      <c r="B453" s="18" t="n">
        <v>4</v>
      </c>
      <c r="C453" s="18" t="s">
        <v>125</v>
      </c>
      <c r="D453" s="21" t="s">
        <v>1143</v>
      </c>
      <c r="E453" s="18" t="s">
        <v>117</v>
      </c>
      <c r="F453" s="19" t="s">
        <v>994</v>
      </c>
      <c r="G453" s="18" t="s">
        <v>505</v>
      </c>
      <c r="H453" s="18" t="s">
        <v>1103</v>
      </c>
      <c r="I453" s="19" t="s">
        <v>174</v>
      </c>
      <c r="J453" s="21" t="s">
        <v>1144</v>
      </c>
      <c r="K453" s="20" t="n">
        <f aca="false">ROUND((IF(E453="Transactional",5,IF(E453="Commercial",4,IF(E453="Comparison",3,IF(E453="Informational",2,3))))*LOG10(IF(ISNUMBER(L453),L453,IFERROR(VALUE(LEFT(F453,FIND("-",F453)-1)),100))+1))/IF(IF(ISBLANK(M453),G453,M453)="High",5,IF(IF(ISBLANK(M453),G453,M453)="Medium",3,1)),2)</f>
        <v>9.6</v>
      </c>
      <c r="L453" s="18"/>
      <c r="M453" s="18"/>
      <c r="N453" s="18"/>
      <c r="O453" s="18" t="s">
        <v>123</v>
      </c>
      <c r="P453" s="19"/>
    </row>
    <row r="454" customFormat="false" ht="25.5" hidden="false" customHeight="true" outlineLevel="0" collapsed="false">
      <c r="A454" s="18" t="n">
        <v>453</v>
      </c>
      <c r="B454" s="18" t="n">
        <v>4</v>
      </c>
      <c r="C454" s="18" t="s">
        <v>115</v>
      </c>
      <c r="D454" s="19" t="s">
        <v>1145</v>
      </c>
      <c r="E454" s="18" t="s">
        <v>117</v>
      </c>
      <c r="F454" s="19" t="s">
        <v>989</v>
      </c>
      <c r="G454" s="18" t="s">
        <v>505</v>
      </c>
      <c r="H454" s="18" t="s">
        <v>1103</v>
      </c>
      <c r="I454" s="19" t="s">
        <v>174</v>
      </c>
      <c r="J454" s="19" t="s">
        <v>1146</v>
      </c>
      <c r="K454" s="20" t="n">
        <f aca="false">ROUND((IF(E454="Transactional",5,IF(E454="Commercial",4,IF(E454="Comparison",3,IF(E454="Informational",2,3))))*LOG10(IF(ISNUMBER(L454),L454,IFERROR(VALUE(LEFT(F454,FIND("-",F454)-1)),100))+1))/IF(IF(ISBLANK(M454),G454,M454)="High",5,IF(IF(ISBLANK(M454),G454,M454)="Medium",3,1)),2)</f>
        <v>9.91</v>
      </c>
      <c r="L454" s="18"/>
      <c r="M454" s="18"/>
      <c r="N454" s="18"/>
      <c r="O454" s="18" t="s">
        <v>123</v>
      </c>
      <c r="P454" s="19" t="s">
        <v>1105</v>
      </c>
    </row>
    <row r="455" customFormat="false" ht="25.5" hidden="false" customHeight="true" outlineLevel="0" collapsed="false">
      <c r="A455" s="18" t="n">
        <v>454</v>
      </c>
      <c r="B455" s="18" t="n">
        <v>4</v>
      </c>
      <c r="C455" s="18" t="s">
        <v>125</v>
      </c>
      <c r="D455" s="21" t="s">
        <v>1147</v>
      </c>
      <c r="E455" s="18" t="s">
        <v>117</v>
      </c>
      <c r="F455" s="19" t="s">
        <v>994</v>
      </c>
      <c r="G455" s="18" t="s">
        <v>505</v>
      </c>
      <c r="H455" s="18" t="s">
        <v>1103</v>
      </c>
      <c r="I455" s="19" t="s">
        <v>174</v>
      </c>
      <c r="J455" s="21" t="s">
        <v>1148</v>
      </c>
      <c r="K455" s="20" t="n">
        <f aca="false">ROUND((IF(E455="Transactional",5,IF(E455="Commercial",4,IF(E455="Comparison",3,IF(E455="Informational",2,3))))*LOG10(IF(ISNUMBER(L455),L455,IFERROR(VALUE(LEFT(F455,FIND("-",F455)-1)),100))+1))/IF(IF(ISBLANK(M455),G455,M455)="High",5,IF(IF(ISBLANK(M455),G455,M455)="Medium",3,1)),2)</f>
        <v>9.6</v>
      </c>
      <c r="L455" s="18"/>
      <c r="M455" s="18"/>
      <c r="N455" s="18"/>
      <c r="O455" s="18" t="s">
        <v>123</v>
      </c>
      <c r="P455" s="19"/>
    </row>
    <row r="456" customFormat="false" ht="25.5" hidden="false" customHeight="true" outlineLevel="0" collapsed="false">
      <c r="A456" s="18" t="n">
        <v>455</v>
      </c>
      <c r="B456" s="18" t="n">
        <v>4</v>
      </c>
      <c r="C456" s="18" t="s">
        <v>115</v>
      </c>
      <c r="D456" s="19" t="s">
        <v>1149</v>
      </c>
      <c r="E456" s="18" t="s">
        <v>117</v>
      </c>
      <c r="F456" s="19" t="s">
        <v>1000</v>
      </c>
      <c r="G456" s="18" t="s">
        <v>505</v>
      </c>
      <c r="H456" s="18" t="s">
        <v>1103</v>
      </c>
      <c r="I456" s="19" t="s">
        <v>174</v>
      </c>
      <c r="J456" s="19" t="s">
        <v>1150</v>
      </c>
      <c r="K456" s="20" t="n">
        <f aca="false">ROUND((IF(E456="Transactional",5,IF(E456="Commercial",4,IF(E456="Comparison",3,IF(E456="Informational",2,3))))*LOG10(IF(ISNUMBER(L456),L456,IFERROR(VALUE(LEFT(F456,FIND("-",F456)-1)),100))+1))/IF(IF(ISBLANK(M456),G456,M456)="High",5,IF(IF(ISBLANK(M456),G456,M456)="Medium",3,1)),2)</f>
        <v>8.72</v>
      </c>
      <c r="L456" s="18"/>
      <c r="M456" s="18"/>
      <c r="N456" s="18"/>
      <c r="O456" s="18" t="s">
        <v>123</v>
      </c>
      <c r="P456" s="19" t="s">
        <v>1105</v>
      </c>
    </row>
    <row r="457" customFormat="false" ht="25.5" hidden="false" customHeight="true" outlineLevel="0" collapsed="false">
      <c r="A457" s="18" t="n">
        <v>456</v>
      </c>
      <c r="B457" s="18" t="n">
        <v>4</v>
      </c>
      <c r="C457" s="18" t="s">
        <v>125</v>
      </c>
      <c r="D457" s="21" t="s">
        <v>1151</v>
      </c>
      <c r="E457" s="18" t="s">
        <v>117</v>
      </c>
      <c r="F457" s="19" t="s">
        <v>1115</v>
      </c>
      <c r="G457" s="18" t="s">
        <v>505</v>
      </c>
      <c r="H457" s="18" t="s">
        <v>1103</v>
      </c>
      <c r="I457" s="19" t="s">
        <v>174</v>
      </c>
      <c r="J457" s="21" t="s">
        <v>1152</v>
      </c>
      <c r="K457" s="20" t="n">
        <f aca="false">ROUND((IF(E457="Transactional",5,IF(E457="Commercial",4,IF(E457="Comparison",3,IF(E457="Informational",2,3))))*LOG10(IF(ISNUMBER(L457),L457,IFERROR(VALUE(LEFT(F457,FIND("-",F457)-1)),100))+1))/IF(IF(ISBLANK(M457),G457,M457)="High",5,IF(IF(ISBLANK(M457),G457,M457)="Medium",3,1)),2)</f>
        <v>8.47</v>
      </c>
      <c r="L457" s="18"/>
      <c r="M457" s="18"/>
      <c r="N457" s="18"/>
      <c r="O457" s="18" t="s">
        <v>123</v>
      </c>
      <c r="P457" s="19"/>
    </row>
    <row r="458" customFormat="false" ht="25.5" hidden="false" customHeight="true" outlineLevel="0" collapsed="false">
      <c r="A458" s="18" t="n">
        <v>457</v>
      </c>
      <c r="B458" s="18" t="n">
        <v>4</v>
      </c>
      <c r="C458" s="18" t="s">
        <v>115</v>
      </c>
      <c r="D458" s="19" t="s">
        <v>1153</v>
      </c>
      <c r="E458" s="18" t="s">
        <v>117</v>
      </c>
      <c r="F458" s="19" t="s">
        <v>989</v>
      </c>
      <c r="G458" s="18" t="s">
        <v>505</v>
      </c>
      <c r="H458" s="18" t="s">
        <v>1103</v>
      </c>
      <c r="I458" s="19" t="s">
        <v>226</v>
      </c>
      <c r="J458" s="19" t="s">
        <v>1154</v>
      </c>
      <c r="K458" s="20" t="n">
        <f aca="false">ROUND((IF(E458="Transactional",5,IF(E458="Commercial",4,IF(E458="Comparison",3,IF(E458="Informational",2,3))))*LOG10(IF(ISNUMBER(L458),L458,IFERROR(VALUE(LEFT(F458,FIND("-",F458)-1)),100))+1))/IF(IF(ISBLANK(M458),G458,M458)="High",5,IF(IF(ISBLANK(M458),G458,M458)="Medium",3,1)),2)</f>
        <v>9.91</v>
      </c>
      <c r="L458" s="18"/>
      <c r="M458" s="18"/>
      <c r="N458" s="18"/>
      <c r="O458" s="18" t="s">
        <v>123</v>
      </c>
      <c r="P458" s="19" t="s">
        <v>1105</v>
      </c>
    </row>
    <row r="459" customFormat="false" ht="25.5" hidden="false" customHeight="true" outlineLevel="0" collapsed="false">
      <c r="A459" s="18" t="n">
        <v>458</v>
      </c>
      <c r="B459" s="18" t="n">
        <v>4</v>
      </c>
      <c r="C459" s="18" t="s">
        <v>125</v>
      </c>
      <c r="D459" s="21" t="s">
        <v>1155</v>
      </c>
      <c r="E459" s="18" t="s">
        <v>117</v>
      </c>
      <c r="F459" s="19" t="s">
        <v>994</v>
      </c>
      <c r="G459" s="18" t="s">
        <v>505</v>
      </c>
      <c r="H459" s="18" t="s">
        <v>1103</v>
      </c>
      <c r="I459" s="19" t="s">
        <v>226</v>
      </c>
      <c r="J459" s="21" t="s">
        <v>1156</v>
      </c>
      <c r="K459" s="20" t="n">
        <f aca="false">ROUND((IF(E459="Transactional",5,IF(E459="Commercial",4,IF(E459="Comparison",3,IF(E459="Informational",2,3))))*LOG10(IF(ISNUMBER(L459),L459,IFERROR(VALUE(LEFT(F459,FIND("-",F459)-1)),100))+1))/IF(IF(ISBLANK(M459),G459,M459)="High",5,IF(IF(ISBLANK(M459),G459,M459)="Medium",3,1)),2)</f>
        <v>9.6</v>
      </c>
      <c r="L459" s="18"/>
      <c r="M459" s="18"/>
      <c r="N459" s="18"/>
      <c r="O459" s="18" t="s">
        <v>123</v>
      </c>
      <c r="P459" s="19"/>
    </row>
    <row r="460" customFormat="false" ht="25.5" hidden="false" customHeight="true" outlineLevel="0" collapsed="false">
      <c r="A460" s="18" t="n">
        <v>459</v>
      </c>
      <c r="B460" s="18" t="n">
        <v>4</v>
      </c>
      <c r="C460" s="18" t="s">
        <v>115</v>
      </c>
      <c r="D460" s="19" t="s">
        <v>1157</v>
      </c>
      <c r="E460" s="18" t="s">
        <v>1158</v>
      </c>
      <c r="F460" s="19" t="s">
        <v>1000</v>
      </c>
      <c r="G460" s="18" t="s">
        <v>505</v>
      </c>
      <c r="H460" s="18" t="s">
        <v>1103</v>
      </c>
      <c r="I460" s="19" t="s">
        <v>226</v>
      </c>
      <c r="J460" s="19" t="s">
        <v>1159</v>
      </c>
      <c r="K460" s="20" t="n">
        <f aca="false">ROUND((IF(E460="Transactional",5,IF(E460="Commercial",4,IF(E460="Comparison",3,IF(E460="Informational",2,3))))*LOG10(IF(ISNUMBER(L460),L460,IFERROR(VALUE(LEFT(F460,FIND("-",F460)-1)),100))+1))/IF(IF(ISBLANK(M460),G460,M460)="High",5,IF(IF(ISBLANK(M460),G460,M460)="Medium",3,1)),2)</f>
        <v>4.36</v>
      </c>
      <c r="L460" s="18"/>
      <c r="M460" s="18"/>
      <c r="N460" s="18"/>
      <c r="O460" s="18" t="s">
        <v>123</v>
      </c>
      <c r="P460" s="19" t="s">
        <v>1105</v>
      </c>
    </row>
    <row r="461" customFormat="false" ht="25.5" hidden="false" customHeight="true" outlineLevel="0" collapsed="false">
      <c r="A461" s="18" t="n">
        <v>460</v>
      </c>
      <c r="B461" s="18" t="n">
        <v>4</v>
      </c>
      <c r="C461" s="18" t="s">
        <v>125</v>
      </c>
      <c r="D461" s="21" t="s">
        <v>1160</v>
      </c>
      <c r="E461" s="18" t="s">
        <v>1158</v>
      </c>
      <c r="F461" s="19" t="s">
        <v>1115</v>
      </c>
      <c r="G461" s="18" t="s">
        <v>505</v>
      </c>
      <c r="H461" s="18" t="s">
        <v>1103</v>
      </c>
      <c r="I461" s="19" t="s">
        <v>226</v>
      </c>
      <c r="J461" s="21" t="s">
        <v>1161</v>
      </c>
      <c r="K461" s="20" t="n">
        <f aca="false">ROUND((IF(E461="Transactional",5,IF(E461="Commercial",4,IF(E461="Comparison",3,IF(E461="Informational",2,3))))*LOG10(IF(ISNUMBER(L461),L461,IFERROR(VALUE(LEFT(F461,FIND("-",F461)-1)),100))+1))/IF(IF(ISBLANK(M461),G461,M461)="High",5,IF(IF(ISBLANK(M461),G461,M461)="Medium",3,1)),2)</f>
        <v>4.23</v>
      </c>
      <c r="L461" s="18"/>
      <c r="M461" s="18"/>
      <c r="N461" s="18"/>
      <c r="O461" s="18" t="s">
        <v>123</v>
      </c>
      <c r="P461" s="19"/>
    </row>
    <row r="462" customFormat="false" ht="25.5" hidden="false" customHeight="true" outlineLevel="0" collapsed="false">
      <c r="A462" s="18" t="n">
        <v>461</v>
      </c>
      <c r="B462" s="18" t="n">
        <v>4</v>
      </c>
      <c r="C462" s="18" t="s">
        <v>115</v>
      </c>
      <c r="D462" s="19" t="s">
        <v>1162</v>
      </c>
      <c r="E462" s="18" t="s">
        <v>1158</v>
      </c>
      <c r="F462" s="19" t="s">
        <v>989</v>
      </c>
      <c r="G462" s="18" t="s">
        <v>505</v>
      </c>
      <c r="H462" s="18" t="s">
        <v>1103</v>
      </c>
      <c r="I462" s="19" t="s">
        <v>226</v>
      </c>
      <c r="J462" s="19" t="s">
        <v>1163</v>
      </c>
      <c r="K462" s="20" t="n">
        <f aca="false">ROUND((IF(E462="Transactional",5,IF(E462="Commercial",4,IF(E462="Comparison",3,IF(E462="Informational",2,3))))*LOG10(IF(ISNUMBER(L462),L462,IFERROR(VALUE(LEFT(F462,FIND("-",F462)-1)),100))+1))/IF(IF(ISBLANK(M462),G462,M462)="High",5,IF(IF(ISBLANK(M462),G462,M462)="Medium",3,1)),2)</f>
        <v>4.96</v>
      </c>
      <c r="L462" s="18"/>
      <c r="M462" s="18"/>
      <c r="N462" s="18"/>
      <c r="O462" s="18" t="s">
        <v>123</v>
      </c>
      <c r="P462" s="19" t="s">
        <v>1105</v>
      </c>
    </row>
    <row r="463" customFormat="false" ht="25.5" hidden="false" customHeight="true" outlineLevel="0" collapsed="false">
      <c r="A463" s="18" t="n">
        <v>462</v>
      </c>
      <c r="B463" s="18" t="n">
        <v>4</v>
      </c>
      <c r="C463" s="18" t="s">
        <v>125</v>
      </c>
      <c r="D463" s="21" t="s">
        <v>1164</v>
      </c>
      <c r="E463" s="18" t="s">
        <v>1158</v>
      </c>
      <c r="F463" s="19" t="s">
        <v>994</v>
      </c>
      <c r="G463" s="18" t="s">
        <v>505</v>
      </c>
      <c r="H463" s="18" t="s">
        <v>1103</v>
      </c>
      <c r="I463" s="19" t="s">
        <v>226</v>
      </c>
      <c r="J463" s="21" t="s">
        <v>1165</v>
      </c>
      <c r="K463" s="20" t="n">
        <f aca="false">ROUND((IF(E463="Transactional",5,IF(E463="Commercial",4,IF(E463="Comparison",3,IF(E463="Informational",2,3))))*LOG10(IF(ISNUMBER(L463),L463,IFERROR(VALUE(LEFT(F463,FIND("-",F463)-1)),100))+1))/IF(IF(ISBLANK(M463),G463,M463)="High",5,IF(IF(ISBLANK(M463),G463,M463)="Medium",3,1)),2)</f>
        <v>4.8</v>
      </c>
      <c r="L463" s="18"/>
      <c r="M463" s="18"/>
      <c r="N463" s="18"/>
      <c r="O463" s="18" t="s">
        <v>123</v>
      </c>
      <c r="P463" s="19"/>
    </row>
    <row r="464" customFormat="false" ht="25.5" hidden="false" customHeight="true" outlineLevel="0" collapsed="false">
      <c r="A464" s="18" t="n">
        <v>463</v>
      </c>
      <c r="B464" s="18" t="n">
        <v>4</v>
      </c>
      <c r="C464" s="18" t="s">
        <v>115</v>
      </c>
      <c r="D464" s="19" t="s">
        <v>1166</v>
      </c>
      <c r="E464" s="18" t="s">
        <v>1101</v>
      </c>
      <c r="F464" s="19" t="s">
        <v>989</v>
      </c>
      <c r="G464" s="18" t="s">
        <v>505</v>
      </c>
      <c r="H464" s="18" t="s">
        <v>1103</v>
      </c>
      <c r="I464" s="19" t="s">
        <v>242</v>
      </c>
      <c r="J464" s="19" t="s">
        <v>1167</v>
      </c>
      <c r="K464" s="20" t="n">
        <f aca="false">ROUND((IF(E464="Transactional",5,IF(E464="Commercial",4,IF(E464="Comparison",3,IF(E464="Informational",2,3))))*LOG10(IF(ISNUMBER(L464),L464,IFERROR(VALUE(LEFT(F464,FIND("-",F464)-1)),100))+1))/IF(IF(ISBLANK(M464),G464,M464)="High",5,IF(IF(ISBLANK(M464),G464,M464)="Medium",3,1)),2)</f>
        <v>12.39</v>
      </c>
      <c r="L464" s="18"/>
      <c r="M464" s="18"/>
      <c r="N464" s="18"/>
      <c r="O464" s="18" t="s">
        <v>123</v>
      </c>
      <c r="P464" s="19" t="s">
        <v>1105</v>
      </c>
    </row>
    <row r="465" customFormat="false" ht="25.5" hidden="false" customHeight="true" outlineLevel="0" collapsed="false">
      <c r="A465" s="18" t="n">
        <v>464</v>
      </c>
      <c r="B465" s="18" t="n">
        <v>4</v>
      </c>
      <c r="C465" s="18" t="s">
        <v>125</v>
      </c>
      <c r="D465" s="21" t="s">
        <v>1168</v>
      </c>
      <c r="E465" s="18" t="s">
        <v>1101</v>
      </c>
      <c r="F465" s="19" t="s">
        <v>994</v>
      </c>
      <c r="G465" s="18" t="s">
        <v>505</v>
      </c>
      <c r="H465" s="18" t="s">
        <v>1103</v>
      </c>
      <c r="I465" s="19" t="s">
        <v>242</v>
      </c>
      <c r="J465" s="21" t="s">
        <v>1169</v>
      </c>
      <c r="K465" s="20" t="n">
        <f aca="false">ROUND((IF(E465="Transactional",5,IF(E465="Commercial",4,IF(E465="Comparison",3,IF(E465="Informational",2,3))))*LOG10(IF(ISNUMBER(L465),L465,IFERROR(VALUE(LEFT(F465,FIND("-",F465)-1)),100))+1))/IF(IF(ISBLANK(M465),G465,M465)="High",5,IF(IF(ISBLANK(M465),G465,M465)="Medium",3,1)),2)</f>
        <v>12</v>
      </c>
      <c r="L465" s="18"/>
      <c r="M465" s="18"/>
      <c r="N465" s="18"/>
      <c r="O465" s="18" t="s">
        <v>123</v>
      </c>
      <c r="P465" s="19"/>
    </row>
    <row r="466" customFormat="false" ht="25.5" hidden="false" customHeight="true" outlineLevel="0" collapsed="false">
      <c r="A466" s="18" t="n">
        <v>465</v>
      </c>
      <c r="B466" s="18" t="n">
        <v>4</v>
      </c>
      <c r="C466" s="18" t="s">
        <v>115</v>
      </c>
      <c r="D466" s="19" t="s">
        <v>1170</v>
      </c>
      <c r="E466" s="18" t="s">
        <v>117</v>
      </c>
      <c r="F466" s="19" t="s">
        <v>989</v>
      </c>
      <c r="G466" s="18" t="s">
        <v>505</v>
      </c>
      <c r="H466" s="18" t="s">
        <v>1103</v>
      </c>
      <c r="I466" s="19" t="s">
        <v>242</v>
      </c>
      <c r="J466" s="19" t="s">
        <v>1171</v>
      </c>
      <c r="K466" s="20" t="n">
        <f aca="false">ROUND((IF(E466="Transactional",5,IF(E466="Commercial",4,IF(E466="Comparison",3,IF(E466="Informational",2,3))))*LOG10(IF(ISNUMBER(L466),L466,IFERROR(VALUE(LEFT(F466,FIND("-",F466)-1)),100))+1))/IF(IF(ISBLANK(M466),G466,M466)="High",5,IF(IF(ISBLANK(M466),G466,M466)="Medium",3,1)),2)</f>
        <v>9.91</v>
      </c>
      <c r="L466" s="18"/>
      <c r="M466" s="18"/>
      <c r="N466" s="18"/>
      <c r="O466" s="18" t="s">
        <v>123</v>
      </c>
      <c r="P466" s="19" t="s">
        <v>1105</v>
      </c>
    </row>
    <row r="467" customFormat="false" ht="25.5" hidden="false" customHeight="true" outlineLevel="0" collapsed="false">
      <c r="A467" s="18" t="n">
        <v>466</v>
      </c>
      <c r="B467" s="18" t="n">
        <v>4</v>
      </c>
      <c r="C467" s="18" t="s">
        <v>125</v>
      </c>
      <c r="D467" s="21" t="s">
        <v>1172</v>
      </c>
      <c r="E467" s="18" t="s">
        <v>117</v>
      </c>
      <c r="F467" s="19" t="s">
        <v>994</v>
      </c>
      <c r="G467" s="18" t="s">
        <v>505</v>
      </c>
      <c r="H467" s="18" t="s">
        <v>1103</v>
      </c>
      <c r="I467" s="19" t="s">
        <v>242</v>
      </c>
      <c r="J467" s="21" t="s">
        <v>1173</v>
      </c>
      <c r="K467" s="20" t="n">
        <f aca="false">ROUND((IF(E467="Transactional",5,IF(E467="Commercial",4,IF(E467="Comparison",3,IF(E467="Informational",2,3))))*LOG10(IF(ISNUMBER(L467),L467,IFERROR(VALUE(LEFT(F467,FIND("-",F467)-1)),100))+1))/IF(IF(ISBLANK(M467),G467,M467)="High",5,IF(IF(ISBLANK(M467),G467,M467)="Medium",3,1)),2)</f>
        <v>9.6</v>
      </c>
      <c r="L467" s="18"/>
      <c r="M467" s="18"/>
      <c r="N467" s="18"/>
      <c r="O467" s="18" t="s">
        <v>123</v>
      </c>
      <c r="P467" s="19"/>
    </row>
    <row r="468" customFormat="false" ht="25.5" hidden="false" customHeight="true" outlineLevel="0" collapsed="false">
      <c r="A468" s="18" t="n">
        <v>467</v>
      </c>
      <c r="B468" s="18" t="n">
        <v>4</v>
      </c>
      <c r="C468" s="18" t="s">
        <v>115</v>
      </c>
      <c r="D468" s="19" t="s">
        <v>1174</v>
      </c>
      <c r="E468" s="18" t="s">
        <v>117</v>
      </c>
      <c r="F468" s="19" t="s">
        <v>989</v>
      </c>
      <c r="G468" s="18" t="s">
        <v>505</v>
      </c>
      <c r="H468" s="18" t="s">
        <v>1103</v>
      </c>
      <c r="I468" s="19" t="s">
        <v>242</v>
      </c>
      <c r="J468" s="19" t="s">
        <v>1175</v>
      </c>
      <c r="K468" s="20" t="n">
        <f aca="false">ROUND((IF(E468="Transactional",5,IF(E468="Commercial",4,IF(E468="Comparison",3,IF(E468="Informational",2,3))))*LOG10(IF(ISNUMBER(L468),L468,IFERROR(VALUE(LEFT(F468,FIND("-",F468)-1)),100))+1))/IF(IF(ISBLANK(M468),G468,M468)="High",5,IF(IF(ISBLANK(M468),G468,M468)="Medium",3,1)),2)</f>
        <v>9.91</v>
      </c>
      <c r="L468" s="18"/>
      <c r="M468" s="18"/>
      <c r="N468" s="18"/>
      <c r="O468" s="18" t="s">
        <v>123</v>
      </c>
      <c r="P468" s="19" t="s">
        <v>1105</v>
      </c>
    </row>
    <row r="469" customFormat="false" ht="25.5" hidden="false" customHeight="true" outlineLevel="0" collapsed="false">
      <c r="A469" s="18" t="n">
        <v>468</v>
      </c>
      <c r="B469" s="18" t="n">
        <v>4</v>
      </c>
      <c r="C469" s="18" t="s">
        <v>125</v>
      </c>
      <c r="D469" s="21" t="s">
        <v>1176</v>
      </c>
      <c r="E469" s="18" t="s">
        <v>117</v>
      </c>
      <c r="F469" s="19" t="s">
        <v>994</v>
      </c>
      <c r="G469" s="18" t="s">
        <v>505</v>
      </c>
      <c r="H469" s="18" t="s">
        <v>1103</v>
      </c>
      <c r="I469" s="19" t="s">
        <v>242</v>
      </c>
      <c r="J469" s="21" t="s">
        <v>1177</v>
      </c>
      <c r="K469" s="20" t="n">
        <f aca="false">ROUND((IF(E469="Transactional",5,IF(E469="Commercial",4,IF(E469="Comparison",3,IF(E469="Informational",2,3))))*LOG10(IF(ISNUMBER(L469),L469,IFERROR(VALUE(LEFT(F469,FIND("-",F469)-1)),100))+1))/IF(IF(ISBLANK(M469),G469,M469)="High",5,IF(IF(ISBLANK(M469),G469,M469)="Medium",3,1)),2)</f>
        <v>9.6</v>
      </c>
      <c r="L469" s="18"/>
      <c r="M469" s="18"/>
      <c r="N469" s="18"/>
      <c r="O469" s="18" t="s">
        <v>123</v>
      </c>
      <c r="P469" s="19"/>
    </row>
    <row r="470" customFormat="false" ht="25.5" hidden="false" customHeight="true" outlineLevel="0" collapsed="false">
      <c r="A470" s="18" t="n">
        <v>469</v>
      </c>
      <c r="B470" s="18" t="n">
        <v>4</v>
      </c>
      <c r="C470" s="18" t="s">
        <v>115</v>
      </c>
      <c r="D470" s="19" t="s">
        <v>1178</v>
      </c>
      <c r="E470" s="18" t="s">
        <v>117</v>
      </c>
      <c r="F470" s="19" t="s">
        <v>1000</v>
      </c>
      <c r="G470" s="18" t="s">
        <v>505</v>
      </c>
      <c r="H470" s="18" t="s">
        <v>1103</v>
      </c>
      <c r="I470" s="19" t="s">
        <v>242</v>
      </c>
      <c r="J470" s="19" t="s">
        <v>1179</v>
      </c>
      <c r="K470" s="20" t="n">
        <f aca="false">ROUND((IF(E470="Transactional",5,IF(E470="Commercial",4,IF(E470="Comparison",3,IF(E470="Informational",2,3))))*LOG10(IF(ISNUMBER(L470),L470,IFERROR(VALUE(LEFT(F470,FIND("-",F470)-1)),100))+1))/IF(IF(ISBLANK(M470),G470,M470)="High",5,IF(IF(ISBLANK(M470),G470,M470)="Medium",3,1)),2)</f>
        <v>8.72</v>
      </c>
      <c r="L470" s="18"/>
      <c r="M470" s="18"/>
      <c r="N470" s="18"/>
      <c r="O470" s="18" t="s">
        <v>123</v>
      </c>
      <c r="P470" s="19" t="s">
        <v>1105</v>
      </c>
    </row>
    <row r="471" customFormat="false" ht="25.5" hidden="false" customHeight="true" outlineLevel="0" collapsed="false">
      <c r="A471" s="18" t="n">
        <v>470</v>
      </c>
      <c r="B471" s="18" t="n">
        <v>4</v>
      </c>
      <c r="C471" s="18" t="s">
        <v>125</v>
      </c>
      <c r="D471" s="21" t="s">
        <v>1180</v>
      </c>
      <c r="E471" s="18" t="s">
        <v>117</v>
      </c>
      <c r="F471" s="19" t="s">
        <v>1115</v>
      </c>
      <c r="G471" s="18" t="s">
        <v>505</v>
      </c>
      <c r="H471" s="18" t="s">
        <v>1103</v>
      </c>
      <c r="I471" s="19" t="s">
        <v>242</v>
      </c>
      <c r="J471" s="21" t="s">
        <v>1181</v>
      </c>
      <c r="K471" s="20" t="n">
        <f aca="false">ROUND((IF(E471="Transactional",5,IF(E471="Commercial",4,IF(E471="Comparison",3,IF(E471="Informational",2,3))))*LOG10(IF(ISNUMBER(L471),L471,IFERROR(VALUE(LEFT(F471,FIND("-",F471)-1)),100))+1))/IF(IF(ISBLANK(M471),G471,M471)="High",5,IF(IF(ISBLANK(M471),G471,M471)="Medium",3,1)),2)</f>
        <v>8.47</v>
      </c>
      <c r="L471" s="18"/>
      <c r="M471" s="18"/>
      <c r="N471" s="18"/>
      <c r="O471" s="18" t="s">
        <v>123</v>
      </c>
      <c r="P471" s="19"/>
    </row>
    <row r="472" customFormat="false" ht="25.5" hidden="false" customHeight="true" outlineLevel="0" collapsed="false">
      <c r="A472" s="18" t="n">
        <v>471</v>
      </c>
      <c r="B472" s="18" t="n">
        <v>4</v>
      </c>
      <c r="C472" s="18" t="s">
        <v>115</v>
      </c>
      <c r="D472" s="19" t="s">
        <v>1182</v>
      </c>
      <c r="E472" s="18" t="s">
        <v>1101</v>
      </c>
      <c r="F472" s="19" t="s">
        <v>1102</v>
      </c>
      <c r="G472" s="18" t="s">
        <v>505</v>
      </c>
      <c r="H472" s="18" t="s">
        <v>1103</v>
      </c>
      <c r="I472" s="19" t="s">
        <v>254</v>
      </c>
      <c r="J472" s="19" t="s">
        <v>1183</v>
      </c>
      <c r="K472" s="20" t="n">
        <f aca="false">ROUND((IF(E472="Transactional",5,IF(E472="Commercial",4,IF(E472="Comparison",3,IF(E472="Informational",2,3))))*LOG10(IF(ISNUMBER(L472),L472,IFERROR(VALUE(LEFT(F472,FIND("-",F472)-1)),100))+1))/IF(IF(ISBLANK(M472),G472,M472)="High",5,IF(IF(ISBLANK(M472),G472,M472)="Medium",3,1)),2)</f>
        <v>13.5</v>
      </c>
      <c r="L472" s="18"/>
      <c r="M472" s="18"/>
      <c r="N472" s="18"/>
      <c r="O472" s="18" t="s">
        <v>123</v>
      </c>
      <c r="P472" s="19" t="s">
        <v>1105</v>
      </c>
    </row>
    <row r="473" customFormat="false" ht="25.5" hidden="false" customHeight="true" outlineLevel="0" collapsed="false">
      <c r="A473" s="18" t="n">
        <v>472</v>
      </c>
      <c r="B473" s="18" t="n">
        <v>4</v>
      </c>
      <c r="C473" s="18" t="s">
        <v>125</v>
      </c>
      <c r="D473" s="21" t="s">
        <v>1184</v>
      </c>
      <c r="E473" s="18" t="s">
        <v>1101</v>
      </c>
      <c r="F473" s="19" t="s">
        <v>136</v>
      </c>
      <c r="G473" s="18" t="s">
        <v>505</v>
      </c>
      <c r="H473" s="18" t="s">
        <v>1103</v>
      </c>
      <c r="I473" s="19" t="s">
        <v>254</v>
      </c>
      <c r="J473" s="21" t="s">
        <v>1185</v>
      </c>
      <c r="K473" s="20" t="n">
        <f aca="false">ROUND((IF(E473="Transactional",5,IF(E473="Commercial",4,IF(E473="Comparison",3,IF(E473="Informational",2,3))))*LOG10(IF(ISNUMBER(L473),L473,IFERROR(VALUE(LEFT(F473,FIND("-",F473)-1)),100))+1))/IF(IF(ISBLANK(M473),G473,M473)="High",5,IF(IF(ISBLANK(M473),G473,M473)="Medium",3,1)),2)</f>
        <v>13.02</v>
      </c>
      <c r="L473" s="18"/>
      <c r="M473" s="18"/>
      <c r="N473" s="18"/>
      <c r="O473" s="18" t="s">
        <v>123</v>
      </c>
      <c r="P473" s="19"/>
    </row>
    <row r="474" customFormat="false" ht="25.5" hidden="false" customHeight="true" outlineLevel="0" collapsed="false">
      <c r="A474" s="18" t="n">
        <v>473</v>
      </c>
      <c r="B474" s="18" t="n">
        <v>4</v>
      </c>
      <c r="C474" s="18" t="s">
        <v>115</v>
      </c>
      <c r="D474" s="19" t="s">
        <v>1186</v>
      </c>
      <c r="E474" s="18" t="s">
        <v>1101</v>
      </c>
      <c r="F474" s="19" t="s">
        <v>1102</v>
      </c>
      <c r="G474" s="18" t="s">
        <v>505</v>
      </c>
      <c r="H474" s="18" t="s">
        <v>1103</v>
      </c>
      <c r="I474" s="19" t="s">
        <v>254</v>
      </c>
      <c r="J474" s="19" t="s">
        <v>1187</v>
      </c>
      <c r="K474" s="20" t="n">
        <f aca="false">ROUND((IF(E474="Transactional",5,IF(E474="Commercial",4,IF(E474="Comparison",3,IF(E474="Informational",2,3))))*LOG10(IF(ISNUMBER(L474),L474,IFERROR(VALUE(LEFT(F474,FIND("-",F474)-1)),100))+1))/IF(IF(ISBLANK(M474),G474,M474)="High",5,IF(IF(ISBLANK(M474),G474,M474)="Medium",3,1)),2)</f>
        <v>13.5</v>
      </c>
      <c r="L474" s="18"/>
      <c r="M474" s="18"/>
      <c r="N474" s="18"/>
      <c r="O474" s="18" t="s">
        <v>123</v>
      </c>
      <c r="P474" s="19" t="s">
        <v>1105</v>
      </c>
    </row>
    <row r="475" customFormat="false" ht="25.5" hidden="false" customHeight="true" outlineLevel="0" collapsed="false">
      <c r="A475" s="18" t="n">
        <v>474</v>
      </c>
      <c r="B475" s="18" t="n">
        <v>4</v>
      </c>
      <c r="C475" s="18" t="s">
        <v>125</v>
      </c>
      <c r="D475" s="21" t="s">
        <v>1188</v>
      </c>
      <c r="E475" s="18" t="s">
        <v>1101</v>
      </c>
      <c r="F475" s="19" t="s">
        <v>136</v>
      </c>
      <c r="G475" s="18" t="s">
        <v>505</v>
      </c>
      <c r="H475" s="18" t="s">
        <v>1103</v>
      </c>
      <c r="I475" s="19" t="s">
        <v>254</v>
      </c>
      <c r="J475" s="21" t="s">
        <v>1189</v>
      </c>
      <c r="K475" s="20" t="n">
        <f aca="false">ROUND((IF(E475="Transactional",5,IF(E475="Commercial",4,IF(E475="Comparison",3,IF(E475="Informational",2,3))))*LOG10(IF(ISNUMBER(L475),L475,IFERROR(VALUE(LEFT(F475,FIND("-",F475)-1)),100))+1))/IF(IF(ISBLANK(M475),G475,M475)="High",5,IF(IF(ISBLANK(M475),G475,M475)="Medium",3,1)),2)</f>
        <v>13.02</v>
      </c>
      <c r="L475" s="18"/>
      <c r="M475" s="18"/>
      <c r="N475" s="18"/>
      <c r="O475" s="18" t="s">
        <v>123</v>
      </c>
      <c r="P475" s="19"/>
    </row>
    <row r="476" customFormat="false" ht="25.5" hidden="false" customHeight="true" outlineLevel="0" collapsed="false">
      <c r="A476" s="18" t="n">
        <v>475</v>
      </c>
      <c r="B476" s="18" t="n">
        <v>4</v>
      </c>
      <c r="C476" s="18" t="s">
        <v>115</v>
      </c>
      <c r="D476" s="19" t="s">
        <v>1190</v>
      </c>
      <c r="E476" s="18" t="s">
        <v>117</v>
      </c>
      <c r="F476" s="19" t="s">
        <v>989</v>
      </c>
      <c r="G476" s="18" t="s">
        <v>505</v>
      </c>
      <c r="H476" s="18" t="s">
        <v>1103</v>
      </c>
      <c r="I476" s="19" t="s">
        <v>254</v>
      </c>
      <c r="J476" s="19" t="s">
        <v>1191</v>
      </c>
      <c r="K476" s="20" t="n">
        <f aca="false">ROUND((IF(E476="Transactional",5,IF(E476="Commercial",4,IF(E476="Comparison",3,IF(E476="Informational",2,3))))*LOG10(IF(ISNUMBER(L476),L476,IFERROR(VALUE(LEFT(F476,FIND("-",F476)-1)),100))+1))/IF(IF(ISBLANK(M476),G476,M476)="High",5,IF(IF(ISBLANK(M476),G476,M476)="Medium",3,1)),2)</f>
        <v>9.91</v>
      </c>
      <c r="L476" s="18"/>
      <c r="M476" s="18"/>
      <c r="N476" s="18"/>
      <c r="O476" s="18" t="s">
        <v>123</v>
      </c>
      <c r="P476" s="19" t="s">
        <v>1105</v>
      </c>
    </row>
    <row r="477" customFormat="false" ht="25.5" hidden="false" customHeight="true" outlineLevel="0" collapsed="false">
      <c r="A477" s="18" t="n">
        <v>476</v>
      </c>
      <c r="B477" s="18" t="n">
        <v>4</v>
      </c>
      <c r="C477" s="18" t="s">
        <v>125</v>
      </c>
      <c r="D477" s="21" t="s">
        <v>1192</v>
      </c>
      <c r="E477" s="18" t="s">
        <v>117</v>
      </c>
      <c r="F477" s="19" t="s">
        <v>994</v>
      </c>
      <c r="G477" s="18" t="s">
        <v>505</v>
      </c>
      <c r="H477" s="18" t="s">
        <v>1103</v>
      </c>
      <c r="I477" s="19" t="s">
        <v>254</v>
      </c>
      <c r="J477" s="21" t="s">
        <v>1193</v>
      </c>
      <c r="K477" s="20" t="n">
        <f aca="false">ROUND((IF(E477="Transactional",5,IF(E477="Commercial",4,IF(E477="Comparison",3,IF(E477="Informational",2,3))))*LOG10(IF(ISNUMBER(L477),L477,IFERROR(VALUE(LEFT(F477,FIND("-",F477)-1)),100))+1))/IF(IF(ISBLANK(M477),G477,M477)="High",5,IF(IF(ISBLANK(M477),G477,M477)="Medium",3,1)),2)</f>
        <v>9.6</v>
      </c>
      <c r="L477" s="18"/>
      <c r="M477" s="18"/>
      <c r="N477" s="18"/>
      <c r="O477" s="18" t="s">
        <v>123</v>
      </c>
      <c r="P477" s="19"/>
    </row>
    <row r="478" customFormat="false" ht="25.5" hidden="false" customHeight="true" outlineLevel="0" collapsed="false">
      <c r="A478" s="18" t="n">
        <v>477</v>
      </c>
      <c r="B478" s="18" t="n">
        <v>4</v>
      </c>
      <c r="C478" s="18" t="s">
        <v>115</v>
      </c>
      <c r="D478" s="19" t="s">
        <v>1194</v>
      </c>
      <c r="E478" s="18" t="s">
        <v>117</v>
      </c>
      <c r="F478" s="19" t="s">
        <v>989</v>
      </c>
      <c r="G478" s="18" t="s">
        <v>505</v>
      </c>
      <c r="H478" s="18" t="s">
        <v>1103</v>
      </c>
      <c r="I478" s="19" t="s">
        <v>254</v>
      </c>
      <c r="J478" s="19" t="s">
        <v>1195</v>
      </c>
      <c r="K478" s="20" t="n">
        <f aca="false">ROUND((IF(E478="Transactional",5,IF(E478="Commercial",4,IF(E478="Comparison",3,IF(E478="Informational",2,3))))*LOG10(IF(ISNUMBER(L478),L478,IFERROR(VALUE(LEFT(F478,FIND("-",F478)-1)),100))+1))/IF(IF(ISBLANK(M478),G478,M478)="High",5,IF(IF(ISBLANK(M478),G478,M478)="Medium",3,1)),2)</f>
        <v>9.91</v>
      </c>
      <c r="L478" s="18"/>
      <c r="M478" s="18"/>
      <c r="N478" s="18"/>
      <c r="O478" s="18" t="s">
        <v>123</v>
      </c>
      <c r="P478" s="19" t="s">
        <v>1105</v>
      </c>
    </row>
    <row r="479" customFormat="false" ht="25.5" hidden="false" customHeight="true" outlineLevel="0" collapsed="false">
      <c r="A479" s="18" t="n">
        <v>478</v>
      </c>
      <c r="B479" s="18" t="n">
        <v>4</v>
      </c>
      <c r="C479" s="18" t="s">
        <v>125</v>
      </c>
      <c r="D479" s="21" t="s">
        <v>1196</v>
      </c>
      <c r="E479" s="18" t="s">
        <v>117</v>
      </c>
      <c r="F479" s="19" t="s">
        <v>994</v>
      </c>
      <c r="G479" s="18" t="s">
        <v>505</v>
      </c>
      <c r="H479" s="18" t="s">
        <v>1103</v>
      </c>
      <c r="I479" s="19" t="s">
        <v>254</v>
      </c>
      <c r="J479" s="21" t="s">
        <v>1197</v>
      </c>
      <c r="K479" s="20" t="n">
        <f aca="false">ROUND((IF(E479="Transactional",5,IF(E479="Commercial",4,IF(E479="Comparison",3,IF(E479="Informational",2,3))))*LOG10(IF(ISNUMBER(L479),L479,IFERROR(VALUE(LEFT(F479,FIND("-",F479)-1)),100))+1))/IF(IF(ISBLANK(M479),G479,M479)="High",5,IF(IF(ISBLANK(M479),G479,M479)="Medium",3,1)),2)</f>
        <v>9.6</v>
      </c>
      <c r="L479" s="18"/>
      <c r="M479" s="18"/>
      <c r="N479" s="18"/>
      <c r="O479" s="18" t="s">
        <v>123</v>
      </c>
      <c r="P479" s="19"/>
    </row>
    <row r="480" customFormat="false" ht="25.5" hidden="false" customHeight="true" outlineLevel="0" collapsed="false">
      <c r="A480" s="18" t="n">
        <v>479</v>
      </c>
      <c r="B480" s="18" t="n">
        <v>4</v>
      </c>
      <c r="C480" s="18" t="s">
        <v>115</v>
      </c>
      <c r="D480" s="19" t="s">
        <v>1198</v>
      </c>
      <c r="E480" s="18" t="s">
        <v>117</v>
      </c>
      <c r="F480" s="19" t="s">
        <v>1000</v>
      </c>
      <c r="G480" s="18" t="s">
        <v>505</v>
      </c>
      <c r="H480" s="18" t="s">
        <v>1103</v>
      </c>
      <c r="I480" s="19" t="s">
        <v>254</v>
      </c>
      <c r="J480" s="19" t="s">
        <v>1199</v>
      </c>
      <c r="K480" s="20" t="n">
        <f aca="false">ROUND((IF(E480="Transactional",5,IF(E480="Commercial",4,IF(E480="Comparison",3,IF(E480="Informational",2,3))))*LOG10(IF(ISNUMBER(L480),L480,IFERROR(VALUE(LEFT(F480,FIND("-",F480)-1)),100))+1))/IF(IF(ISBLANK(M480),G480,M480)="High",5,IF(IF(ISBLANK(M480),G480,M480)="Medium",3,1)),2)</f>
        <v>8.72</v>
      </c>
      <c r="L480" s="18"/>
      <c r="M480" s="18"/>
      <c r="N480" s="18"/>
      <c r="O480" s="18" t="s">
        <v>123</v>
      </c>
      <c r="P480" s="19" t="s">
        <v>1105</v>
      </c>
    </row>
    <row r="481" customFormat="false" ht="25.5" hidden="false" customHeight="true" outlineLevel="0" collapsed="false">
      <c r="A481" s="18" t="n">
        <v>480</v>
      </c>
      <c r="B481" s="18" t="n">
        <v>4</v>
      </c>
      <c r="C481" s="18" t="s">
        <v>125</v>
      </c>
      <c r="D481" s="21" t="s">
        <v>1200</v>
      </c>
      <c r="E481" s="18" t="s">
        <v>117</v>
      </c>
      <c r="F481" s="19" t="s">
        <v>1115</v>
      </c>
      <c r="G481" s="18" t="s">
        <v>505</v>
      </c>
      <c r="H481" s="18" t="s">
        <v>1103</v>
      </c>
      <c r="I481" s="19" t="s">
        <v>254</v>
      </c>
      <c r="J481" s="21" t="s">
        <v>1201</v>
      </c>
      <c r="K481" s="20" t="n">
        <f aca="false">ROUND((IF(E481="Transactional",5,IF(E481="Commercial",4,IF(E481="Comparison",3,IF(E481="Informational",2,3))))*LOG10(IF(ISNUMBER(L481),L481,IFERROR(VALUE(LEFT(F481,FIND("-",F481)-1)),100))+1))/IF(IF(ISBLANK(M481),G481,M481)="High",5,IF(IF(ISBLANK(M481),G481,M481)="Medium",3,1)),2)</f>
        <v>8.47</v>
      </c>
      <c r="L481" s="18"/>
      <c r="M481" s="18"/>
      <c r="N481" s="18"/>
      <c r="O481" s="18" t="s">
        <v>123</v>
      </c>
      <c r="P481" s="19"/>
    </row>
    <row r="482" customFormat="false" ht="25.5" hidden="false" customHeight="true" outlineLevel="0" collapsed="false">
      <c r="A482" s="18" t="n">
        <v>481</v>
      </c>
      <c r="B482" s="18" t="n">
        <v>4</v>
      </c>
      <c r="C482" s="18" t="s">
        <v>115</v>
      </c>
      <c r="D482" s="19" t="s">
        <v>1202</v>
      </c>
      <c r="E482" s="18" t="s">
        <v>117</v>
      </c>
      <c r="F482" s="19" t="s">
        <v>1102</v>
      </c>
      <c r="G482" s="18" t="s">
        <v>505</v>
      </c>
      <c r="H482" s="18" t="s">
        <v>1103</v>
      </c>
      <c r="I482" s="19" t="s">
        <v>325</v>
      </c>
      <c r="J482" s="19" t="s">
        <v>1203</v>
      </c>
      <c r="K482" s="20" t="n">
        <f aca="false">ROUND((IF(E482="Transactional",5,IF(E482="Commercial",4,IF(E482="Comparison",3,IF(E482="Informational",2,3))))*LOG10(IF(ISNUMBER(L482),L482,IFERROR(VALUE(LEFT(F482,FIND("-",F482)-1)),100))+1))/IF(IF(ISBLANK(M482),G482,M482)="High",5,IF(IF(ISBLANK(M482),G482,M482)="Medium",3,1)),2)</f>
        <v>10.8</v>
      </c>
      <c r="L482" s="18"/>
      <c r="M482" s="18"/>
      <c r="N482" s="18"/>
      <c r="O482" s="18" t="s">
        <v>123</v>
      </c>
      <c r="P482" s="19" t="s">
        <v>1105</v>
      </c>
    </row>
    <row r="483" customFormat="false" ht="25.5" hidden="false" customHeight="true" outlineLevel="0" collapsed="false">
      <c r="A483" s="18" t="n">
        <v>482</v>
      </c>
      <c r="B483" s="18" t="n">
        <v>4</v>
      </c>
      <c r="C483" s="18" t="s">
        <v>125</v>
      </c>
      <c r="D483" s="21" t="s">
        <v>1204</v>
      </c>
      <c r="E483" s="18" t="s">
        <v>117</v>
      </c>
      <c r="F483" s="19" t="s">
        <v>136</v>
      </c>
      <c r="G483" s="18" t="s">
        <v>505</v>
      </c>
      <c r="H483" s="18" t="s">
        <v>1103</v>
      </c>
      <c r="I483" s="19" t="s">
        <v>325</v>
      </c>
      <c r="J483" s="21" t="s">
        <v>1205</v>
      </c>
      <c r="K483" s="20" t="n">
        <f aca="false">ROUND((IF(E483="Transactional",5,IF(E483="Commercial",4,IF(E483="Comparison",3,IF(E483="Informational",2,3))))*LOG10(IF(ISNUMBER(L483),L483,IFERROR(VALUE(LEFT(F483,FIND("-",F483)-1)),100))+1))/IF(IF(ISBLANK(M483),G483,M483)="High",5,IF(IF(ISBLANK(M483),G483,M483)="Medium",3,1)),2)</f>
        <v>10.41</v>
      </c>
      <c r="L483" s="18"/>
      <c r="M483" s="18"/>
      <c r="N483" s="18"/>
      <c r="O483" s="18" t="s">
        <v>123</v>
      </c>
      <c r="P483" s="19"/>
    </row>
    <row r="484" customFormat="false" ht="25.5" hidden="false" customHeight="true" outlineLevel="0" collapsed="false">
      <c r="A484" s="18" t="n">
        <v>483</v>
      </c>
      <c r="B484" s="18" t="n">
        <v>4</v>
      </c>
      <c r="C484" s="18" t="s">
        <v>115</v>
      </c>
      <c r="D484" s="19" t="s">
        <v>1206</v>
      </c>
      <c r="E484" s="18" t="s">
        <v>1158</v>
      </c>
      <c r="F484" s="19" t="s">
        <v>989</v>
      </c>
      <c r="G484" s="18" t="s">
        <v>505</v>
      </c>
      <c r="H484" s="18" t="s">
        <v>1103</v>
      </c>
      <c r="I484" s="19" t="s">
        <v>325</v>
      </c>
      <c r="J484" s="19" t="s">
        <v>1207</v>
      </c>
      <c r="K484" s="20" t="n">
        <f aca="false">ROUND((IF(E484="Transactional",5,IF(E484="Commercial",4,IF(E484="Comparison",3,IF(E484="Informational",2,3))))*LOG10(IF(ISNUMBER(L484),L484,IFERROR(VALUE(LEFT(F484,FIND("-",F484)-1)),100))+1))/IF(IF(ISBLANK(M484),G484,M484)="High",5,IF(IF(ISBLANK(M484),G484,M484)="Medium",3,1)),2)</f>
        <v>4.96</v>
      </c>
      <c r="L484" s="18"/>
      <c r="M484" s="18"/>
      <c r="N484" s="18"/>
      <c r="O484" s="18" t="s">
        <v>123</v>
      </c>
      <c r="P484" s="19" t="s">
        <v>1105</v>
      </c>
    </row>
    <row r="485" customFormat="false" ht="25.5" hidden="false" customHeight="true" outlineLevel="0" collapsed="false">
      <c r="A485" s="18" t="n">
        <v>484</v>
      </c>
      <c r="B485" s="18" t="n">
        <v>4</v>
      </c>
      <c r="C485" s="18" t="s">
        <v>125</v>
      </c>
      <c r="D485" s="21" t="s">
        <v>1208</v>
      </c>
      <c r="E485" s="18" t="s">
        <v>1158</v>
      </c>
      <c r="F485" s="19" t="s">
        <v>994</v>
      </c>
      <c r="G485" s="18" t="s">
        <v>505</v>
      </c>
      <c r="H485" s="18" t="s">
        <v>1103</v>
      </c>
      <c r="I485" s="19" t="s">
        <v>325</v>
      </c>
      <c r="J485" s="21" t="s">
        <v>1209</v>
      </c>
      <c r="K485" s="20" t="n">
        <f aca="false">ROUND((IF(E485="Transactional",5,IF(E485="Commercial",4,IF(E485="Comparison",3,IF(E485="Informational",2,3))))*LOG10(IF(ISNUMBER(L485),L485,IFERROR(VALUE(LEFT(F485,FIND("-",F485)-1)),100))+1))/IF(IF(ISBLANK(M485),G485,M485)="High",5,IF(IF(ISBLANK(M485),G485,M485)="Medium",3,1)),2)</f>
        <v>4.8</v>
      </c>
      <c r="L485" s="18"/>
      <c r="M485" s="18"/>
      <c r="N485" s="18"/>
      <c r="O485" s="18" t="s">
        <v>123</v>
      </c>
      <c r="P485" s="19"/>
    </row>
    <row r="486" customFormat="false" ht="25.5" hidden="false" customHeight="true" outlineLevel="0" collapsed="false">
      <c r="A486" s="18" t="n">
        <v>485</v>
      </c>
      <c r="B486" s="18" t="n">
        <v>4</v>
      </c>
      <c r="C486" s="18" t="s">
        <v>115</v>
      </c>
      <c r="D486" s="19" t="s">
        <v>1210</v>
      </c>
      <c r="E486" s="18" t="s">
        <v>117</v>
      </c>
      <c r="F486" s="19" t="s">
        <v>989</v>
      </c>
      <c r="G486" s="18" t="s">
        <v>505</v>
      </c>
      <c r="H486" s="18" t="s">
        <v>1103</v>
      </c>
      <c r="I486" s="19" t="s">
        <v>248</v>
      </c>
      <c r="J486" s="19" t="s">
        <v>1211</v>
      </c>
      <c r="K486" s="20" t="n">
        <f aca="false">ROUND((IF(E486="Transactional",5,IF(E486="Commercial",4,IF(E486="Comparison",3,IF(E486="Informational",2,3))))*LOG10(IF(ISNUMBER(L486),L486,IFERROR(VALUE(LEFT(F486,FIND("-",F486)-1)),100))+1))/IF(IF(ISBLANK(M486),G486,M486)="High",5,IF(IF(ISBLANK(M486),G486,M486)="Medium",3,1)),2)</f>
        <v>9.91</v>
      </c>
      <c r="L486" s="18"/>
      <c r="M486" s="18"/>
      <c r="N486" s="18"/>
      <c r="O486" s="18" t="s">
        <v>123</v>
      </c>
      <c r="P486" s="19" t="s">
        <v>1105</v>
      </c>
    </row>
    <row r="487" customFormat="false" ht="25.5" hidden="false" customHeight="true" outlineLevel="0" collapsed="false">
      <c r="A487" s="18" t="n">
        <v>486</v>
      </c>
      <c r="B487" s="18" t="n">
        <v>4</v>
      </c>
      <c r="C487" s="18" t="s">
        <v>125</v>
      </c>
      <c r="D487" s="21" t="s">
        <v>1212</v>
      </c>
      <c r="E487" s="18" t="s">
        <v>117</v>
      </c>
      <c r="F487" s="19" t="s">
        <v>994</v>
      </c>
      <c r="G487" s="18" t="s">
        <v>505</v>
      </c>
      <c r="H487" s="18" t="s">
        <v>1103</v>
      </c>
      <c r="I487" s="19" t="s">
        <v>248</v>
      </c>
      <c r="J487" s="21" t="s">
        <v>1213</v>
      </c>
      <c r="K487" s="20" t="n">
        <f aca="false">ROUND((IF(E487="Transactional",5,IF(E487="Commercial",4,IF(E487="Comparison",3,IF(E487="Informational",2,3))))*LOG10(IF(ISNUMBER(L487),L487,IFERROR(VALUE(LEFT(F487,FIND("-",F487)-1)),100))+1))/IF(IF(ISBLANK(M487),G487,M487)="High",5,IF(IF(ISBLANK(M487),G487,M487)="Medium",3,1)),2)</f>
        <v>9.6</v>
      </c>
      <c r="L487" s="18"/>
      <c r="M487" s="18"/>
      <c r="N487" s="18"/>
      <c r="O487" s="18" t="s">
        <v>123</v>
      </c>
      <c r="P487" s="19"/>
    </row>
    <row r="488" customFormat="false" ht="25.5" hidden="false" customHeight="true" outlineLevel="0" collapsed="false">
      <c r="A488" s="18" t="n">
        <v>487</v>
      </c>
      <c r="B488" s="18" t="n">
        <v>4</v>
      </c>
      <c r="C488" s="18" t="s">
        <v>115</v>
      </c>
      <c r="D488" s="19" t="s">
        <v>1214</v>
      </c>
      <c r="E488" s="18" t="s">
        <v>1101</v>
      </c>
      <c r="F488" s="19" t="s">
        <v>989</v>
      </c>
      <c r="G488" s="18" t="s">
        <v>505</v>
      </c>
      <c r="H488" s="18" t="s">
        <v>1103</v>
      </c>
      <c r="I488" s="19" t="s">
        <v>248</v>
      </c>
      <c r="J488" s="19" t="s">
        <v>1215</v>
      </c>
      <c r="K488" s="20" t="n">
        <f aca="false">ROUND((IF(E488="Transactional",5,IF(E488="Commercial",4,IF(E488="Comparison",3,IF(E488="Informational",2,3))))*LOG10(IF(ISNUMBER(L488),L488,IFERROR(VALUE(LEFT(F488,FIND("-",F488)-1)),100))+1))/IF(IF(ISBLANK(M488),G488,M488)="High",5,IF(IF(ISBLANK(M488),G488,M488)="Medium",3,1)),2)</f>
        <v>12.39</v>
      </c>
      <c r="L488" s="18"/>
      <c r="M488" s="18"/>
      <c r="N488" s="18"/>
      <c r="O488" s="18" t="s">
        <v>123</v>
      </c>
      <c r="P488" s="19" t="s">
        <v>1105</v>
      </c>
    </row>
    <row r="489" customFormat="false" ht="25.5" hidden="false" customHeight="true" outlineLevel="0" collapsed="false">
      <c r="A489" s="18" t="n">
        <v>488</v>
      </c>
      <c r="B489" s="18" t="n">
        <v>4</v>
      </c>
      <c r="C489" s="18" t="s">
        <v>125</v>
      </c>
      <c r="D489" s="21" t="s">
        <v>1216</v>
      </c>
      <c r="E489" s="18" t="s">
        <v>1101</v>
      </c>
      <c r="F489" s="19" t="s">
        <v>994</v>
      </c>
      <c r="G489" s="18" t="s">
        <v>505</v>
      </c>
      <c r="H489" s="18" t="s">
        <v>1103</v>
      </c>
      <c r="I489" s="19" t="s">
        <v>248</v>
      </c>
      <c r="J489" s="21" t="s">
        <v>1217</v>
      </c>
      <c r="K489" s="20" t="n">
        <f aca="false">ROUND((IF(E489="Transactional",5,IF(E489="Commercial",4,IF(E489="Comparison",3,IF(E489="Informational",2,3))))*LOG10(IF(ISNUMBER(L489),L489,IFERROR(VALUE(LEFT(F489,FIND("-",F489)-1)),100))+1))/IF(IF(ISBLANK(M489),G489,M489)="High",5,IF(IF(ISBLANK(M489),G489,M489)="Medium",3,1)),2)</f>
        <v>12</v>
      </c>
      <c r="L489" s="18"/>
      <c r="M489" s="18"/>
      <c r="N489" s="18"/>
      <c r="O489" s="18" t="s">
        <v>123</v>
      </c>
      <c r="P489" s="19"/>
    </row>
    <row r="490" customFormat="false" ht="25.5" hidden="false" customHeight="true" outlineLevel="0" collapsed="false">
      <c r="A490" s="18" t="n">
        <v>489</v>
      </c>
      <c r="B490" s="18" t="n">
        <v>4</v>
      </c>
      <c r="C490" s="18" t="s">
        <v>115</v>
      </c>
      <c r="D490" s="19" t="s">
        <v>1218</v>
      </c>
      <c r="E490" s="18" t="s">
        <v>1158</v>
      </c>
      <c r="F490" s="19" t="s">
        <v>1000</v>
      </c>
      <c r="G490" s="18" t="s">
        <v>505</v>
      </c>
      <c r="H490" s="18" t="s">
        <v>1103</v>
      </c>
      <c r="I490" s="19" t="s">
        <v>248</v>
      </c>
      <c r="J490" s="19" t="s">
        <v>1219</v>
      </c>
      <c r="K490" s="20" t="n">
        <f aca="false">ROUND((IF(E490="Transactional",5,IF(E490="Commercial",4,IF(E490="Comparison",3,IF(E490="Informational",2,3))))*LOG10(IF(ISNUMBER(L490),L490,IFERROR(VALUE(LEFT(F490,FIND("-",F490)-1)),100))+1))/IF(IF(ISBLANK(M490),G490,M490)="High",5,IF(IF(ISBLANK(M490),G490,M490)="Medium",3,1)),2)</f>
        <v>4.36</v>
      </c>
      <c r="L490" s="18"/>
      <c r="M490" s="18"/>
      <c r="N490" s="18"/>
      <c r="O490" s="18" t="s">
        <v>123</v>
      </c>
      <c r="P490" s="19" t="s">
        <v>1105</v>
      </c>
    </row>
    <row r="491" customFormat="false" ht="25.5" hidden="false" customHeight="true" outlineLevel="0" collapsed="false">
      <c r="A491" s="18" t="n">
        <v>490</v>
      </c>
      <c r="B491" s="18" t="n">
        <v>4</v>
      </c>
      <c r="C491" s="18" t="s">
        <v>125</v>
      </c>
      <c r="D491" s="21" t="s">
        <v>1220</v>
      </c>
      <c r="E491" s="18" t="s">
        <v>1158</v>
      </c>
      <c r="F491" s="19" t="s">
        <v>1115</v>
      </c>
      <c r="G491" s="18" t="s">
        <v>505</v>
      </c>
      <c r="H491" s="18" t="s">
        <v>1103</v>
      </c>
      <c r="I491" s="19" t="s">
        <v>248</v>
      </c>
      <c r="J491" s="21" t="s">
        <v>1221</v>
      </c>
      <c r="K491" s="20" t="n">
        <f aca="false">ROUND((IF(E491="Transactional",5,IF(E491="Commercial",4,IF(E491="Comparison",3,IF(E491="Informational",2,3))))*LOG10(IF(ISNUMBER(L491),L491,IFERROR(VALUE(LEFT(F491,FIND("-",F491)-1)),100))+1))/IF(IF(ISBLANK(M491),G491,M491)="High",5,IF(IF(ISBLANK(M491),G491,M491)="Medium",3,1)),2)</f>
        <v>4.23</v>
      </c>
      <c r="L491" s="18"/>
      <c r="M491" s="18"/>
      <c r="N491" s="18"/>
      <c r="O491" s="18" t="s">
        <v>123</v>
      </c>
      <c r="P491" s="19"/>
    </row>
    <row r="492" customFormat="false" ht="25.5" hidden="false" customHeight="true" outlineLevel="0" collapsed="false">
      <c r="A492" s="18" t="n">
        <v>491</v>
      </c>
      <c r="B492" s="18" t="n">
        <v>4</v>
      </c>
      <c r="C492" s="18" t="s">
        <v>115</v>
      </c>
      <c r="D492" s="19" t="s">
        <v>1222</v>
      </c>
      <c r="E492" s="18" t="s">
        <v>117</v>
      </c>
      <c r="F492" s="19" t="s">
        <v>1102</v>
      </c>
      <c r="G492" s="18" t="s">
        <v>505</v>
      </c>
      <c r="H492" s="18" t="s">
        <v>1103</v>
      </c>
      <c r="I492" s="19" t="s">
        <v>309</v>
      </c>
      <c r="J492" s="19" t="s">
        <v>1223</v>
      </c>
      <c r="K492" s="20" t="n">
        <f aca="false">ROUND((IF(E492="Transactional",5,IF(E492="Commercial",4,IF(E492="Comparison",3,IF(E492="Informational",2,3))))*LOG10(IF(ISNUMBER(L492),L492,IFERROR(VALUE(LEFT(F492,FIND("-",F492)-1)),100))+1))/IF(IF(ISBLANK(M492),G492,M492)="High",5,IF(IF(ISBLANK(M492),G492,M492)="Medium",3,1)),2)</f>
        <v>10.8</v>
      </c>
      <c r="L492" s="18"/>
      <c r="M492" s="18"/>
      <c r="N492" s="18"/>
      <c r="O492" s="18" t="s">
        <v>123</v>
      </c>
      <c r="P492" s="19" t="s">
        <v>1105</v>
      </c>
    </row>
    <row r="493" customFormat="false" ht="25.5" hidden="false" customHeight="true" outlineLevel="0" collapsed="false">
      <c r="A493" s="18" t="n">
        <v>492</v>
      </c>
      <c r="B493" s="18" t="n">
        <v>4</v>
      </c>
      <c r="C493" s="18" t="s">
        <v>125</v>
      </c>
      <c r="D493" s="21" t="s">
        <v>1224</v>
      </c>
      <c r="E493" s="18" t="s">
        <v>117</v>
      </c>
      <c r="F493" s="19" t="s">
        <v>136</v>
      </c>
      <c r="G493" s="18" t="s">
        <v>505</v>
      </c>
      <c r="H493" s="18" t="s">
        <v>1103</v>
      </c>
      <c r="I493" s="19" t="s">
        <v>309</v>
      </c>
      <c r="J493" s="21" t="s">
        <v>1225</v>
      </c>
      <c r="K493" s="20" t="n">
        <f aca="false">ROUND((IF(E493="Transactional",5,IF(E493="Commercial",4,IF(E493="Comparison",3,IF(E493="Informational",2,3))))*LOG10(IF(ISNUMBER(L493),L493,IFERROR(VALUE(LEFT(F493,FIND("-",F493)-1)),100))+1))/IF(IF(ISBLANK(M493),G493,M493)="High",5,IF(IF(ISBLANK(M493),G493,M493)="Medium",3,1)),2)</f>
        <v>10.41</v>
      </c>
      <c r="L493" s="18"/>
      <c r="M493" s="18"/>
      <c r="N493" s="18"/>
      <c r="O493" s="18" t="s">
        <v>123</v>
      </c>
      <c r="P493" s="19"/>
    </row>
    <row r="494" customFormat="false" ht="25.5" hidden="false" customHeight="true" outlineLevel="0" collapsed="false">
      <c r="A494" s="18" t="n">
        <v>493</v>
      </c>
      <c r="B494" s="18" t="n">
        <v>4</v>
      </c>
      <c r="C494" s="18" t="s">
        <v>115</v>
      </c>
      <c r="D494" s="19" t="s">
        <v>1226</v>
      </c>
      <c r="E494" s="18" t="s">
        <v>117</v>
      </c>
      <c r="F494" s="19" t="s">
        <v>1102</v>
      </c>
      <c r="G494" s="18" t="s">
        <v>505</v>
      </c>
      <c r="H494" s="18" t="s">
        <v>1103</v>
      </c>
      <c r="I494" s="19" t="s">
        <v>309</v>
      </c>
      <c r="J494" s="19" t="s">
        <v>1227</v>
      </c>
      <c r="K494" s="20" t="n">
        <f aca="false">ROUND((IF(E494="Transactional",5,IF(E494="Commercial",4,IF(E494="Comparison",3,IF(E494="Informational",2,3))))*LOG10(IF(ISNUMBER(L494),L494,IFERROR(VALUE(LEFT(F494,FIND("-",F494)-1)),100))+1))/IF(IF(ISBLANK(M494),G494,M494)="High",5,IF(IF(ISBLANK(M494),G494,M494)="Medium",3,1)),2)</f>
        <v>10.8</v>
      </c>
      <c r="L494" s="18"/>
      <c r="M494" s="18"/>
      <c r="N494" s="18"/>
      <c r="O494" s="18" t="s">
        <v>123</v>
      </c>
      <c r="P494" s="19" t="s">
        <v>1105</v>
      </c>
    </row>
    <row r="495" customFormat="false" ht="25.5" hidden="false" customHeight="true" outlineLevel="0" collapsed="false">
      <c r="A495" s="18" t="n">
        <v>494</v>
      </c>
      <c r="B495" s="18" t="n">
        <v>4</v>
      </c>
      <c r="C495" s="18" t="s">
        <v>125</v>
      </c>
      <c r="D495" s="21" t="s">
        <v>1228</v>
      </c>
      <c r="E495" s="18" t="s">
        <v>117</v>
      </c>
      <c r="F495" s="19" t="s">
        <v>136</v>
      </c>
      <c r="G495" s="18" t="s">
        <v>505</v>
      </c>
      <c r="H495" s="18" t="s">
        <v>1103</v>
      </c>
      <c r="I495" s="19" t="s">
        <v>309</v>
      </c>
      <c r="J495" s="21" t="s">
        <v>1229</v>
      </c>
      <c r="K495" s="20" t="n">
        <f aca="false">ROUND((IF(E495="Transactional",5,IF(E495="Commercial",4,IF(E495="Comparison",3,IF(E495="Informational",2,3))))*LOG10(IF(ISNUMBER(L495),L495,IFERROR(VALUE(LEFT(F495,FIND("-",F495)-1)),100))+1))/IF(IF(ISBLANK(M495),G495,M495)="High",5,IF(IF(ISBLANK(M495),G495,M495)="Medium",3,1)),2)</f>
        <v>10.41</v>
      </c>
      <c r="L495" s="18"/>
      <c r="M495" s="18"/>
      <c r="N495" s="18"/>
      <c r="O495" s="18" t="s">
        <v>123</v>
      </c>
      <c r="P495" s="19"/>
    </row>
    <row r="496" customFormat="false" ht="25.5" hidden="false" customHeight="true" outlineLevel="0" collapsed="false">
      <c r="A496" s="18" t="n">
        <v>495</v>
      </c>
      <c r="B496" s="18" t="n">
        <v>4</v>
      </c>
      <c r="C496" s="18" t="s">
        <v>115</v>
      </c>
      <c r="D496" s="19" t="s">
        <v>1230</v>
      </c>
      <c r="E496" s="18" t="s">
        <v>117</v>
      </c>
      <c r="F496" s="19" t="s">
        <v>989</v>
      </c>
      <c r="G496" s="18" t="s">
        <v>505</v>
      </c>
      <c r="H496" s="18" t="s">
        <v>1103</v>
      </c>
      <c r="I496" s="19" t="s">
        <v>309</v>
      </c>
      <c r="J496" s="19" t="s">
        <v>1231</v>
      </c>
      <c r="K496" s="20" t="n">
        <f aca="false">ROUND((IF(E496="Transactional",5,IF(E496="Commercial",4,IF(E496="Comparison",3,IF(E496="Informational",2,3))))*LOG10(IF(ISNUMBER(L496),L496,IFERROR(VALUE(LEFT(F496,FIND("-",F496)-1)),100))+1))/IF(IF(ISBLANK(M496),G496,M496)="High",5,IF(IF(ISBLANK(M496),G496,M496)="Medium",3,1)),2)</f>
        <v>9.91</v>
      </c>
      <c r="L496" s="18"/>
      <c r="M496" s="18"/>
      <c r="N496" s="18"/>
      <c r="O496" s="18" t="s">
        <v>123</v>
      </c>
      <c r="P496" s="19" t="s">
        <v>1105</v>
      </c>
    </row>
    <row r="497" customFormat="false" ht="25.5" hidden="false" customHeight="true" outlineLevel="0" collapsed="false">
      <c r="A497" s="18" t="n">
        <v>496</v>
      </c>
      <c r="B497" s="18" t="n">
        <v>4</v>
      </c>
      <c r="C497" s="18" t="s">
        <v>125</v>
      </c>
      <c r="D497" s="21" t="s">
        <v>1232</v>
      </c>
      <c r="E497" s="18" t="s">
        <v>117</v>
      </c>
      <c r="F497" s="19" t="s">
        <v>994</v>
      </c>
      <c r="G497" s="18" t="s">
        <v>505</v>
      </c>
      <c r="H497" s="18" t="s">
        <v>1103</v>
      </c>
      <c r="I497" s="19" t="s">
        <v>309</v>
      </c>
      <c r="J497" s="21" t="s">
        <v>1233</v>
      </c>
      <c r="K497" s="20" t="n">
        <f aca="false">ROUND((IF(E497="Transactional",5,IF(E497="Commercial",4,IF(E497="Comparison",3,IF(E497="Informational",2,3))))*LOG10(IF(ISNUMBER(L497),L497,IFERROR(VALUE(LEFT(F497,FIND("-",F497)-1)),100))+1))/IF(IF(ISBLANK(M497),G497,M497)="High",5,IF(IF(ISBLANK(M497),G497,M497)="Medium",3,1)),2)</f>
        <v>9.6</v>
      </c>
      <c r="L497" s="18"/>
      <c r="M497" s="18"/>
      <c r="N497" s="18"/>
      <c r="O497" s="18" t="s">
        <v>123</v>
      </c>
      <c r="P497" s="19"/>
    </row>
    <row r="498" customFormat="false" ht="25.5" hidden="false" customHeight="true" outlineLevel="0" collapsed="false">
      <c r="A498" s="18" t="n">
        <v>497</v>
      </c>
      <c r="B498" s="18" t="n">
        <v>4</v>
      </c>
      <c r="C498" s="18" t="s">
        <v>115</v>
      </c>
      <c r="D498" s="19" t="s">
        <v>1234</v>
      </c>
      <c r="E498" s="18" t="s">
        <v>117</v>
      </c>
      <c r="F498" s="19" t="s">
        <v>989</v>
      </c>
      <c r="G498" s="18" t="s">
        <v>505</v>
      </c>
      <c r="H498" s="18" t="s">
        <v>1103</v>
      </c>
      <c r="I498" s="19" t="s">
        <v>309</v>
      </c>
      <c r="J498" s="19" t="s">
        <v>1235</v>
      </c>
      <c r="K498" s="20" t="n">
        <f aca="false">ROUND((IF(E498="Transactional",5,IF(E498="Commercial",4,IF(E498="Comparison",3,IF(E498="Informational",2,3))))*LOG10(IF(ISNUMBER(L498),L498,IFERROR(VALUE(LEFT(F498,FIND("-",F498)-1)),100))+1))/IF(IF(ISBLANK(M498),G498,M498)="High",5,IF(IF(ISBLANK(M498),G498,M498)="Medium",3,1)),2)</f>
        <v>9.91</v>
      </c>
      <c r="L498" s="18"/>
      <c r="M498" s="18"/>
      <c r="N498" s="18"/>
      <c r="O498" s="18" t="s">
        <v>123</v>
      </c>
      <c r="P498" s="19" t="s">
        <v>1105</v>
      </c>
    </row>
    <row r="499" customFormat="false" ht="25.5" hidden="false" customHeight="true" outlineLevel="0" collapsed="false">
      <c r="A499" s="18" t="n">
        <v>498</v>
      </c>
      <c r="B499" s="18" t="n">
        <v>4</v>
      </c>
      <c r="C499" s="18" t="s">
        <v>125</v>
      </c>
      <c r="D499" s="21" t="s">
        <v>1236</v>
      </c>
      <c r="E499" s="18" t="s">
        <v>117</v>
      </c>
      <c r="F499" s="19" t="s">
        <v>994</v>
      </c>
      <c r="G499" s="18" t="s">
        <v>505</v>
      </c>
      <c r="H499" s="18" t="s">
        <v>1103</v>
      </c>
      <c r="I499" s="19" t="s">
        <v>309</v>
      </c>
      <c r="J499" s="21" t="s">
        <v>1237</v>
      </c>
      <c r="K499" s="20" t="n">
        <f aca="false">ROUND((IF(E499="Transactional",5,IF(E499="Commercial",4,IF(E499="Comparison",3,IF(E499="Informational",2,3))))*LOG10(IF(ISNUMBER(L499),L499,IFERROR(VALUE(LEFT(F499,FIND("-",F499)-1)),100))+1))/IF(IF(ISBLANK(M499),G499,M499)="High",5,IF(IF(ISBLANK(M499),G499,M499)="Medium",3,1)),2)</f>
        <v>9.6</v>
      </c>
      <c r="L499" s="18"/>
      <c r="M499" s="18"/>
      <c r="N499" s="18"/>
      <c r="O499" s="18" t="s">
        <v>123</v>
      </c>
      <c r="P499" s="19"/>
    </row>
    <row r="500" customFormat="false" ht="25.5" hidden="false" customHeight="true" outlineLevel="0" collapsed="false">
      <c r="A500" s="18" t="n">
        <v>499</v>
      </c>
      <c r="B500" s="18" t="n">
        <v>4</v>
      </c>
      <c r="C500" s="18" t="s">
        <v>115</v>
      </c>
      <c r="D500" s="19" t="s">
        <v>1238</v>
      </c>
      <c r="E500" s="18" t="s">
        <v>117</v>
      </c>
      <c r="F500" s="19" t="s">
        <v>989</v>
      </c>
      <c r="G500" s="18" t="s">
        <v>505</v>
      </c>
      <c r="H500" s="18" t="s">
        <v>1103</v>
      </c>
      <c r="I500" s="19" t="s">
        <v>309</v>
      </c>
      <c r="J500" s="19" t="s">
        <v>1239</v>
      </c>
      <c r="K500" s="20" t="n">
        <f aca="false">ROUND((IF(E500="Transactional",5,IF(E500="Commercial",4,IF(E500="Comparison",3,IF(E500="Informational",2,3))))*LOG10(IF(ISNUMBER(L500),L500,IFERROR(VALUE(LEFT(F500,FIND("-",F500)-1)),100))+1))/IF(IF(ISBLANK(M500),G500,M500)="High",5,IF(IF(ISBLANK(M500),G500,M500)="Medium",3,1)),2)</f>
        <v>9.91</v>
      </c>
      <c r="L500" s="18"/>
      <c r="M500" s="18"/>
      <c r="N500" s="18"/>
      <c r="O500" s="18" t="s">
        <v>123</v>
      </c>
      <c r="P500" s="19" t="s">
        <v>1105</v>
      </c>
    </row>
    <row r="501" customFormat="false" ht="25.5" hidden="false" customHeight="true" outlineLevel="0" collapsed="false">
      <c r="A501" s="18" t="n">
        <v>500</v>
      </c>
      <c r="B501" s="18" t="n">
        <v>4</v>
      </c>
      <c r="C501" s="18" t="s">
        <v>125</v>
      </c>
      <c r="D501" s="21" t="s">
        <v>1240</v>
      </c>
      <c r="E501" s="18" t="s">
        <v>117</v>
      </c>
      <c r="F501" s="19" t="s">
        <v>994</v>
      </c>
      <c r="G501" s="18" t="s">
        <v>505</v>
      </c>
      <c r="H501" s="18" t="s">
        <v>1103</v>
      </c>
      <c r="I501" s="19" t="s">
        <v>309</v>
      </c>
      <c r="J501" s="21" t="s">
        <v>1241</v>
      </c>
      <c r="K501" s="20" t="n">
        <f aca="false">ROUND((IF(E501="Transactional",5,IF(E501="Commercial",4,IF(E501="Comparison",3,IF(E501="Informational",2,3))))*LOG10(IF(ISNUMBER(L501),L501,IFERROR(VALUE(LEFT(F501,FIND("-",F501)-1)),100))+1))/IF(IF(ISBLANK(M501),G501,M501)="High",5,IF(IF(ISBLANK(M501),G501,M501)="Medium",3,1)),2)</f>
        <v>9.6</v>
      </c>
      <c r="L501" s="18"/>
      <c r="M501" s="18"/>
      <c r="N501" s="18"/>
      <c r="O501" s="18" t="s">
        <v>123</v>
      </c>
      <c r="P501" s="19"/>
    </row>
    <row r="502" customFormat="false" ht="25.5" hidden="false" customHeight="true" outlineLevel="0" collapsed="false">
      <c r="A502" s="18" t="n">
        <v>501</v>
      </c>
      <c r="B502" s="18" t="n">
        <v>4</v>
      </c>
      <c r="C502" s="18" t="s">
        <v>115</v>
      </c>
      <c r="D502" s="19" t="s">
        <v>1242</v>
      </c>
      <c r="E502" s="18" t="s">
        <v>117</v>
      </c>
      <c r="F502" s="19" t="s">
        <v>989</v>
      </c>
      <c r="G502" s="18" t="s">
        <v>505</v>
      </c>
      <c r="H502" s="18" t="s">
        <v>1103</v>
      </c>
      <c r="I502" s="19" t="s">
        <v>272</v>
      </c>
      <c r="J502" s="19" t="s">
        <v>1243</v>
      </c>
      <c r="K502" s="20" t="n">
        <f aca="false">ROUND((IF(E502="Transactional",5,IF(E502="Commercial",4,IF(E502="Comparison",3,IF(E502="Informational",2,3))))*LOG10(IF(ISNUMBER(L502),L502,IFERROR(VALUE(LEFT(F502,FIND("-",F502)-1)),100))+1))/IF(IF(ISBLANK(M502),G502,M502)="High",5,IF(IF(ISBLANK(M502),G502,M502)="Medium",3,1)),2)</f>
        <v>9.91</v>
      </c>
      <c r="L502" s="18"/>
      <c r="M502" s="18"/>
      <c r="N502" s="18"/>
      <c r="O502" s="18" t="s">
        <v>123</v>
      </c>
      <c r="P502" s="19" t="s">
        <v>1105</v>
      </c>
    </row>
    <row r="503" customFormat="false" ht="25.5" hidden="false" customHeight="true" outlineLevel="0" collapsed="false">
      <c r="A503" s="18" t="n">
        <v>502</v>
      </c>
      <c r="B503" s="18" t="n">
        <v>4</v>
      </c>
      <c r="C503" s="18" t="s">
        <v>125</v>
      </c>
      <c r="D503" s="21" t="s">
        <v>1244</v>
      </c>
      <c r="E503" s="18" t="s">
        <v>117</v>
      </c>
      <c r="F503" s="19" t="s">
        <v>994</v>
      </c>
      <c r="G503" s="18" t="s">
        <v>505</v>
      </c>
      <c r="H503" s="18" t="s">
        <v>1103</v>
      </c>
      <c r="I503" s="19" t="s">
        <v>272</v>
      </c>
      <c r="J503" s="21" t="s">
        <v>1245</v>
      </c>
      <c r="K503" s="20" t="n">
        <f aca="false">ROUND((IF(E503="Transactional",5,IF(E503="Commercial",4,IF(E503="Comparison",3,IF(E503="Informational",2,3))))*LOG10(IF(ISNUMBER(L503),L503,IFERROR(VALUE(LEFT(F503,FIND("-",F503)-1)),100))+1))/IF(IF(ISBLANK(M503),G503,M503)="High",5,IF(IF(ISBLANK(M503),G503,M503)="Medium",3,1)),2)</f>
        <v>9.6</v>
      </c>
      <c r="L503" s="18"/>
      <c r="M503" s="18"/>
      <c r="N503" s="18"/>
      <c r="O503" s="18" t="s">
        <v>123</v>
      </c>
      <c r="P503" s="19"/>
    </row>
    <row r="504" customFormat="false" ht="25.5" hidden="false" customHeight="true" outlineLevel="0" collapsed="false">
      <c r="A504" s="18" t="n">
        <v>503</v>
      </c>
      <c r="B504" s="18" t="n">
        <v>4</v>
      </c>
      <c r="C504" s="18" t="s">
        <v>115</v>
      </c>
      <c r="D504" s="19" t="s">
        <v>1246</v>
      </c>
      <c r="E504" s="18" t="s">
        <v>117</v>
      </c>
      <c r="F504" s="19" t="s">
        <v>989</v>
      </c>
      <c r="G504" s="18" t="s">
        <v>505</v>
      </c>
      <c r="H504" s="18" t="s">
        <v>1103</v>
      </c>
      <c r="I504" s="19" t="s">
        <v>272</v>
      </c>
      <c r="J504" s="19" t="s">
        <v>1247</v>
      </c>
      <c r="K504" s="20" t="n">
        <f aca="false">ROUND((IF(E504="Transactional",5,IF(E504="Commercial",4,IF(E504="Comparison",3,IF(E504="Informational",2,3))))*LOG10(IF(ISNUMBER(L504),L504,IFERROR(VALUE(LEFT(F504,FIND("-",F504)-1)),100))+1))/IF(IF(ISBLANK(M504),G504,M504)="High",5,IF(IF(ISBLANK(M504),G504,M504)="Medium",3,1)),2)</f>
        <v>9.91</v>
      </c>
      <c r="L504" s="18"/>
      <c r="M504" s="18"/>
      <c r="N504" s="18"/>
      <c r="O504" s="18" t="s">
        <v>123</v>
      </c>
      <c r="P504" s="19" t="s">
        <v>1105</v>
      </c>
    </row>
    <row r="505" customFormat="false" ht="25.5" hidden="false" customHeight="true" outlineLevel="0" collapsed="false">
      <c r="A505" s="18" t="n">
        <v>504</v>
      </c>
      <c r="B505" s="18" t="n">
        <v>4</v>
      </c>
      <c r="C505" s="18" t="s">
        <v>125</v>
      </c>
      <c r="D505" s="21" t="s">
        <v>1248</v>
      </c>
      <c r="E505" s="18" t="s">
        <v>117</v>
      </c>
      <c r="F505" s="19" t="s">
        <v>994</v>
      </c>
      <c r="G505" s="18" t="s">
        <v>505</v>
      </c>
      <c r="H505" s="18" t="s">
        <v>1103</v>
      </c>
      <c r="I505" s="19" t="s">
        <v>272</v>
      </c>
      <c r="J505" s="21" t="s">
        <v>1249</v>
      </c>
      <c r="K505" s="20" t="n">
        <f aca="false">ROUND((IF(E505="Transactional",5,IF(E505="Commercial",4,IF(E505="Comparison",3,IF(E505="Informational",2,3))))*LOG10(IF(ISNUMBER(L505),L505,IFERROR(VALUE(LEFT(F505,FIND("-",F505)-1)),100))+1))/IF(IF(ISBLANK(M505),G505,M505)="High",5,IF(IF(ISBLANK(M505),G505,M505)="Medium",3,1)),2)</f>
        <v>9.6</v>
      </c>
      <c r="L505" s="18"/>
      <c r="M505" s="18"/>
      <c r="N505" s="18"/>
      <c r="O505" s="18" t="s">
        <v>123</v>
      </c>
      <c r="P505" s="19"/>
    </row>
    <row r="506" customFormat="false" ht="25.5" hidden="false" customHeight="true" outlineLevel="0" collapsed="false">
      <c r="A506" s="18" t="n">
        <v>505</v>
      </c>
      <c r="B506" s="18" t="n">
        <v>4</v>
      </c>
      <c r="C506" s="18" t="s">
        <v>115</v>
      </c>
      <c r="D506" s="19" t="s">
        <v>1250</v>
      </c>
      <c r="E506" s="18" t="s">
        <v>1158</v>
      </c>
      <c r="F506" s="19" t="s">
        <v>989</v>
      </c>
      <c r="G506" s="18" t="s">
        <v>505</v>
      </c>
      <c r="H506" s="18" t="s">
        <v>1103</v>
      </c>
      <c r="I506" s="19" t="s">
        <v>272</v>
      </c>
      <c r="J506" s="19" t="s">
        <v>1251</v>
      </c>
      <c r="K506" s="20" t="n">
        <f aca="false">ROUND((IF(E506="Transactional",5,IF(E506="Commercial",4,IF(E506="Comparison",3,IF(E506="Informational",2,3))))*LOG10(IF(ISNUMBER(L506),L506,IFERROR(VALUE(LEFT(F506,FIND("-",F506)-1)),100))+1))/IF(IF(ISBLANK(M506),G506,M506)="High",5,IF(IF(ISBLANK(M506),G506,M506)="Medium",3,1)),2)</f>
        <v>4.96</v>
      </c>
      <c r="L506" s="18"/>
      <c r="M506" s="18"/>
      <c r="N506" s="18"/>
      <c r="O506" s="18" t="s">
        <v>123</v>
      </c>
      <c r="P506" s="19" t="s">
        <v>1105</v>
      </c>
    </row>
    <row r="507" customFormat="false" ht="25.5" hidden="false" customHeight="true" outlineLevel="0" collapsed="false">
      <c r="A507" s="18" t="n">
        <v>506</v>
      </c>
      <c r="B507" s="18" t="n">
        <v>4</v>
      </c>
      <c r="C507" s="18" t="s">
        <v>125</v>
      </c>
      <c r="D507" s="21" t="s">
        <v>1252</v>
      </c>
      <c r="E507" s="18" t="s">
        <v>1158</v>
      </c>
      <c r="F507" s="19" t="s">
        <v>994</v>
      </c>
      <c r="G507" s="18" t="s">
        <v>505</v>
      </c>
      <c r="H507" s="18" t="s">
        <v>1103</v>
      </c>
      <c r="I507" s="19" t="s">
        <v>272</v>
      </c>
      <c r="J507" s="21" t="s">
        <v>1253</v>
      </c>
      <c r="K507" s="20" t="n">
        <f aca="false">ROUND((IF(E507="Transactional",5,IF(E507="Commercial",4,IF(E507="Comparison",3,IF(E507="Informational",2,3))))*LOG10(IF(ISNUMBER(L507),L507,IFERROR(VALUE(LEFT(F507,FIND("-",F507)-1)),100))+1))/IF(IF(ISBLANK(M507),G507,M507)="High",5,IF(IF(ISBLANK(M507),G507,M507)="Medium",3,1)),2)</f>
        <v>4.8</v>
      </c>
      <c r="L507" s="18"/>
      <c r="M507" s="18"/>
      <c r="N507" s="18"/>
      <c r="O507" s="18" t="s">
        <v>123</v>
      </c>
      <c r="P507" s="19"/>
    </row>
    <row r="508" customFormat="false" ht="25.5" hidden="false" customHeight="true" outlineLevel="0" collapsed="false">
      <c r="A508" s="18" t="n">
        <v>507</v>
      </c>
      <c r="B508" s="18" t="n">
        <v>4</v>
      </c>
      <c r="C508" s="18" t="s">
        <v>115</v>
      </c>
      <c r="D508" s="19" t="s">
        <v>1254</v>
      </c>
      <c r="E508" s="18" t="s">
        <v>1158</v>
      </c>
      <c r="F508" s="19" t="s">
        <v>1000</v>
      </c>
      <c r="G508" s="18" t="s">
        <v>505</v>
      </c>
      <c r="H508" s="18" t="s">
        <v>1103</v>
      </c>
      <c r="I508" s="19" t="s">
        <v>272</v>
      </c>
      <c r="J508" s="19" t="s">
        <v>1255</v>
      </c>
      <c r="K508" s="20" t="n">
        <f aca="false">ROUND((IF(E508="Transactional",5,IF(E508="Commercial",4,IF(E508="Comparison",3,IF(E508="Informational",2,3))))*LOG10(IF(ISNUMBER(L508),L508,IFERROR(VALUE(LEFT(F508,FIND("-",F508)-1)),100))+1))/IF(IF(ISBLANK(M508),G508,M508)="High",5,IF(IF(ISBLANK(M508),G508,M508)="Medium",3,1)),2)</f>
        <v>4.36</v>
      </c>
      <c r="L508" s="18"/>
      <c r="M508" s="18"/>
      <c r="N508" s="18"/>
      <c r="O508" s="18" t="s">
        <v>123</v>
      </c>
      <c r="P508" s="19" t="s">
        <v>1105</v>
      </c>
    </row>
    <row r="509" customFormat="false" ht="25.5" hidden="false" customHeight="true" outlineLevel="0" collapsed="false">
      <c r="A509" s="18" t="n">
        <v>508</v>
      </c>
      <c r="B509" s="18" t="n">
        <v>4</v>
      </c>
      <c r="C509" s="18" t="s">
        <v>125</v>
      </c>
      <c r="D509" s="21" t="s">
        <v>1256</v>
      </c>
      <c r="E509" s="18" t="s">
        <v>1158</v>
      </c>
      <c r="F509" s="19" t="s">
        <v>1115</v>
      </c>
      <c r="G509" s="18" t="s">
        <v>505</v>
      </c>
      <c r="H509" s="18" t="s">
        <v>1103</v>
      </c>
      <c r="I509" s="19" t="s">
        <v>272</v>
      </c>
      <c r="J509" s="21" t="s">
        <v>1257</v>
      </c>
      <c r="K509" s="20" t="n">
        <f aca="false">ROUND((IF(E509="Transactional",5,IF(E509="Commercial",4,IF(E509="Comparison",3,IF(E509="Informational",2,3))))*LOG10(IF(ISNUMBER(L509),L509,IFERROR(VALUE(LEFT(F509,FIND("-",F509)-1)),100))+1))/IF(IF(ISBLANK(M509),G509,M509)="High",5,IF(IF(ISBLANK(M509),G509,M509)="Medium",3,1)),2)</f>
        <v>4.23</v>
      </c>
      <c r="L509" s="18"/>
      <c r="M509" s="18"/>
      <c r="N509" s="18"/>
      <c r="O509" s="18" t="s">
        <v>123</v>
      </c>
      <c r="P509" s="19"/>
    </row>
    <row r="510" customFormat="false" ht="25.5" hidden="false" customHeight="true" outlineLevel="0" collapsed="false">
      <c r="A510" s="18" t="n">
        <v>509</v>
      </c>
      <c r="B510" s="18" t="n">
        <v>4</v>
      </c>
      <c r="C510" s="18" t="s">
        <v>115</v>
      </c>
      <c r="D510" s="19" t="s">
        <v>1258</v>
      </c>
      <c r="E510" s="18" t="s">
        <v>117</v>
      </c>
      <c r="F510" s="19" t="s">
        <v>989</v>
      </c>
      <c r="G510" s="18" t="s">
        <v>505</v>
      </c>
      <c r="H510" s="18" t="s">
        <v>1103</v>
      </c>
      <c r="I510" s="19" t="s">
        <v>260</v>
      </c>
      <c r="J510" s="19" t="s">
        <v>1259</v>
      </c>
      <c r="K510" s="20" t="n">
        <f aca="false">ROUND((IF(E510="Transactional",5,IF(E510="Commercial",4,IF(E510="Comparison",3,IF(E510="Informational",2,3))))*LOG10(IF(ISNUMBER(L510),L510,IFERROR(VALUE(LEFT(F510,FIND("-",F510)-1)),100))+1))/IF(IF(ISBLANK(M510),G510,M510)="High",5,IF(IF(ISBLANK(M510),G510,M510)="Medium",3,1)),2)</f>
        <v>9.91</v>
      </c>
      <c r="L510" s="18"/>
      <c r="M510" s="18"/>
      <c r="N510" s="18"/>
      <c r="O510" s="18" t="s">
        <v>123</v>
      </c>
      <c r="P510" s="19" t="s">
        <v>1105</v>
      </c>
    </row>
    <row r="511" customFormat="false" ht="25.5" hidden="false" customHeight="true" outlineLevel="0" collapsed="false">
      <c r="A511" s="18" t="n">
        <v>510</v>
      </c>
      <c r="B511" s="18" t="n">
        <v>4</v>
      </c>
      <c r="C511" s="18" t="s">
        <v>125</v>
      </c>
      <c r="D511" s="21" t="s">
        <v>1260</v>
      </c>
      <c r="E511" s="18" t="s">
        <v>117</v>
      </c>
      <c r="F511" s="19" t="s">
        <v>994</v>
      </c>
      <c r="G511" s="18" t="s">
        <v>505</v>
      </c>
      <c r="H511" s="18" t="s">
        <v>1103</v>
      </c>
      <c r="I511" s="19" t="s">
        <v>260</v>
      </c>
      <c r="J511" s="21" t="s">
        <v>1261</v>
      </c>
      <c r="K511" s="20" t="n">
        <f aca="false">ROUND((IF(E511="Transactional",5,IF(E511="Commercial",4,IF(E511="Comparison",3,IF(E511="Informational",2,3))))*LOG10(IF(ISNUMBER(L511),L511,IFERROR(VALUE(LEFT(F511,FIND("-",F511)-1)),100))+1))/IF(IF(ISBLANK(M511),G511,M511)="High",5,IF(IF(ISBLANK(M511),G511,M511)="Medium",3,1)),2)</f>
        <v>9.6</v>
      </c>
      <c r="L511" s="18"/>
      <c r="M511" s="18"/>
      <c r="N511" s="18"/>
      <c r="O511" s="18" t="s">
        <v>123</v>
      </c>
      <c r="P511" s="19"/>
    </row>
    <row r="512" customFormat="false" ht="25.5" hidden="false" customHeight="true" outlineLevel="0" collapsed="false">
      <c r="A512" s="18" t="n">
        <v>511</v>
      </c>
      <c r="B512" s="18" t="n">
        <v>4</v>
      </c>
      <c r="C512" s="18" t="s">
        <v>115</v>
      </c>
      <c r="D512" s="19" t="s">
        <v>1262</v>
      </c>
      <c r="E512" s="18" t="s">
        <v>117</v>
      </c>
      <c r="F512" s="19" t="s">
        <v>989</v>
      </c>
      <c r="G512" s="18" t="s">
        <v>505</v>
      </c>
      <c r="H512" s="18" t="s">
        <v>1103</v>
      </c>
      <c r="I512" s="19" t="s">
        <v>260</v>
      </c>
      <c r="J512" s="19" t="s">
        <v>1263</v>
      </c>
      <c r="K512" s="20" t="n">
        <f aca="false">ROUND((IF(E512="Transactional",5,IF(E512="Commercial",4,IF(E512="Comparison",3,IF(E512="Informational",2,3))))*LOG10(IF(ISNUMBER(L512),L512,IFERROR(VALUE(LEFT(F512,FIND("-",F512)-1)),100))+1))/IF(IF(ISBLANK(M512),G512,M512)="High",5,IF(IF(ISBLANK(M512),G512,M512)="Medium",3,1)),2)</f>
        <v>9.91</v>
      </c>
      <c r="L512" s="18"/>
      <c r="M512" s="18"/>
      <c r="N512" s="18"/>
      <c r="O512" s="18" t="s">
        <v>123</v>
      </c>
      <c r="P512" s="19" t="s">
        <v>1105</v>
      </c>
    </row>
    <row r="513" customFormat="false" ht="25.5" hidden="false" customHeight="true" outlineLevel="0" collapsed="false">
      <c r="A513" s="18" t="n">
        <v>512</v>
      </c>
      <c r="B513" s="18" t="n">
        <v>4</v>
      </c>
      <c r="C513" s="18" t="s">
        <v>125</v>
      </c>
      <c r="D513" s="21" t="s">
        <v>1264</v>
      </c>
      <c r="E513" s="18" t="s">
        <v>117</v>
      </c>
      <c r="F513" s="19" t="s">
        <v>994</v>
      </c>
      <c r="G513" s="18" t="s">
        <v>505</v>
      </c>
      <c r="H513" s="18" t="s">
        <v>1103</v>
      </c>
      <c r="I513" s="19" t="s">
        <v>260</v>
      </c>
      <c r="J513" s="21" t="s">
        <v>1265</v>
      </c>
      <c r="K513" s="20" t="n">
        <f aca="false">ROUND((IF(E513="Transactional",5,IF(E513="Commercial",4,IF(E513="Comparison",3,IF(E513="Informational",2,3))))*LOG10(IF(ISNUMBER(L513),L513,IFERROR(VALUE(LEFT(F513,FIND("-",F513)-1)),100))+1))/IF(IF(ISBLANK(M513),G513,M513)="High",5,IF(IF(ISBLANK(M513),G513,M513)="Medium",3,1)),2)</f>
        <v>9.6</v>
      </c>
      <c r="L513" s="18"/>
      <c r="M513" s="18"/>
      <c r="N513" s="18"/>
      <c r="O513" s="18" t="s">
        <v>123</v>
      </c>
      <c r="P513" s="19"/>
    </row>
    <row r="514" customFormat="false" ht="25.5" hidden="false" customHeight="true" outlineLevel="0" collapsed="false">
      <c r="A514" s="18" t="n">
        <v>513</v>
      </c>
      <c r="B514" s="18" t="n">
        <v>4</v>
      </c>
      <c r="C514" s="18" t="s">
        <v>115</v>
      </c>
      <c r="D514" s="19" t="s">
        <v>1266</v>
      </c>
      <c r="E514" s="18" t="s">
        <v>117</v>
      </c>
      <c r="F514" s="19" t="s">
        <v>989</v>
      </c>
      <c r="G514" s="18" t="s">
        <v>505</v>
      </c>
      <c r="H514" s="18" t="s">
        <v>1103</v>
      </c>
      <c r="I514" s="19" t="s">
        <v>260</v>
      </c>
      <c r="J514" s="19" t="s">
        <v>1267</v>
      </c>
      <c r="K514" s="20" t="n">
        <f aca="false">ROUND((IF(E514="Transactional",5,IF(E514="Commercial",4,IF(E514="Comparison",3,IF(E514="Informational",2,3))))*LOG10(IF(ISNUMBER(L514),L514,IFERROR(VALUE(LEFT(F514,FIND("-",F514)-1)),100))+1))/IF(IF(ISBLANK(M514),G514,M514)="High",5,IF(IF(ISBLANK(M514),G514,M514)="Medium",3,1)),2)</f>
        <v>9.91</v>
      </c>
      <c r="L514" s="18"/>
      <c r="M514" s="18"/>
      <c r="N514" s="18"/>
      <c r="O514" s="18" t="s">
        <v>123</v>
      </c>
      <c r="P514" s="19" t="s">
        <v>1105</v>
      </c>
    </row>
    <row r="515" customFormat="false" ht="25.5" hidden="false" customHeight="true" outlineLevel="0" collapsed="false">
      <c r="A515" s="18" t="n">
        <v>514</v>
      </c>
      <c r="B515" s="18" t="n">
        <v>4</v>
      </c>
      <c r="C515" s="18" t="s">
        <v>125</v>
      </c>
      <c r="D515" s="21" t="s">
        <v>1268</v>
      </c>
      <c r="E515" s="18" t="s">
        <v>117</v>
      </c>
      <c r="F515" s="19" t="s">
        <v>994</v>
      </c>
      <c r="G515" s="18" t="s">
        <v>505</v>
      </c>
      <c r="H515" s="18" t="s">
        <v>1103</v>
      </c>
      <c r="I515" s="19" t="s">
        <v>260</v>
      </c>
      <c r="J515" s="21" t="s">
        <v>1269</v>
      </c>
      <c r="K515" s="20" t="n">
        <f aca="false">ROUND((IF(E515="Transactional",5,IF(E515="Commercial",4,IF(E515="Comparison",3,IF(E515="Informational",2,3))))*LOG10(IF(ISNUMBER(L515),L515,IFERROR(VALUE(LEFT(F515,FIND("-",F515)-1)),100))+1))/IF(IF(ISBLANK(M515),G515,M515)="High",5,IF(IF(ISBLANK(M515),G515,M515)="Medium",3,1)),2)</f>
        <v>9.6</v>
      </c>
      <c r="L515" s="18"/>
      <c r="M515" s="18"/>
      <c r="N515" s="18"/>
      <c r="O515" s="18" t="s">
        <v>123</v>
      </c>
      <c r="P515" s="19"/>
    </row>
    <row r="516" customFormat="false" ht="25.5" hidden="false" customHeight="true" outlineLevel="0" collapsed="false">
      <c r="A516" s="18" t="n">
        <v>515</v>
      </c>
      <c r="B516" s="18" t="n">
        <v>4</v>
      </c>
      <c r="C516" s="18" t="s">
        <v>115</v>
      </c>
      <c r="D516" s="19" t="s">
        <v>1270</v>
      </c>
      <c r="E516" s="18" t="s">
        <v>117</v>
      </c>
      <c r="F516" s="19" t="s">
        <v>989</v>
      </c>
      <c r="G516" s="18" t="s">
        <v>505</v>
      </c>
      <c r="H516" s="18" t="s">
        <v>1103</v>
      </c>
      <c r="I516" s="19" t="s">
        <v>266</v>
      </c>
      <c r="J516" s="19" t="s">
        <v>1271</v>
      </c>
      <c r="K516" s="20" t="n">
        <f aca="false">ROUND((IF(E516="Transactional",5,IF(E516="Commercial",4,IF(E516="Comparison",3,IF(E516="Informational",2,3))))*LOG10(IF(ISNUMBER(L516),L516,IFERROR(VALUE(LEFT(F516,FIND("-",F516)-1)),100))+1))/IF(IF(ISBLANK(M516),G516,M516)="High",5,IF(IF(ISBLANK(M516),G516,M516)="Medium",3,1)),2)</f>
        <v>9.91</v>
      </c>
      <c r="L516" s="18"/>
      <c r="M516" s="18"/>
      <c r="N516" s="18"/>
      <c r="O516" s="18" t="s">
        <v>123</v>
      </c>
      <c r="P516" s="19" t="s">
        <v>1105</v>
      </c>
    </row>
    <row r="517" customFormat="false" ht="25.5" hidden="false" customHeight="true" outlineLevel="0" collapsed="false">
      <c r="A517" s="18" t="n">
        <v>516</v>
      </c>
      <c r="B517" s="18" t="n">
        <v>4</v>
      </c>
      <c r="C517" s="18" t="s">
        <v>125</v>
      </c>
      <c r="D517" s="21" t="s">
        <v>1272</v>
      </c>
      <c r="E517" s="18" t="s">
        <v>117</v>
      </c>
      <c r="F517" s="19" t="s">
        <v>994</v>
      </c>
      <c r="G517" s="18" t="s">
        <v>505</v>
      </c>
      <c r="H517" s="18" t="s">
        <v>1103</v>
      </c>
      <c r="I517" s="19" t="s">
        <v>266</v>
      </c>
      <c r="J517" s="21" t="s">
        <v>1273</v>
      </c>
      <c r="K517" s="20" t="n">
        <f aca="false">ROUND((IF(E517="Transactional",5,IF(E517="Commercial",4,IF(E517="Comparison",3,IF(E517="Informational",2,3))))*LOG10(IF(ISNUMBER(L517),L517,IFERROR(VALUE(LEFT(F517,FIND("-",F517)-1)),100))+1))/IF(IF(ISBLANK(M517),G517,M517)="High",5,IF(IF(ISBLANK(M517),G517,M517)="Medium",3,1)),2)</f>
        <v>9.6</v>
      </c>
      <c r="L517" s="18"/>
      <c r="M517" s="18"/>
      <c r="N517" s="18"/>
      <c r="O517" s="18" t="s">
        <v>123</v>
      </c>
      <c r="P517" s="19"/>
    </row>
    <row r="518" customFormat="false" ht="25.5" hidden="false" customHeight="true" outlineLevel="0" collapsed="false">
      <c r="A518" s="18" t="n">
        <v>517</v>
      </c>
      <c r="B518" s="18" t="n">
        <v>4</v>
      </c>
      <c r="C518" s="18" t="s">
        <v>115</v>
      </c>
      <c r="D518" s="19" t="s">
        <v>1274</v>
      </c>
      <c r="E518" s="18" t="s">
        <v>117</v>
      </c>
      <c r="F518" s="19" t="s">
        <v>989</v>
      </c>
      <c r="G518" s="18" t="s">
        <v>505</v>
      </c>
      <c r="H518" s="18" t="s">
        <v>1103</v>
      </c>
      <c r="I518" s="19" t="s">
        <v>266</v>
      </c>
      <c r="J518" s="19" t="s">
        <v>1275</v>
      </c>
      <c r="K518" s="20" t="n">
        <f aca="false">ROUND((IF(E518="Transactional",5,IF(E518="Commercial",4,IF(E518="Comparison",3,IF(E518="Informational",2,3))))*LOG10(IF(ISNUMBER(L518),L518,IFERROR(VALUE(LEFT(F518,FIND("-",F518)-1)),100))+1))/IF(IF(ISBLANK(M518),G518,M518)="High",5,IF(IF(ISBLANK(M518),G518,M518)="Medium",3,1)),2)</f>
        <v>9.91</v>
      </c>
      <c r="L518" s="18"/>
      <c r="M518" s="18"/>
      <c r="N518" s="18"/>
      <c r="O518" s="18" t="s">
        <v>123</v>
      </c>
      <c r="P518" s="19" t="s">
        <v>1105</v>
      </c>
    </row>
    <row r="519" customFormat="false" ht="25.5" hidden="false" customHeight="true" outlineLevel="0" collapsed="false">
      <c r="A519" s="18" t="n">
        <v>518</v>
      </c>
      <c r="B519" s="18" t="n">
        <v>4</v>
      </c>
      <c r="C519" s="18" t="s">
        <v>125</v>
      </c>
      <c r="D519" s="21" t="s">
        <v>1276</v>
      </c>
      <c r="E519" s="18" t="s">
        <v>117</v>
      </c>
      <c r="F519" s="19" t="s">
        <v>994</v>
      </c>
      <c r="G519" s="18" t="s">
        <v>505</v>
      </c>
      <c r="H519" s="18" t="s">
        <v>1103</v>
      </c>
      <c r="I519" s="19" t="s">
        <v>266</v>
      </c>
      <c r="J519" s="21" t="s">
        <v>1277</v>
      </c>
      <c r="K519" s="20" t="n">
        <f aca="false">ROUND((IF(E519="Transactional",5,IF(E519="Commercial",4,IF(E519="Comparison",3,IF(E519="Informational",2,3))))*LOG10(IF(ISNUMBER(L519),L519,IFERROR(VALUE(LEFT(F519,FIND("-",F519)-1)),100))+1))/IF(IF(ISBLANK(M519),G519,M519)="High",5,IF(IF(ISBLANK(M519),G519,M519)="Medium",3,1)),2)</f>
        <v>9.6</v>
      </c>
      <c r="L519" s="18"/>
      <c r="M519" s="18"/>
      <c r="N519" s="18"/>
      <c r="O519" s="18" t="s">
        <v>123</v>
      </c>
      <c r="P519" s="19"/>
    </row>
    <row r="520" customFormat="false" ht="25.5" hidden="false" customHeight="true" outlineLevel="0" collapsed="false">
      <c r="A520" s="18" t="n">
        <v>519</v>
      </c>
      <c r="B520" s="18" t="n">
        <v>4</v>
      </c>
      <c r="C520" s="18" t="s">
        <v>115</v>
      </c>
      <c r="D520" s="19" t="s">
        <v>1278</v>
      </c>
      <c r="E520" s="18" t="s">
        <v>117</v>
      </c>
      <c r="F520" s="19" t="s">
        <v>989</v>
      </c>
      <c r="G520" s="18" t="s">
        <v>505</v>
      </c>
      <c r="H520" s="18" t="s">
        <v>1103</v>
      </c>
      <c r="I520" s="19" t="s">
        <v>266</v>
      </c>
      <c r="J520" s="19" t="s">
        <v>1279</v>
      </c>
      <c r="K520" s="20" t="n">
        <f aca="false">ROUND((IF(E520="Transactional",5,IF(E520="Commercial",4,IF(E520="Comparison",3,IF(E520="Informational",2,3))))*LOG10(IF(ISNUMBER(L520),L520,IFERROR(VALUE(LEFT(F520,FIND("-",F520)-1)),100))+1))/IF(IF(ISBLANK(M520),G520,M520)="High",5,IF(IF(ISBLANK(M520),G520,M520)="Medium",3,1)),2)</f>
        <v>9.91</v>
      </c>
      <c r="L520" s="18"/>
      <c r="M520" s="18"/>
      <c r="N520" s="18"/>
      <c r="O520" s="18" t="s">
        <v>123</v>
      </c>
      <c r="P520" s="19" t="s">
        <v>1105</v>
      </c>
    </row>
    <row r="521" customFormat="false" ht="25.5" hidden="false" customHeight="true" outlineLevel="0" collapsed="false">
      <c r="A521" s="18" t="n">
        <v>520</v>
      </c>
      <c r="B521" s="18" t="n">
        <v>4</v>
      </c>
      <c r="C521" s="18" t="s">
        <v>125</v>
      </c>
      <c r="D521" s="21" t="s">
        <v>1280</v>
      </c>
      <c r="E521" s="18" t="s">
        <v>117</v>
      </c>
      <c r="F521" s="19" t="s">
        <v>994</v>
      </c>
      <c r="G521" s="18" t="s">
        <v>505</v>
      </c>
      <c r="H521" s="18" t="s">
        <v>1103</v>
      </c>
      <c r="I521" s="19" t="s">
        <v>266</v>
      </c>
      <c r="J521" s="21" t="s">
        <v>1281</v>
      </c>
      <c r="K521" s="20" t="n">
        <f aca="false">ROUND((IF(E521="Transactional",5,IF(E521="Commercial",4,IF(E521="Comparison",3,IF(E521="Informational",2,3))))*LOG10(IF(ISNUMBER(L521),L521,IFERROR(VALUE(LEFT(F521,FIND("-",F521)-1)),100))+1))/IF(IF(ISBLANK(M521),G521,M521)="High",5,IF(IF(ISBLANK(M521),G521,M521)="Medium",3,1)),2)</f>
        <v>9.6</v>
      </c>
      <c r="L521" s="18"/>
      <c r="M521" s="18"/>
      <c r="N521" s="18"/>
      <c r="O521" s="18" t="s">
        <v>123</v>
      </c>
      <c r="P521" s="19"/>
    </row>
    <row r="522" customFormat="false" ht="25.5" hidden="false" customHeight="true" outlineLevel="0" collapsed="false">
      <c r="A522" s="18" t="n">
        <v>521</v>
      </c>
      <c r="B522" s="18" t="n">
        <v>4</v>
      </c>
      <c r="C522" s="18" t="s">
        <v>115</v>
      </c>
      <c r="D522" s="19" t="s">
        <v>1282</v>
      </c>
      <c r="E522" s="18" t="s">
        <v>117</v>
      </c>
      <c r="F522" s="19" t="s">
        <v>989</v>
      </c>
      <c r="G522" s="18" t="s">
        <v>505</v>
      </c>
      <c r="H522" s="18" t="s">
        <v>1103</v>
      </c>
      <c r="I522" s="19" t="s">
        <v>1283</v>
      </c>
      <c r="J522" s="19" t="s">
        <v>1284</v>
      </c>
      <c r="K522" s="20" t="n">
        <f aca="false">ROUND((IF(E522="Transactional",5,IF(E522="Commercial",4,IF(E522="Comparison",3,IF(E522="Informational",2,3))))*LOG10(IF(ISNUMBER(L522),L522,IFERROR(VALUE(LEFT(F522,FIND("-",F522)-1)),100))+1))/IF(IF(ISBLANK(M522),G522,M522)="High",5,IF(IF(ISBLANK(M522),G522,M522)="Medium",3,1)),2)</f>
        <v>9.91</v>
      </c>
      <c r="L522" s="18"/>
      <c r="M522" s="18"/>
      <c r="N522" s="18"/>
      <c r="O522" s="18" t="s">
        <v>123</v>
      </c>
      <c r="P522" s="19" t="s">
        <v>1105</v>
      </c>
    </row>
    <row r="523" customFormat="false" ht="25.5" hidden="false" customHeight="true" outlineLevel="0" collapsed="false">
      <c r="A523" s="18" t="n">
        <v>522</v>
      </c>
      <c r="B523" s="18" t="n">
        <v>4</v>
      </c>
      <c r="C523" s="18" t="s">
        <v>125</v>
      </c>
      <c r="D523" s="21" t="s">
        <v>1285</v>
      </c>
      <c r="E523" s="18" t="s">
        <v>117</v>
      </c>
      <c r="F523" s="19" t="s">
        <v>994</v>
      </c>
      <c r="G523" s="18" t="s">
        <v>505</v>
      </c>
      <c r="H523" s="18" t="s">
        <v>1103</v>
      </c>
      <c r="I523" s="19" t="s">
        <v>1283</v>
      </c>
      <c r="J523" s="21" t="s">
        <v>1286</v>
      </c>
      <c r="K523" s="20" t="n">
        <f aca="false">ROUND((IF(E523="Transactional",5,IF(E523="Commercial",4,IF(E523="Comparison",3,IF(E523="Informational",2,3))))*LOG10(IF(ISNUMBER(L523),L523,IFERROR(VALUE(LEFT(F523,FIND("-",F523)-1)),100))+1))/IF(IF(ISBLANK(M523),G523,M523)="High",5,IF(IF(ISBLANK(M523),G523,M523)="Medium",3,1)),2)</f>
        <v>9.6</v>
      </c>
      <c r="L523" s="18"/>
      <c r="M523" s="18"/>
      <c r="N523" s="18"/>
      <c r="O523" s="18" t="s">
        <v>123</v>
      </c>
      <c r="P523" s="19"/>
    </row>
    <row r="524" customFormat="false" ht="25.5" hidden="false" customHeight="true" outlineLevel="0" collapsed="false">
      <c r="A524" s="18" t="n">
        <v>523</v>
      </c>
      <c r="B524" s="18" t="n">
        <v>4</v>
      </c>
      <c r="C524" s="18" t="s">
        <v>115</v>
      </c>
      <c r="D524" s="19" t="s">
        <v>1287</v>
      </c>
      <c r="E524" s="18" t="s">
        <v>117</v>
      </c>
      <c r="F524" s="19" t="s">
        <v>989</v>
      </c>
      <c r="G524" s="18" t="s">
        <v>505</v>
      </c>
      <c r="H524" s="18" t="s">
        <v>1103</v>
      </c>
      <c r="I524" s="19" t="s">
        <v>385</v>
      </c>
      <c r="J524" s="19" t="s">
        <v>1288</v>
      </c>
      <c r="K524" s="20" t="n">
        <f aca="false">ROUND((IF(E524="Transactional",5,IF(E524="Commercial",4,IF(E524="Comparison",3,IF(E524="Informational",2,3))))*LOG10(IF(ISNUMBER(L524),L524,IFERROR(VALUE(LEFT(F524,FIND("-",F524)-1)),100))+1))/IF(IF(ISBLANK(M524),G524,M524)="High",5,IF(IF(ISBLANK(M524),G524,M524)="Medium",3,1)),2)</f>
        <v>9.91</v>
      </c>
      <c r="L524" s="18"/>
      <c r="M524" s="18"/>
      <c r="N524" s="18"/>
      <c r="O524" s="18" t="s">
        <v>123</v>
      </c>
      <c r="P524" s="19" t="s">
        <v>1105</v>
      </c>
    </row>
    <row r="525" customFormat="false" ht="25.5" hidden="false" customHeight="true" outlineLevel="0" collapsed="false">
      <c r="A525" s="18" t="n">
        <v>524</v>
      </c>
      <c r="B525" s="18" t="n">
        <v>4</v>
      </c>
      <c r="C525" s="18" t="s">
        <v>125</v>
      </c>
      <c r="D525" s="21" t="s">
        <v>1289</v>
      </c>
      <c r="E525" s="18" t="s">
        <v>117</v>
      </c>
      <c r="F525" s="19" t="s">
        <v>994</v>
      </c>
      <c r="G525" s="18" t="s">
        <v>505</v>
      </c>
      <c r="H525" s="18" t="s">
        <v>1103</v>
      </c>
      <c r="I525" s="19" t="s">
        <v>385</v>
      </c>
      <c r="J525" s="21" t="s">
        <v>1290</v>
      </c>
      <c r="K525" s="20" t="n">
        <f aca="false">ROUND((IF(E525="Transactional",5,IF(E525="Commercial",4,IF(E525="Comparison",3,IF(E525="Informational",2,3))))*LOG10(IF(ISNUMBER(L525),L525,IFERROR(VALUE(LEFT(F525,FIND("-",F525)-1)),100))+1))/IF(IF(ISBLANK(M525),G525,M525)="High",5,IF(IF(ISBLANK(M525),G525,M525)="Medium",3,1)),2)</f>
        <v>9.6</v>
      </c>
      <c r="L525" s="18"/>
      <c r="M525" s="18"/>
      <c r="N525" s="18"/>
      <c r="O525" s="18" t="s">
        <v>123</v>
      </c>
      <c r="P525" s="19"/>
    </row>
    <row r="526" customFormat="false" ht="25.5" hidden="false" customHeight="true" outlineLevel="0" collapsed="false">
      <c r="A526" s="18" t="n">
        <v>525</v>
      </c>
      <c r="B526" s="18" t="n">
        <v>4</v>
      </c>
      <c r="C526" s="18" t="s">
        <v>115</v>
      </c>
      <c r="D526" s="19" t="s">
        <v>1291</v>
      </c>
      <c r="E526" s="18" t="s">
        <v>117</v>
      </c>
      <c r="F526" s="19" t="s">
        <v>989</v>
      </c>
      <c r="G526" s="18" t="s">
        <v>505</v>
      </c>
      <c r="H526" s="18" t="s">
        <v>1103</v>
      </c>
      <c r="I526" s="19" t="s">
        <v>379</v>
      </c>
      <c r="J526" s="19" t="s">
        <v>1292</v>
      </c>
      <c r="K526" s="20" t="n">
        <f aca="false">ROUND((IF(E526="Transactional",5,IF(E526="Commercial",4,IF(E526="Comparison",3,IF(E526="Informational",2,3))))*LOG10(IF(ISNUMBER(L526),L526,IFERROR(VALUE(LEFT(F526,FIND("-",F526)-1)),100))+1))/IF(IF(ISBLANK(M526),G526,M526)="High",5,IF(IF(ISBLANK(M526),G526,M526)="Medium",3,1)),2)</f>
        <v>9.91</v>
      </c>
      <c r="L526" s="18"/>
      <c r="M526" s="18"/>
      <c r="N526" s="18"/>
      <c r="O526" s="18" t="s">
        <v>123</v>
      </c>
      <c r="P526" s="19" t="s">
        <v>1105</v>
      </c>
    </row>
    <row r="527" customFormat="false" ht="25.5" hidden="false" customHeight="true" outlineLevel="0" collapsed="false">
      <c r="A527" s="18" t="n">
        <v>526</v>
      </c>
      <c r="B527" s="18" t="n">
        <v>4</v>
      </c>
      <c r="C527" s="18" t="s">
        <v>125</v>
      </c>
      <c r="D527" s="21" t="s">
        <v>1293</v>
      </c>
      <c r="E527" s="18" t="s">
        <v>117</v>
      </c>
      <c r="F527" s="19" t="s">
        <v>994</v>
      </c>
      <c r="G527" s="18" t="s">
        <v>505</v>
      </c>
      <c r="H527" s="18" t="s">
        <v>1103</v>
      </c>
      <c r="I527" s="19" t="s">
        <v>379</v>
      </c>
      <c r="J527" s="21" t="s">
        <v>1294</v>
      </c>
      <c r="K527" s="20" t="n">
        <f aca="false">ROUND((IF(E527="Transactional",5,IF(E527="Commercial",4,IF(E527="Comparison",3,IF(E527="Informational",2,3))))*LOG10(IF(ISNUMBER(L527),L527,IFERROR(VALUE(LEFT(F527,FIND("-",F527)-1)),100))+1))/IF(IF(ISBLANK(M527),G527,M527)="High",5,IF(IF(ISBLANK(M527),G527,M527)="Medium",3,1)),2)</f>
        <v>9.6</v>
      </c>
      <c r="L527" s="18"/>
      <c r="M527" s="18"/>
      <c r="N527" s="18"/>
      <c r="O527" s="18" t="s">
        <v>123</v>
      </c>
      <c r="P527" s="19"/>
    </row>
    <row r="528" customFormat="false" ht="25.5" hidden="false" customHeight="true" outlineLevel="0" collapsed="false">
      <c r="A528" s="18" t="n">
        <v>527</v>
      </c>
      <c r="B528" s="18" t="n">
        <v>4</v>
      </c>
      <c r="C528" s="18" t="s">
        <v>115</v>
      </c>
      <c r="D528" s="19" t="s">
        <v>1295</v>
      </c>
      <c r="E528" s="18" t="s">
        <v>117</v>
      </c>
      <c r="F528" s="19" t="s">
        <v>1000</v>
      </c>
      <c r="G528" s="18" t="s">
        <v>505</v>
      </c>
      <c r="H528" s="18" t="s">
        <v>1103</v>
      </c>
      <c r="I528" s="19" t="s">
        <v>379</v>
      </c>
      <c r="J528" s="19" t="s">
        <v>1296</v>
      </c>
      <c r="K528" s="20" t="n">
        <f aca="false">ROUND((IF(E528="Transactional",5,IF(E528="Commercial",4,IF(E528="Comparison",3,IF(E528="Informational",2,3))))*LOG10(IF(ISNUMBER(L528),L528,IFERROR(VALUE(LEFT(F528,FIND("-",F528)-1)),100))+1))/IF(IF(ISBLANK(M528),G528,M528)="High",5,IF(IF(ISBLANK(M528),G528,M528)="Medium",3,1)),2)</f>
        <v>8.72</v>
      </c>
      <c r="L528" s="18"/>
      <c r="M528" s="18"/>
      <c r="N528" s="18"/>
      <c r="O528" s="18" t="s">
        <v>123</v>
      </c>
      <c r="P528" s="19" t="s">
        <v>1105</v>
      </c>
    </row>
    <row r="529" customFormat="false" ht="25.5" hidden="false" customHeight="true" outlineLevel="0" collapsed="false">
      <c r="A529" s="18" t="n">
        <v>528</v>
      </c>
      <c r="B529" s="18" t="n">
        <v>4</v>
      </c>
      <c r="C529" s="18" t="s">
        <v>125</v>
      </c>
      <c r="D529" s="21" t="s">
        <v>1297</v>
      </c>
      <c r="E529" s="18" t="s">
        <v>117</v>
      </c>
      <c r="F529" s="19" t="s">
        <v>1115</v>
      </c>
      <c r="G529" s="18" t="s">
        <v>505</v>
      </c>
      <c r="H529" s="18" t="s">
        <v>1103</v>
      </c>
      <c r="I529" s="19" t="s">
        <v>379</v>
      </c>
      <c r="J529" s="21" t="s">
        <v>1298</v>
      </c>
      <c r="K529" s="20" t="n">
        <f aca="false">ROUND((IF(E529="Transactional",5,IF(E529="Commercial",4,IF(E529="Comparison",3,IF(E529="Informational",2,3))))*LOG10(IF(ISNUMBER(L529),L529,IFERROR(VALUE(LEFT(F529,FIND("-",F529)-1)),100))+1))/IF(IF(ISBLANK(M529),G529,M529)="High",5,IF(IF(ISBLANK(M529),G529,M529)="Medium",3,1)),2)</f>
        <v>8.47</v>
      </c>
      <c r="L529" s="18"/>
      <c r="M529" s="18"/>
      <c r="N529" s="18"/>
      <c r="O529" s="18" t="s">
        <v>123</v>
      </c>
      <c r="P529" s="19"/>
    </row>
    <row r="530" customFormat="false" ht="25.5" hidden="false" customHeight="true" outlineLevel="0" collapsed="false">
      <c r="A530" s="22" t="n">
        <v>529</v>
      </c>
      <c r="B530" s="22" t="n">
        <v>5</v>
      </c>
      <c r="C530" s="22" t="s">
        <v>115</v>
      </c>
      <c r="D530" s="23" t="s">
        <v>1299</v>
      </c>
      <c r="E530" s="22" t="s">
        <v>1101</v>
      </c>
      <c r="F530" s="23" t="s">
        <v>1300</v>
      </c>
      <c r="G530" s="22" t="s">
        <v>505</v>
      </c>
      <c r="H530" s="22" t="s">
        <v>1301</v>
      </c>
      <c r="I530" s="23" t="s">
        <v>1302</v>
      </c>
      <c r="J530" s="23" t="s">
        <v>1303</v>
      </c>
      <c r="K530" s="24" t="n">
        <f aca="false">ROUND((IF(E530="Transactional",5,IF(E530="Commercial",4,IF(E530="Comparison",3,IF(E530="Informational",2,3))))*LOG10(IF(ISNUMBER(L530),L530,IFERROR(VALUE(LEFT(F530,FIND("-",F530)-1)),100))+1))/IF(IF(ISBLANK(M530),G530,M530)="High",5,IF(IF(ISBLANK(M530),G530,M530)="Medium",3,1)),2)</f>
        <v>13.5</v>
      </c>
      <c r="L530" s="22"/>
      <c r="M530" s="22"/>
      <c r="N530" s="22"/>
      <c r="O530" s="22" t="s">
        <v>123</v>
      </c>
      <c r="P530" s="23" t="s">
        <v>1304</v>
      </c>
    </row>
    <row r="531" customFormat="false" ht="25.5" hidden="false" customHeight="true" outlineLevel="0" collapsed="false">
      <c r="A531" s="22" t="n">
        <v>530</v>
      </c>
      <c r="B531" s="22" t="n">
        <v>5</v>
      </c>
      <c r="C531" s="22" t="s">
        <v>125</v>
      </c>
      <c r="D531" s="25" t="s">
        <v>1305</v>
      </c>
      <c r="E531" s="22" t="s">
        <v>1101</v>
      </c>
      <c r="F531" s="23" t="s">
        <v>1306</v>
      </c>
      <c r="G531" s="22" t="s">
        <v>505</v>
      </c>
      <c r="H531" s="22" t="s">
        <v>1301</v>
      </c>
      <c r="I531" s="23" t="s">
        <v>1302</v>
      </c>
      <c r="J531" s="25" t="s">
        <v>1307</v>
      </c>
      <c r="K531" s="24" t="n">
        <f aca="false">ROUND((IF(E531="Transactional",5,IF(E531="Commercial",4,IF(E531="Comparison",3,IF(E531="Informational",2,3))))*LOG10(IF(ISNUMBER(L531),L531,IFERROR(VALUE(LEFT(F531,FIND("-",F531)-1)),100))+1))/IF(IF(ISBLANK(M531),G531,M531)="High",5,IF(IF(ISBLANK(M531),G531,M531)="Medium",3,1)),2)</f>
        <v>13.02</v>
      </c>
      <c r="L531" s="22"/>
      <c r="M531" s="22"/>
      <c r="N531" s="22"/>
      <c r="O531" s="22" t="s">
        <v>123</v>
      </c>
      <c r="P531" s="23"/>
    </row>
    <row r="532" customFormat="false" ht="25.5" hidden="false" customHeight="true" outlineLevel="0" collapsed="false">
      <c r="A532" s="22" t="n">
        <v>531</v>
      </c>
      <c r="B532" s="22" t="n">
        <v>5</v>
      </c>
      <c r="C532" s="22" t="s">
        <v>115</v>
      </c>
      <c r="D532" s="23" t="s">
        <v>1308</v>
      </c>
      <c r="E532" s="22" t="s">
        <v>1101</v>
      </c>
      <c r="F532" s="23" t="s">
        <v>1300</v>
      </c>
      <c r="G532" s="22" t="s">
        <v>505</v>
      </c>
      <c r="H532" s="22" t="s">
        <v>1301</v>
      </c>
      <c r="I532" s="23" t="s">
        <v>1302</v>
      </c>
      <c r="J532" s="23" t="s">
        <v>1309</v>
      </c>
      <c r="K532" s="24" t="n">
        <f aca="false">ROUND((IF(E532="Transactional",5,IF(E532="Commercial",4,IF(E532="Comparison",3,IF(E532="Informational",2,3))))*LOG10(IF(ISNUMBER(L532),L532,IFERROR(VALUE(LEFT(F532,FIND("-",F532)-1)),100))+1))/IF(IF(ISBLANK(M532),G532,M532)="High",5,IF(IF(ISBLANK(M532),G532,M532)="Medium",3,1)),2)</f>
        <v>13.5</v>
      </c>
      <c r="L532" s="22"/>
      <c r="M532" s="22"/>
      <c r="N532" s="22"/>
      <c r="O532" s="22" t="s">
        <v>123</v>
      </c>
      <c r="P532" s="23" t="s">
        <v>1304</v>
      </c>
    </row>
    <row r="533" customFormat="false" ht="25.5" hidden="false" customHeight="true" outlineLevel="0" collapsed="false">
      <c r="A533" s="22" t="n">
        <v>532</v>
      </c>
      <c r="B533" s="22" t="n">
        <v>5</v>
      </c>
      <c r="C533" s="22" t="s">
        <v>125</v>
      </c>
      <c r="D533" s="25" t="s">
        <v>1310</v>
      </c>
      <c r="E533" s="22" t="s">
        <v>1101</v>
      </c>
      <c r="F533" s="23" t="s">
        <v>1306</v>
      </c>
      <c r="G533" s="22" t="s">
        <v>505</v>
      </c>
      <c r="H533" s="22" t="s">
        <v>1301</v>
      </c>
      <c r="I533" s="23" t="s">
        <v>1302</v>
      </c>
      <c r="J533" s="25" t="s">
        <v>1311</v>
      </c>
      <c r="K533" s="24" t="n">
        <f aca="false">ROUND((IF(E533="Transactional",5,IF(E533="Commercial",4,IF(E533="Comparison",3,IF(E533="Informational",2,3))))*LOG10(IF(ISNUMBER(L533),L533,IFERROR(VALUE(LEFT(F533,FIND("-",F533)-1)),100))+1))/IF(IF(ISBLANK(M533),G533,M533)="High",5,IF(IF(ISBLANK(M533),G533,M533)="Medium",3,1)),2)</f>
        <v>13.02</v>
      </c>
      <c r="L533" s="22"/>
      <c r="M533" s="22"/>
      <c r="N533" s="22"/>
      <c r="O533" s="22" t="s">
        <v>123</v>
      </c>
      <c r="P533" s="23"/>
    </row>
    <row r="534" customFormat="false" ht="25.5" hidden="false" customHeight="true" outlineLevel="0" collapsed="false">
      <c r="A534" s="22" t="n">
        <v>533</v>
      </c>
      <c r="B534" s="22" t="n">
        <v>5</v>
      </c>
      <c r="C534" s="22" t="s">
        <v>115</v>
      </c>
      <c r="D534" s="23" t="s">
        <v>1312</v>
      </c>
      <c r="E534" s="22" t="s">
        <v>1101</v>
      </c>
      <c r="F534" s="23" t="s">
        <v>997</v>
      </c>
      <c r="G534" s="22" t="s">
        <v>505</v>
      </c>
      <c r="H534" s="22" t="s">
        <v>1301</v>
      </c>
      <c r="I534" s="23" t="s">
        <v>1302</v>
      </c>
      <c r="J534" s="23" t="s">
        <v>1313</v>
      </c>
      <c r="K534" s="24" t="n">
        <f aca="false">ROUND((IF(E534="Transactional",5,IF(E534="Commercial",4,IF(E534="Comparison",3,IF(E534="Informational",2,3))))*LOG10(IF(ISNUMBER(L534),L534,IFERROR(VALUE(LEFT(F534,FIND("-",F534)-1)),100))+1))/IF(IF(ISBLANK(M534),G534,M534)="High",5,IF(IF(ISBLANK(M534),G534,M534)="Medium",3,1)),2)</f>
        <v>11.52</v>
      </c>
      <c r="L534" s="22"/>
      <c r="M534" s="22"/>
      <c r="N534" s="22"/>
      <c r="O534" s="22" t="s">
        <v>123</v>
      </c>
      <c r="P534" s="23" t="s">
        <v>1304</v>
      </c>
    </row>
    <row r="535" customFormat="false" ht="25.5" hidden="false" customHeight="true" outlineLevel="0" collapsed="false">
      <c r="A535" s="22" t="n">
        <v>534</v>
      </c>
      <c r="B535" s="22" t="n">
        <v>5</v>
      </c>
      <c r="C535" s="22" t="s">
        <v>125</v>
      </c>
      <c r="D535" s="25" t="s">
        <v>1314</v>
      </c>
      <c r="E535" s="22" t="s">
        <v>1101</v>
      </c>
      <c r="F535" s="23" t="s">
        <v>997</v>
      </c>
      <c r="G535" s="22" t="s">
        <v>505</v>
      </c>
      <c r="H535" s="22" t="s">
        <v>1301</v>
      </c>
      <c r="I535" s="23" t="s">
        <v>1302</v>
      </c>
      <c r="J535" s="25" t="s">
        <v>1315</v>
      </c>
      <c r="K535" s="24" t="n">
        <f aca="false">ROUND((IF(E535="Transactional",5,IF(E535="Commercial",4,IF(E535="Comparison",3,IF(E535="Informational",2,3))))*LOG10(IF(ISNUMBER(L535),L535,IFERROR(VALUE(LEFT(F535,FIND("-",F535)-1)),100))+1))/IF(IF(ISBLANK(M535),G535,M535)="High",5,IF(IF(ISBLANK(M535),G535,M535)="Medium",3,1)),2)</f>
        <v>11.52</v>
      </c>
      <c r="L535" s="22"/>
      <c r="M535" s="22"/>
      <c r="N535" s="22"/>
      <c r="O535" s="22" t="s">
        <v>123</v>
      </c>
      <c r="P535" s="23"/>
    </row>
    <row r="536" customFormat="false" ht="25.5" hidden="false" customHeight="true" outlineLevel="0" collapsed="false">
      <c r="A536" s="22" t="n">
        <v>535</v>
      </c>
      <c r="B536" s="22" t="n">
        <v>5</v>
      </c>
      <c r="C536" s="22" t="s">
        <v>115</v>
      </c>
      <c r="D536" s="23" t="s">
        <v>1316</v>
      </c>
      <c r="E536" s="22" t="s">
        <v>1101</v>
      </c>
      <c r="F536" s="23" t="s">
        <v>997</v>
      </c>
      <c r="G536" s="22" t="s">
        <v>505</v>
      </c>
      <c r="H536" s="22" t="s">
        <v>1301</v>
      </c>
      <c r="I536" s="23" t="s">
        <v>1302</v>
      </c>
      <c r="J536" s="23" t="s">
        <v>1317</v>
      </c>
      <c r="K536" s="24" t="n">
        <f aca="false">ROUND((IF(E536="Transactional",5,IF(E536="Commercial",4,IF(E536="Comparison",3,IF(E536="Informational",2,3))))*LOG10(IF(ISNUMBER(L536),L536,IFERROR(VALUE(LEFT(F536,FIND("-",F536)-1)),100))+1))/IF(IF(ISBLANK(M536),G536,M536)="High",5,IF(IF(ISBLANK(M536),G536,M536)="Medium",3,1)),2)</f>
        <v>11.52</v>
      </c>
      <c r="L536" s="22"/>
      <c r="M536" s="22"/>
      <c r="N536" s="22"/>
      <c r="O536" s="22" t="s">
        <v>123</v>
      </c>
      <c r="P536" s="23" t="s">
        <v>1304</v>
      </c>
    </row>
    <row r="537" customFormat="false" ht="25.5" hidden="false" customHeight="true" outlineLevel="0" collapsed="false">
      <c r="A537" s="22" t="n">
        <v>536</v>
      </c>
      <c r="B537" s="22" t="n">
        <v>5</v>
      </c>
      <c r="C537" s="22" t="s">
        <v>125</v>
      </c>
      <c r="D537" s="25" t="s">
        <v>1318</v>
      </c>
      <c r="E537" s="22" t="s">
        <v>1101</v>
      </c>
      <c r="F537" s="23" t="s">
        <v>997</v>
      </c>
      <c r="G537" s="22" t="s">
        <v>505</v>
      </c>
      <c r="H537" s="22" t="s">
        <v>1301</v>
      </c>
      <c r="I537" s="23" t="s">
        <v>1302</v>
      </c>
      <c r="J537" s="25" t="s">
        <v>1319</v>
      </c>
      <c r="K537" s="24" t="n">
        <f aca="false">ROUND((IF(E537="Transactional",5,IF(E537="Commercial",4,IF(E537="Comparison",3,IF(E537="Informational",2,3))))*LOG10(IF(ISNUMBER(L537),L537,IFERROR(VALUE(LEFT(F537,FIND("-",F537)-1)),100))+1))/IF(IF(ISBLANK(M537),G537,M537)="High",5,IF(IF(ISBLANK(M537),G537,M537)="Medium",3,1)),2)</f>
        <v>11.52</v>
      </c>
      <c r="L537" s="22"/>
      <c r="M537" s="22"/>
      <c r="N537" s="22"/>
      <c r="O537" s="22" t="s">
        <v>123</v>
      </c>
      <c r="P537" s="23"/>
    </row>
    <row r="538" customFormat="false" ht="25.5" hidden="false" customHeight="true" outlineLevel="0" collapsed="false">
      <c r="A538" s="22" t="n">
        <v>537</v>
      </c>
      <c r="B538" s="22" t="n">
        <v>5</v>
      </c>
      <c r="C538" s="22" t="s">
        <v>115</v>
      </c>
      <c r="D538" s="23" t="s">
        <v>1320</v>
      </c>
      <c r="E538" s="22" t="s">
        <v>1101</v>
      </c>
      <c r="F538" s="23" t="s">
        <v>997</v>
      </c>
      <c r="G538" s="22" t="s">
        <v>505</v>
      </c>
      <c r="H538" s="22" t="s">
        <v>1301</v>
      </c>
      <c r="I538" s="23" t="s">
        <v>1302</v>
      </c>
      <c r="J538" s="23" t="s">
        <v>1321</v>
      </c>
      <c r="K538" s="24" t="n">
        <f aca="false">ROUND((IF(E538="Transactional",5,IF(E538="Commercial",4,IF(E538="Comparison",3,IF(E538="Informational",2,3))))*LOG10(IF(ISNUMBER(L538),L538,IFERROR(VALUE(LEFT(F538,FIND("-",F538)-1)),100))+1))/IF(IF(ISBLANK(M538),G538,M538)="High",5,IF(IF(ISBLANK(M538),G538,M538)="Medium",3,1)),2)</f>
        <v>11.52</v>
      </c>
      <c r="L538" s="22"/>
      <c r="M538" s="22"/>
      <c r="N538" s="22"/>
      <c r="O538" s="22" t="s">
        <v>123</v>
      </c>
      <c r="P538" s="23" t="s">
        <v>1304</v>
      </c>
    </row>
    <row r="539" customFormat="false" ht="25.5" hidden="false" customHeight="true" outlineLevel="0" collapsed="false">
      <c r="A539" s="22" t="n">
        <v>538</v>
      </c>
      <c r="B539" s="22" t="n">
        <v>5</v>
      </c>
      <c r="C539" s="22" t="s">
        <v>125</v>
      </c>
      <c r="D539" s="25" t="s">
        <v>1322</v>
      </c>
      <c r="E539" s="22" t="s">
        <v>1101</v>
      </c>
      <c r="F539" s="23" t="s">
        <v>997</v>
      </c>
      <c r="G539" s="22" t="s">
        <v>505</v>
      </c>
      <c r="H539" s="22" t="s">
        <v>1301</v>
      </c>
      <c r="I539" s="23" t="s">
        <v>1302</v>
      </c>
      <c r="J539" s="25" t="s">
        <v>1323</v>
      </c>
      <c r="K539" s="24" t="n">
        <f aca="false">ROUND((IF(E539="Transactional",5,IF(E539="Commercial",4,IF(E539="Comparison",3,IF(E539="Informational",2,3))))*LOG10(IF(ISNUMBER(L539),L539,IFERROR(VALUE(LEFT(F539,FIND("-",F539)-1)),100))+1))/IF(IF(ISBLANK(M539),G539,M539)="High",5,IF(IF(ISBLANK(M539),G539,M539)="Medium",3,1)),2)</f>
        <v>11.52</v>
      </c>
      <c r="L539" s="22"/>
      <c r="M539" s="22"/>
      <c r="N539" s="22"/>
      <c r="O539" s="22" t="s">
        <v>123</v>
      </c>
      <c r="P539" s="23"/>
    </row>
    <row r="540" customFormat="false" ht="25.5" hidden="false" customHeight="true" outlineLevel="0" collapsed="false">
      <c r="A540" s="22" t="n">
        <v>539</v>
      </c>
      <c r="B540" s="22" t="n">
        <v>5</v>
      </c>
      <c r="C540" s="22" t="s">
        <v>115</v>
      </c>
      <c r="D540" s="23" t="s">
        <v>1324</v>
      </c>
      <c r="E540" s="22" t="s">
        <v>1101</v>
      </c>
      <c r="F540" s="23" t="s">
        <v>1300</v>
      </c>
      <c r="G540" s="22" t="s">
        <v>505</v>
      </c>
      <c r="H540" s="22" t="s">
        <v>1301</v>
      </c>
      <c r="I540" s="23" t="s">
        <v>1325</v>
      </c>
      <c r="J540" s="23" t="s">
        <v>1326</v>
      </c>
      <c r="K540" s="24" t="n">
        <f aca="false">ROUND((IF(E540="Transactional",5,IF(E540="Commercial",4,IF(E540="Comparison",3,IF(E540="Informational",2,3))))*LOG10(IF(ISNUMBER(L540),L540,IFERROR(VALUE(LEFT(F540,FIND("-",F540)-1)),100))+1))/IF(IF(ISBLANK(M540),G540,M540)="High",5,IF(IF(ISBLANK(M540),G540,M540)="Medium",3,1)),2)</f>
        <v>13.5</v>
      </c>
      <c r="L540" s="22"/>
      <c r="M540" s="22"/>
      <c r="N540" s="22"/>
      <c r="O540" s="22" t="s">
        <v>123</v>
      </c>
      <c r="P540" s="23" t="s">
        <v>1304</v>
      </c>
    </row>
    <row r="541" customFormat="false" ht="25.5" hidden="false" customHeight="true" outlineLevel="0" collapsed="false">
      <c r="A541" s="22" t="n">
        <v>540</v>
      </c>
      <c r="B541" s="22" t="n">
        <v>5</v>
      </c>
      <c r="C541" s="22" t="s">
        <v>125</v>
      </c>
      <c r="D541" s="25" t="s">
        <v>1327</v>
      </c>
      <c r="E541" s="22" t="s">
        <v>1101</v>
      </c>
      <c r="F541" s="23" t="s">
        <v>1306</v>
      </c>
      <c r="G541" s="22" t="s">
        <v>505</v>
      </c>
      <c r="H541" s="22" t="s">
        <v>1301</v>
      </c>
      <c r="I541" s="23" t="s">
        <v>1325</v>
      </c>
      <c r="J541" s="25" t="s">
        <v>1328</v>
      </c>
      <c r="K541" s="24" t="n">
        <f aca="false">ROUND((IF(E541="Transactional",5,IF(E541="Commercial",4,IF(E541="Comparison",3,IF(E541="Informational",2,3))))*LOG10(IF(ISNUMBER(L541),L541,IFERROR(VALUE(LEFT(F541,FIND("-",F541)-1)),100))+1))/IF(IF(ISBLANK(M541),G541,M541)="High",5,IF(IF(ISBLANK(M541),G541,M541)="Medium",3,1)),2)</f>
        <v>13.02</v>
      </c>
      <c r="L541" s="22"/>
      <c r="M541" s="22"/>
      <c r="N541" s="22"/>
      <c r="O541" s="22" t="s">
        <v>123</v>
      </c>
      <c r="P541" s="23"/>
    </row>
    <row r="542" customFormat="false" ht="25.5" hidden="false" customHeight="true" outlineLevel="0" collapsed="false">
      <c r="A542" s="22" t="n">
        <v>541</v>
      </c>
      <c r="B542" s="22" t="n">
        <v>5</v>
      </c>
      <c r="C542" s="22" t="s">
        <v>115</v>
      </c>
      <c r="D542" s="23" t="s">
        <v>1329</v>
      </c>
      <c r="E542" s="22" t="s">
        <v>1101</v>
      </c>
      <c r="F542" s="23" t="s">
        <v>1300</v>
      </c>
      <c r="G542" s="22" t="s">
        <v>505</v>
      </c>
      <c r="H542" s="22" t="s">
        <v>1301</v>
      </c>
      <c r="I542" s="23" t="s">
        <v>1325</v>
      </c>
      <c r="J542" s="23" t="s">
        <v>1330</v>
      </c>
      <c r="K542" s="24" t="n">
        <f aca="false">ROUND((IF(E542="Transactional",5,IF(E542="Commercial",4,IF(E542="Comparison",3,IF(E542="Informational",2,3))))*LOG10(IF(ISNUMBER(L542),L542,IFERROR(VALUE(LEFT(F542,FIND("-",F542)-1)),100))+1))/IF(IF(ISBLANK(M542),G542,M542)="High",5,IF(IF(ISBLANK(M542),G542,M542)="Medium",3,1)),2)</f>
        <v>13.5</v>
      </c>
      <c r="L542" s="22"/>
      <c r="M542" s="22"/>
      <c r="N542" s="22"/>
      <c r="O542" s="22" t="s">
        <v>123</v>
      </c>
      <c r="P542" s="23" t="s">
        <v>1304</v>
      </c>
    </row>
    <row r="543" customFormat="false" ht="25.5" hidden="false" customHeight="true" outlineLevel="0" collapsed="false">
      <c r="A543" s="22" t="n">
        <v>542</v>
      </c>
      <c r="B543" s="22" t="n">
        <v>5</v>
      </c>
      <c r="C543" s="22" t="s">
        <v>125</v>
      </c>
      <c r="D543" s="25" t="s">
        <v>1331</v>
      </c>
      <c r="E543" s="22" t="s">
        <v>1101</v>
      </c>
      <c r="F543" s="23" t="s">
        <v>1306</v>
      </c>
      <c r="G543" s="22" t="s">
        <v>505</v>
      </c>
      <c r="H543" s="22" t="s">
        <v>1301</v>
      </c>
      <c r="I543" s="23" t="s">
        <v>1325</v>
      </c>
      <c r="J543" s="25" t="s">
        <v>1332</v>
      </c>
      <c r="K543" s="24" t="n">
        <f aca="false">ROUND((IF(E543="Transactional",5,IF(E543="Commercial",4,IF(E543="Comparison",3,IF(E543="Informational",2,3))))*LOG10(IF(ISNUMBER(L543),L543,IFERROR(VALUE(LEFT(F543,FIND("-",F543)-1)),100))+1))/IF(IF(ISBLANK(M543),G543,M543)="High",5,IF(IF(ISBLANK(M543),G543,M543)="Medium",3,1)),2)</f>
        <v>13.02</v>
      </c>
      <c r="L543" s="22"/>
      <c r="M543" s="22"/>
      <c r="N543" s="22"/>
      <c r="O543" s="22" t="s">
        <v>123</v>
      </c>
      <c r="P543" s="23"/>
    </row>
    <row r="544" customFormat="false" ht="25.5" hidden="false" customHeight="true" outlineLevel="0" collapsed="false">
      <c r="A544" s="22" t="n">
        <v>543</v>
      </c>
      <c r="B544" s="22" t="n">
        <v>5</v>
      </c>
      <c r="C544" s="22" t="s">
        <v>115</v>
      </c>
      <c r="D544" s="23" t="s">
        <v>1333</v>
      </c>
      <c r="E544" s="22" t="s">
        <v>1101</v>
      </c>
      <c r="F544" s="23" t="s">
        <v>997</v>
      </c>
      <c r="G544" s="22" t="s">
        <v>505</v>
      </c>
      <c r="H544" s="22" t="s">
        <v>1301</v>
      </c>
      <c r="I544" s="23" t="s">
        <v>1325</v>
      </c>
      <c r="J544" s="23" t="s">
        <v>1334</v>
      </c>
      <c r="K544" s="24" t="n">
        <f aca="false">ROUND((IF(E544="Transactional",5,IF(E544="Commercial",4,IF(E544="Comparison",3,IF(E544="Informational",2,3))))*LOG10(IF(ISNUMBER(L544),L544,IFERROR(VALUE(LEFT(F544,FIND("-",F544)-1)),100))+1))/IF(IF(ISBLANK(M544),G544,M544)="High",5,IF(IF(ISBLANK(M544),G544,M544)="Medium",3,1)),2)</f>
        <v>11.52</v>
      </c>
      <c r="L544" s="22"/>
      <c r="M544" s="22"/>
      <c r="N544" s="22"/>
      <c r="O544" s="22" t="s">
        <v>123</v>
      </c>
      <c r="P544" s="23" t="s">
        <v>1304</v>
      </c>
    </row>
    <row r="545" customFormat="false" ht="25.5" hidden="false" customHeight="true" outlineLevel="0" collapsed="false">
      <c r="A545" s="22" t="n">
        <v>544</v>
      </c>
      <c r="B545" s="22" t="n">
        <v>5</v>
      </c>
      <c r="C545" s="22" t="s">
        <v>125</v>
      </c>
      <c r="D545" s="25" t="s">
        <v>1335</v>
      </c>
      <c r="E545" s="22" t="s">
        <v>1101</v>
      </c>
      <c r="F545" s="23" t="s">
        <v>997</v>
      </c>
      <c r="G545" s="22" t="s">
        <v>505</v>
      </c>
      <c r="H545" s="22" t="s">
        <v>1301</v>
      </c>
      <c r="I545" s="23" t="s">
        <v>1325</v>
      </c>
      <c r="J545" s="25" t="s">
        <v>1336</v>
      </c>
      <c r="K545" s="24" t="n">
        <f aca="false">ROUND((IF(E545="Transactional",5,IF(E545="Commercial",4,IF(E545="Comparison",3,IF(E545="Informational",2,3))))*LOG10(IF(ISNUMBER(L545),L545,IFERROR(VALUE(LEFT(F545,FIND("-",F545)-1)),100))+1))/IF(IF(ISBLANK(M545),G545,M545)="High",5,IF(IF(ISBLANK(M545),G545,M545)="Medium",3,1)),2)</f>
        <v>11.52</v>
      </c>
      <c r="L545" s="22"/>
      <c r="M545" s="22"/>
      <c r="N545" s="22"/>
      <c r="O545" s="22" t="s">
        <v>123</v>
      </c>
      <c r="P545" s="23"/>
    </row>
    <row r="546" customFormat="false" ht="25.5" hidden="false" customHeight="true" outlineLevel="0" collapsed="false">
      <c r="A546" s="22" t="n">
        <v>545</v>
      </c>
      <c r="B546" s="22" t="n">
        <v>5</v>
      </c>
      <c r="C546" s="22" t="s">
        <v>115</v>
      </c>
      <c r="D546" s="23" t="s">
        <v>1337</v>
      </c>
      <c r="E546" s="22" t="s">
        <v>1101</v>
      </c>
      <c r="F546" s="23" t="s">
        <v>997</v>
      </c>
      <c r="G546" s="22" t="s">
        <v>505</v>
      </c>
      <c r="H546" s="22" t="s">
        <v>1301</v>
      </c>
      <c r="I546" s="23" t="s">
        <v>1325</v>
      </c>
      <c r="J546" s="23" t="s">
        <v>1338</v>
      </c>
      <c r="K546" s="24" t="n">
        <f aca="false">ROUND((IF(E546="Transactional",5,IF(E546="Commercial",4,IF(E546="Comparison",3,IF(E546="Informational",2,3))))*LOG10(IF(ISNUMBER(L546),L546,IFERROR(VALUE(LEFT(F546,FIND("-",F546)-1)),100))+1))/IF(IF(ISBLANK(M546),G546,M546)="High",5,IF(IF(ISBLANK(M546),G546,M546)="Medium",3,1)),2)</f>
        <v>11.52</v>
      </c>
      <c r="L546" s="22"/>
      <c r="M546" s="22"/>
      <c r="N546" s="22"/>
      <c r="O546" s="22" t="s">
        <v>123</v>
      </c>
      <c r="P546" s="23" t="s">
        <v>1304</v>
      </c>
    </row>
    <row r="547" customFormat="false" ht="25.5" hidden="false" customHeight="true" outlineLevel="0" collapsed="false">
      <c r="A547" s="22" t="n">
        <v>546</v>
      </c>
      <c r="B547" s="22" t="n">
        <v>5</v>
      </c>
      <c r="C547" s="22" t="s">
        <v>125</v>
      </c>
      <c r="D547" s="25" t="s">
        <v>1339</v>
      </c>
      <c r="E547" s="22" t="s">
        <v>1101</v>
      </c>
      <c r="F547" s="23" t="s">
        <v>997</v>
      </c>
      <c r="G547" s="22" t="s">
        <v>505</v>
      </c>
      <c r="H547" s="22" t="s">
        <v>1301</v>
      </c>
      <c r="I547" s="23" t="s">
        <v>1325</v>
      </c>
      <c r="J547" s="25" t="s">
        <v>1340</v>
      </c>
      <c r="K547" s="24" t="n">
        <f aca="false">ROUND((IF(E547="Transactional",5,IF(E547="Commercial",4,IF(E547="Comparison",3,IF(E547="Informational",2,3))))*LOG10(IF(ISNUMBER(L547),L547,IFERROR(VALUE(LEFT(F547,FIND("-",F547)-1)),100))+1))/IF(IF(ISBLANK(M547),G547,M547)="High",5,IF(IF(ISBLANK(M547),G547,M547)="Medium",3,1)),2)</f>
        <v>11.52</v>
      </c>
      <c r="L547" s="22"/>
      <c r="M547" s="22"/>
      <c r="N547" s="22"/>
      <c r="O547" s="22" t="s">
        <v>123</v>
      </c>
      <c r="P547" s="23"/>
    </row>
    <row r="548" customFormat="false" ht="25.5" hidden="false" customHeight="true" outlineLevel="0" collapsed="false">
      <c r="A548" s="22" t="n">
        <v>547</v>
      </c>
      <c r="B548" s="22" t="n">
        <v>5</v>
      </c>
      <c r="C548" s="22" t="s">
        <v>115</v>
      </c>
      <c r="D548" s="23" t="s">
        <v>1341</v>
      </c>
      <c r="E548" s="22" t="s">
        <v>1101</v>
      </c>
      <c r="F548" s="23" t="s">
        <v>1300</v>
      </c>
      <c r="G548" s="22" t="s">
        <v>505</v>
      </c>
      <c r="H548" s="22" t="s">
        <v>1301</v>
      </c>
      <c r="I548" s="23" t="s">
        <v>1325</v>
      </c>
      <c r="J548" s="23" t="s">
        <v>1342</v>
      </c>
      <c r="K548" s="24" t="n">
        <f aca="false">ROUND((IF(E548="Transactional",5,IF(E548="Commercial",4,IF(E548="Comparison",3,IF(E548="Informational",2,3))))*LOG10(IF(ISNUMBER(L548),L548,IFERROR(VALUE(LEFT(F548,FIND("-",F548)-1)),100))+1))/IF(IF(ISBLANK(M548),G548,M548)="High",5,IF(IF(ISBLANK(M548),G548,M548)="Medium",3,1)),2)</f>
        <v>13.5</v>
      </c>
      <c r="L548" s="22"/>
      <c r="M548" s="22"/>
      <c r="N548" s="22"/>
      <c r="O548" s="22" t="s">
        <v>123</v>
      </c>
      <c r="P548" s="23" t="s">
        <v>1304</v>
      </c>
    </row>
    <row r="549" customFormat="false" ht="25.5" hidden="false" customHeight="true" outlineLevel="0" collapsed="false">
      <c r="A549" s="22" t="n">
        <v>548</v>
      </c>
      <c r="B549" s="22" t="n">
        <v>5</v>
      </c>
      <c r="C549" s="22" t="s">
        <v>125</v>
      </c>
      <c r="D549" s="25" t="s">
        <v>1343</v>
      </c>
      <c r="E549" s="22" t="s">
        <v>1101</v>
      </c>
      <c r="F549" s="23" t="s">
        <v>1306</v>
      </c>
      <c r="G549" s="22" t="s">
        <v>505</v>
      </c>
      <c r="H549" s="22" t="s">
        <v>1301</v>
      </c>
      <c r="I549" s="23" t="s">
        <v>1325</v>
      </c>
      <c r="J549" s="25" t="s">
        <v>1344</v>
      </c>
      <c r="K549" s="24" t="n">
        <f aca="false">ROUND((IF(E549="Transactional",5,IF(E549="Commercial",4,IF(E549="Comparison",3,IF(E549="Informational",2,3))))*LOG10(IF(ISNUMBER(L549),L549,IFERROR(VALUE(LEFT(F549,FIND("-",F549)-1)),100))+1))/IF(IF(ISBLANK(M549),G549,M549)="High",5,IF(IF(ISBLANK(M549),G549,M549)="Medium",3,1)),2)</f>
        <v>13.02</v>
      </c>
      <c r="L549" s="22"/>
      <c r="M549" s="22"/>
      <c r="N549" s="22"/>
      <c r="O549" s="22" t="s">
        <v>123</v>
      </c>
      <c r="P549" s="23"/>
    </row>
    <row r="550" customFormat="false" ht="25.5" hidden="false" customHeight="true" outlineLevel="0" collapsed="false">
      <c r="A550" s="22" t="n">
        <v>549</v>
      </c>
      <c r="B550" s="22" t="n">
        <v>5</v>
      </c>
      <c r="C550" s="22" t="s">
        <v>115</v>
      </c>
      <c r="D550" s="23" t="s">
        <v>1345</v>
      </c>
      <c r="E550" s="22" t="s">
        <v>1101</v>
      </c>
      <c r="F550" s="23" t="s">
        <v>997</v>
      </c>
      <c r="G550" s="22" t="s">
        <v>505</v>
      </c>
      <c r="H550" s="22" t="s">
        <v>1301</v>
      </c>
      <c r="I550" s="23" t="s">
        <v>1325</v>
      </c>
      <c r="J550" s="23" t="s">
        <v>1346</v>
      </c>
      <c r="K550" s="24" t="n">
        <f aca="false">ROUND((IF(E550="Transactional",5,IF(E550="Commercial",4,IF(E550="Comparison",3,IF(E550="Informational",2,3))))*LOG10(IF(ISNUMBER(L550),L550,IFERROR(VALUE(LEFT(F550,FIND("-",F550)-1)),100))+1))/IF(IF(ISBLANK(M550),G550,M550)="High",5,IF(IF(ISBLANK(M550),G550,M550)="Medium",3,1)),2)</f>
        <v>11.52</v>
      </c>
      <c r="L550" s="22"/>
      <c r="M550" s="22"/>
      <c r="N550" s="22"/>
      <c r="O550" s="22" t="s">
        <v>123</v>
      </c>
      <c r="P550" s="23" t="s">
        <v>1304</v>
      </c>
    </row>
    <row r="551" customFormat="false" ht="25.5" hidden="false" customHeight="true" outlineLevel="0" collapsed="false">
      <c r="A551" s="22" t="n">
        <v>550</v>
      </c>
      <c r="B551" s="22" t="n">
        <v>5</v>
      </c>
      <c r="C551" s="22" t="s">
        <v>125</v>
      </c>
      <c r="D551" s="25" t="s">
        <v>1347</v>
      </c>
      <c r="E551" s="22" t="s">
        <v>1101</v>
      </c>
      <c r="F551" s="23" t="s">
        <v>997</v>
      </c>
      <c r="G551" s="22" t="s">
        <v>505</v>
      </c>
      <c r="H551" s="22" t="s">
        <v>1301</v>
      </c>
      <c r="I551" s="23" t="s">
        <v>1325</v>
      </c>
      <c r="J551" s="25" t="s">
        <v>1348</v>
      </c>
      <c r="K551" s="24" t="n">
        <f aca="false">ROUND((IF(E551="Transactional",5,IF(E551="Commercial",4,IF(E551="Comparison",3,IF(E551="Informational",2,3))))*LOG10(IF(ISNUMBER(L551),L551,IFERROR(VALUE(LEFT(F551,FIND("-",F551)-1)),100))+1))/IF(IF(ISBLANK(M551),G551,M551)="High",5,IF(IF(ISBLANK(M551),G551,M551)="Medium",3,1)),2)</f>
        <v>11.52</v>
      </c>
      <c r="L551" s="22"/>
      <c r="M551" s="22"/>
      <c r="N551" s="22"/>
      <c r="O551" s="22" t="s">
        <v>123</v>
      </c>
      <c r="P551" s="23"/>
    </row>
    <row r="552" customFormat="false" ht="25.5" hidden="false" customHeight="true" outlineLevel="0" collapsed="false">
      <c r="A552" s="22" t="n">
        <v>551</v>
      </c>
      <c r="B552" s="22" t="n">
        <v>5</v>
      </c>
      <c r="C552" s="22" t="s">
        <v>115</v>
      </c>
      <c r="D552" s="23" t="s">
        <v>1349</v>
      </c>
      <c r="E552" s="22" t="s">
        <v>1101</v>
      </c>
      <c r="F552" s="23" t="s">
        <v>997</v>
      </c>
      <c r="G552" s="22" t="s">
        <v>505</v>
      </c>
      <c r="H552" s="22" t="s">
        <v>1301</v>
      </c>
      <c r="I552" s="23" t="s">
        <v>1350</v>
      </c>
      <c r="J552" s="23" t="s">
        <v>1351</v>
      </c>
      <c r="K552" s="24" t="n">
        <f aca="false">ROUND((IF(E552="Transactional",5,IF(E552="Commercial",4,IF(E552="Comparison",3,IF(E552="Informational",2,3))))*LOG10(IF(ISNUMBER(L552),L552,IFERROR(VALUE(LEFT(F552,FIND("-",F552)-1)),100))+1))/IF(IF(ISBLANK(M552),G552,M552)="High",5,IF(IF(ISBLANK(M552),G552,M552)="Medium",3,1)),2)</f>
        <v>11.52</v>
      </c>
      <c r="L552" s="22"/>
      <c r="M552" s="22"/>
      <c r="N552" s="22"/>
      <c r="O552" s="22" t="s">
        <v>123</v>
      </c>
      <c r="P552" s="23" t="s">
        <v>1304</v>
      </c>
    </row>
    <row r="553" customFormat="false" ht="25.5" hidden="false" customHeight="true" outlineLevel="0" collapsed="false">
      <c r="A553" s="22" t="n">
        <v>552</v>
      </c>
      <c r="B553" s="22" t="n">
        <v>5</v>
      </c>
      <c r="C553" s="22" t="s">
        <v>125</v>
      </c>
      <c r="D553" s="25" t="s">
        <v>1352</v>
      </c>
      <c r="E553" s="22" t="s">
        <v>1101</v>
      </c>
      <c r="F553" s="23" t="s">
        <v>997</v>
      </c>
      <c r="G553" s="22" t="s">
        <v>505</v>
      </c>
      <c r="H553" s="22" t="s">
        <v>1301</v>
      </c>
      <c r="I553" s="23" t="s">
        <v>1350</v>
      </c>
      <c r="J553" s="25" t="s">
        <v>1353</v>
      </c>
      <c r="K553" s="24" t="n">
        <f aca="false">ROUND((IF(E553="Transactional",5,IF(E553="Commercial",4,IF(E553="Comparison",3,IF(E553="Informational",2,3))))*LOG10(IF(ISNUMBER(L553),L553,IFERROR(VALUE(LEFT(F553,FIND("-",F553)-1)),100))+1))/IF(IF(ISBLANK(M553),G553,M553)="High",5,IF(IF(ISBLANK(M553),G553,M553)="Medium",3,1)),2)</f>
        <v>11.52</v>
      </c>
      <c r="L553" s="22"/>
      <c r="M553" s="22"/>
      <c r="N553" s="22"/>
      <c r="O553" s="22" t="s">
        <v>123</v>
      </c>
      <c r="P553" s="23"/>
    </row>
    <row r="554" customFormat="false" ht="25.5" hidden="false" customHeight="true" outlineLevel="0" collapsed="false">
      <c r="A554" s="22" t="n">
        <v>553</v>
      </c>
      <c r="B554" s="22" t="n">
        <v>5</v>
      </c>
      <c r="C554" s="22" t="s">
        <v>115</v>
      </c>
      <c r="D554" s="23" t="s">
        <v>1354</v>
      </c>
      <c r="E554" s="22" t="s">
        <v>1101</v>
      </c>
      <c r="F554" s="23" t="s">
        <v>997</v>
      </c>
      <c r="G554" s="22" t="s">
        <v>505</v>
      </c>
      <c r="H554" s="22" t="s">
        <v>1301</v>
      </c>
      <c r="I554" s="23" t="s">
        <v>1350</v>
      </c>
      <c r="J554" s="23" t="s">
        <v>1355</v>
      </c>
      <c r="K554" s="24" t="n">
        <f aca="false">ROUND((IF(E554="Transactional",5,IF(E554="Commercial",4,IF(E554="Comparison",3,IF(E554="Informational",2,3))))*LOG10(IF(ISNUMBER(L554),L554,IFERROR(VALUE(LEFT(F554,FIND("-",F554)-1)),100))+1))/IF(IF(ISBLANK(M554),G554,M554)="High",5,IF(IF(ISBLANK(M554),G554,M554)="Medium",3,1)),2)</f>
        <v>11.52</v>
      </c>
      <c r="L554" s="22"/>
      <c r="M554" s="22"/>
      <c r="N554" s="22"/>
      <c r="O554" s="22" t="s">
        <v>123</v>
      </c>
      <c r="P554" s="23" t="s">
        <v>1304</v>
      </c>
    </row>
    <row r="555" customFormat="false" ht="25.5" hidden="false" customHeight="true" outlineLevel="0" collapsed="false">
      <c r="A555" s="22" t="n">
        <v>554</v>
      </c>
      <c r="B555" s="22" t="n">
        <v>5</v>
      </c>
      <c r="C555" s="22" t="s">
        <v>125</v>
      </c>
      <c r="D555" s="25" t="s">
        <v>1356</v>
      </c>
      <c r="E555" s="22" t="s">
        <v>1101</v>
      </c>
      <c r="F555" s="23" t="s">
        <v>997</v>
      </c>
      <c r="G555" s="22" t="s">
        <v>505</v>
      </c>
      <c r="H555" s="22" t="s">
        <v>1301</v>
      </c>
      <c r="I555" s="23" t="s">
        <v>1350</v>
      </c>
      <c r="J555" s="25" t="s">
        <v>1357</v>
      </c>
      <c r="K555" s="24" t="n">
        <f aca="false">ROUND((IF(E555="Transactional",5,IF(E555="Commercial",4,IF(E555="Comparison",3,IF(E555="Informational",2,3))))*LOG10(IF(ISNUMBER(L555),L555,IFERROR(VALUE(LEFT(F555,FIND("-",F555)-1)),100))+1))/IF(IF(ISBLANK(M555),G555,M555)="High",5,IF(IF(ISBLANK(M555),G555,M555)="Medium",3,1)),2)</f>
        <v>11.52</v>
      </c>
      <c r="L555" s="22"/>
      <c r="M555" s="22"/>
      <c r="N555" s="22"/>
      <c r="O555" s="22" t="s">
        <v>123</v>
      </c>
      <c r="P555" s="23"/>
    </row>
    <row r="556" customFormat="false" ht="25.5" hidden="false" customHeight="true" outlineLevel="0" collapsed="false">
      <c r="A556" s="22" t="n">
        <v>555</v>
      </c>
      <c r="B556" s="22" t="n">
        <v>5</v>
      </c>
      <c r="C556" s="22" t="s">
        <v>115</v>
      </c>
      <c r="D556" s="23" t="s">
        <v>1358</v>
      </c>
      <c r="E556" s="22" t="s">
        <v>1101</v>
      </c>
      <c r="F556" s="23" t="s">
        <v>1019</v>
      </c>
      <c r="G556" s="22" t="s">
        <v>505</v>
      </c>
      <c r="H556" s="22" t="s">
        <v>1301</v>
      </c>
      <c r="I556" s="23" t="s">
        <v>1350</v>
      </c>
      <c r="J556" s="23" t="s">
        <v>1359</v>
      </c>
      <c r="K556" s="24" t="n">
        <f aca="false">ROUND((IF(E556="Transactional",5,IF(E556="Commercial",4,IF(E556="Comparison",3,IF(E556="Informational",2,3))))*LOG10(IF(ISNUMBER(L556),L556,IFERROR(VALUE(LEFT(F556,FIND("-",F556)-1)),100))+1))/IF(IF(ISBLANK(M556),G556,M556)="High",5,IF(IF(ISBLANK(M556),G556,M556)="Medium",3,1)),2)</f>
        <v>10.02</v>
      </c>
      <c r="L556" s="22"/>
      <c r="M556" s="22"/>
      <c r="N556" s="22"/>
      <c r="O556" s="22" t="s">
        <v>123</v>
      </c>
      <c r="P556" s="23" t="s">
        <v>1304</v>
      </c>
    </row>
    <row r="557" customFormat="false" ht="25.5" hidden="false" customHeight="true" outlineLevel="0" collapsed="false">
      <c r="A557" s="22" t="n">
        <v>556</v>
      </c>
      <c r="B557" s="22" t="n">
        <v>5</v>
      </c>
      <c r="C557" s="22" t="s">
        <v>125</v>
      </c>
      <c r="D557" s="25" t="s">
        <v>1360</v>
      </c>
      <c r="E557" s="22" t="s">
        <v>1101</v>
      </c>
      <c r="F557" s="23" t="s">
        <v>1019</v>
      </c>
      <c r="G557" s="22" t="s">
        <v>505</v>
      </c>
      <c r="H557" s="22" t="s">
        <v>1301</v>
      </c>
      <c r="I557" s="23" t="s">
        <v>1350</v>
      </c>
      <c r="J557" s="25" t="s">
        <v>1361</v>
      </c>
      <c r="K557" s="24" t="n">
        <f aca="false">ROUND((IF(E557="Transactional",5,IF(E557="Commercial",4,IF(E557="Comparison",3,IF(E557="Informational",2,3))))*LOG10(IF(ISNUMBER(L557),L557,IFERROR(VALUE(LEFT(F557,FIND("-",F557)-1)),100))+1))/IF(IF(ISBLANK(M557),G557,M557)="High",5,IF(IF(ISBLANK(M557),G557,M557)="Medium",3,1)),2)</f>
        <v>10.02</v>
      </c>
      <c r="L557" s="22"/>
      <c r="M557" s="22"/>
      <c r="N557" s="22"/>
      <c r="O557" s="22" t="s">
        <v>123</v>
      </c>
      <c r="P557" s="23"/>
    </row>
    <row r="558" customFormat="false" ht="25.5" hidden="false" customHeight="true" outlineLevel="0" collapsed="false">
      <c r="A558" s="22" t="n">
        <v>557</v>
      </c>
      <c r="B558" s="22" t="n">
        <v>5</v>
      </c>
      <c r="C558" s="22" t="s">
        <v>115</v>
      </c>
      <c r="D558" s="23" t="s">
        <v>1362</v>
      </c>
      <c r="E558" s="22" t="s">
        <v>1101</v>
      </c>
      <c r="F558" s="23" t="s">
        <v>1019</v>
      </c>
      <c r="G558" s="22" t="s">
        <v>505</v>
      </c>
      <c r="H558" s="22" t="s">
        <v>1301</v>
      </c>
      <c r="I558" s="23" t="s">
        <v>1350</v>
      </c>
      <c r="J558" s="23" t="s">
        <v>1363</v>
      </c>
      <c r="K558" s="24" t="n">
        <f aca="false">ROUND((IF(E558="Transactional",5,IF(E558="Commercial",4,IF(E558="Comparison",3,IF(E558="Informational",2,3))))*LOG10(IF(ISNUMBER(L558),L558,IFERROR(VALUE(LEFT(F558,FIND("-",F558)-1)),100))+1))/IF(IF(ISBLANK(M558),G558,M558)="High",5,IF(IF(ISBLANK(M558),G558,M558)="Medium",3,1)),2)</f>
        <v>10.02</v>
      </c>
      <c r="L558" s="22"/>
      <c r="M558" s="22"/>
      <c r="N558" s="22"/>
      <c r="O558" s="22" t="s">
        <v>123</v>
      </c>
      <c r="P558" s="23" t="s">
        <v>1304</v>
      </c>
    </row>
    <row r="559" customFormat="false" ht="25.5" hidden="false" customHeight="true" outlineLevel="0" collapsed="false">
      <c r="A559" s="22" t="n">
        <v>558</v>
      </c>
      <c r="B559" s="22" t="n">
        <v>5</v>
      </c>
      <c r="C559" s="22" t="s">
        <v>125</v>
      </c>
      <c r="D559" s="25" t="s">
        <v>1364</v>
      </c>
      <c r="E559" s="22" t="s">
        <v>1101</v>
      </c>
      <c r="F559" s="23" t="s">
        <v>1019</v>
      </c>
      <c r="G559" s="22" t="s">
        <v>505</v>
      </c>
      <c r="H559" s="22" t="s">
        <v>1301</v>
      </c>
      <c r="I559" s="23" t="s">
        <v>1350</v>
      </c>
      <c r="J559" s="25" t="s">
        <v>1365</v>
      </c>
      <c r="K559" s="24" t="n">
        <f aca="false">ROUND((IF(E559="Transactional",5,IF(E559="Commercial",4,IF(E559="Comparison",3,IF(E559="Informational",2,3))))*LOG10(IF(ISNUMBER(L559),L559,IFERROR(VALUE(LEFT(F559,FIND("-",F559)-1)),100))+1))/IF(IF(ISBLANK(M559),G559,M559)="High",5,IF(IF(ISBLANK(M559),G559,M559)="Medium",3,1)),2)</f>
        <v>10.02</v>
      </c>
      <c r="L559" s="22"/>
      <c r="M559" s="22"/>
      <c r="N559" s="22"/>
      <c r="O559" s="22" t="s">
        <v>123</v>
      </c>
      <c r="P559" s="23"/>
    </row>
    <row r="560" customFormat="false" ht="25.5" hidden="false" customHeight="true" outlineLevel="0" collapsed="false">
      <c r="A560" s="22" t="n">
        <v>559</v>
      </c>
      <c r="B560" s="22" t="n">
        <v>5</v>
      </c>
      <c r="C560" s="22" t="s">
        <v>115</v>
      </c>
      <c r="D560" s="23" t="s">
        <v>1366</v>
      </c>
      <c r="E560" s="22" t="s">
        <v>1101</v>
      </c>
      <c r="F560" s="23" t="s">
        <v>1300</v>
      </c>
      <c r="G560" s="22" t="s">
        <v>505</v>
      </c>
      <c r="H560" s="22" t="s">
        <v>1301</v>
      </c>
      <c r="I560" s="23" t="s">
        <v>1367</v>
      </c>
      <c r="J560" s="23" t="s">
        <v>1368</v>
      </c>
      <c r="K560" s="24" t="n">
        <f aca="false">ROUND((IF(E560="Transactional",5,IF(E560="Commercial",4,IF(E560="Comparison",3,IF(E560="Informational",2,3))))*LOG10(IF(ISNUMBER(L560),L560,IFERROR(VALUE(LEFT(F560,FIND("-",F560)-1)),100))+1))/IF(IF(ISBLANK(M560),G560,M560)="High",5,IF(IF(ISBLANK(M560),G560,M560)="Medium",3,1)),2)</f>
        <v>13.5</v>
      </c>
      <c r="L560" s="22"/>
      <c r="M560" s="22"/>
      <c r="N560" s="22"/>
      <c r="O560" s="22" t="s">
        <v>123</v>
      </c>
      <c r="P560" s="23" t="s">
        <v>1304</v>
      </c>
    </row>
    <row r="561" customFormat="false" ht="25.5" hidden="false" customHeight="true" outlineLevel="0" collapsed="false">
      <c r="A561" s="22" t="n">
        <v>560</v>
      </c>
      <c r="B561" s="22" t="n">
        <v>5</v>
      </c>
      <c r="C561" s="22" t="s">
        <v>125</v>
      </c>
      <c r="D561" s="25" t="s">
        <v>1369</v>
      </c>
      <c r="E561" s="22" t="s">
        <v>1101</v>
      </c>
      <c r="F561" s="23" t="s">
        <v>1306</v>
      </c>
      <c r="G561" s="22" t="s">
        <v>505</v>
      </c>
      <c r="H561" s="22" t="s">
        <v>1301</v>
      </c>
      <c r="I561" s="23" t="s">
        <v>1367</v>
      </c>
      <c r="J561" s="25" t="s">
        <v>1370</v>
      </c>
      <c r="K561" s="24" t="n">
        <f aca="false">ROUND((IF(E561="Transactional",5,IF(E561="Commercial",4,IF(E561="Comparison",3,IF(E561="Informational",2,3))))*LOG10(IF(ISNUMBER(L561),L561,IFERROR(VALUE(LEFT(F561,FIND("-",F561)-1)),100))+1))/IF(IF(ISBLANK(M561),G561,M561)="High",5,IF(IF(ISBLANK(M561),G561,M561)="Medium",3,1)),2)</f>
        <v>13.02</v>
      </c>
      <c r="L561" s="22"/>
      <c r="M561" s="22"/>
      <c r="N561" s="22"/>
      <c r="O561" s="22" t="s">
        <v>123</v>
      </c>
      <c r="P561" s="23"/>
    </row>
    <row r="562" customFormat="false" ht="25.5" hidden="false" customHeight="true" outlineLevel="0" collapsed="false">
      <c r="A562" s="22" t="n">
        <v>561</v>
      </c>
      <c r="B562" s="22" t="n">
        <v>5</v>
      </c>
      <c r="C562" s="22" t="s">
        <v>115</v>
      </c>
      <c r="D562" s="23" t="s">
        <v>1371</v>
      </c>
      <c r="E562" s="22" t="s">
        <v>1101</v>
      </c>
      <c r="F562" s="23" t="s">
        <v>997</v>
      </c>
      <c r="G562" s="22" t="s">
        <v>505</v>
      </c>
      <c r="H562" s="22" t="s">
        <v>1301</v>
      </c>
      <c r="I562" s="23" t="s">
        <v>1367</v>
      </c>
      <c r="J562" s="23" t="s">
        <v>1372</v>
      </c>
      <c r="K562" s="24" t="n">
        <f aca="false">ROUND((IF(E562="Transactional",5,IF(E562="Commercial",4,IF(E562="Comparison",3,IF(E562="Informational",2,3))))*LOG10(IF(ISNUMBER(L562),L562,IFERROR(VALUE(LEFT(F562,FIND("-",F562)-1)),100))+1))/IF(IF(ISBLANK(M562),G562,M562)="High",5,IF(IF(ISBLANK(M562),G562,M562)="Medium",3,1)),2)</f>
        <v>11.52</v>
      </c>
      <c r="L562" s="22"/>
      <c r="M562" s="22"/>
      <c r="N562" s="22"/>
      <c r="O562" s="22" t="s">
        <v>123</v>
      </c>
      <c r="P562" s="23" t="s">
        <v>1304</v>
      </c>
    </row>
    <row r="563" customFormat="false" ht="25.5" hidden="false" customHeight="true" outlineLevel="0" collapsed="false">
      <c r="A563" s="22" t="n">
        <v>562</v>
      </c>
      <c r="B563" s="22" t="n">
        <v>5</v>
      </c>
      <c r="C563" s="22" t="s">
        <v>125</v>
      </c>
      <c r="D563" s="25" t="s">
        <v>1373</v>
      </c>
      <c r="E563" s="22" t="s">
        <v>1101</v>
      </c>
      <c r="F563" s="23" t="s">
        <v>997</v>
      </c>
      <c r="G563" s="22" t="s">
        <v>505</v>
      </c>
      <c r="H563" s="22" t="s">
        <v>1301</v>
      </c>
      <c r="I563" s="23" t="s">
        <v>1367</v>
      </c>
      <c r="J563" s="25" t="s">
        <v>1374</v>
      </c>
      <c r="K563" s="24" t="n">
        <f aca="false">ROUND((IF(E563="Transactional",5,IF(E563="Commercial",4,IF(E563="Comparison",3,IF(E563="Informational",2,3))))*LOG10(IF(ISNUMBER(L563),L563,IFERROR(VALUE(LEFT(F563,FIND("-",F563)-1)),100))+1))/IF(IF(ISBLANK(M563),G563,M563)="High",5,IF(IF(ISBLANK(M563),G563,M563)="Medium",3,1)),2)</f>
        <v>11.52</v>
      </c>
      <c r="L563" s="22"/>
      <c r="M563" s="22"/>
      <c r="N563" s="22"/>
      <c r="O563" s="22" t="s">
        <v>123</v>
      </c>
      <c r="P563" s="23"/>
    </row>
    <row r="564" customFormat="false" ht="25.5" hidden="false" customHeight="true" outlineLevel="0" collapsed="false">
      <c r="A564" s="22" t="n">
        <v>563</v>
      </c>
      <c r="B564" s="22" t="n">
        <v>5</v>
      </c>
      <c r="C564" s="22" t="s">
        <v>115</v>
      </c>
      <c r="D564" s="23" t="s">
        <v>1375</v>
      </c>
      <c r="E564" s="22" t="s">
        <v>1101</v>
      </c>
      <c r="F564" s="23" t="s">
        <v>1300</v>
      </c>
      <c r="G564" s="22" t="s">
        <v>505</v>
      </c>
      <c r="H564" s="22" t="s">
        <v>1301</v>
      </c>
      <c r="I564" s="23" t="s">
        <v>1376</v>
      </c>
      <c r="J564" s="23" t="s">
        <v>1377</v>
      </c>
      <c r="K564" s="24" t="n">
        <f aca="false">ROUND((IF(E564="Transactional",5,IF(E564="Commercial",4,IF(E564="Comparison",3,IF(E564="Informational",2,3))))*LOG10(IF(ISNUMBER(L564),L564,IFERROR(VALUE(LEFT(F564,FIND("-",F564)-1)),100))+1))/IF(IF(ISBLANK(M564),G564,M564)="High",5,IF(IF(ISBLANK(M564),G564,M564)="Medium",3,1)),2)</f>
        <v>13.5</v>
      </c>
      <c r="L564" s="22"/>
      <c r="M564" s="22"/>
      <c r="N564" s="22"/>
      <c r="O564" s="22" t="s">
        <v>123</v>
      </c>
      <c r="P564" s="23" t="s">
        <v>1304</v>
      </c>
    </row>
    <row r="565" customFormat="false" ht="25.5" hidden="false" customHeight="true" outlineLevel="0" collapsed="false">
      <c r="A565" s="22" t="n">
        <v>564</v>
      </c>
      <c r="B565" s="22" t="n">
        <v>5</v>
      </c>
      <c r="C565" s="22" t="s">
        <v>125</v>
      </c>
      <c r="D565" s="25" t="s">
        <v>1378</v>
      </c>
      <c r="E565" s="22" t="s">
        <v>1101</v>
      </c>
      <c r="F565" s="23" t="s">
        <v>1306</v>
      </c>
      <c r="G565" s="22" t="s">
        <v>505</v>
      </c>
      <c r="H565" s="22" t="s">
        <v>1301</v>
      </c>
      <c r="I565" s="23" t="s">
        <v>1376</v>
      </c>
      <c r="J565" s="25" t="s">
        <v>1379</v>
      </c>
      <c r="K565" s="24" t="n">
        <f aca="false">ROUND((IF(E565="Transactional",5,IF(E565="Commercial",4,IF(E565="Comparison",3,IF(E565="Informational",2,3))))*LOG10(IF(ISNUMBER(L565),L565,IFERROR(VALUE(LEFT(F565,FIND("-",F565)-1)),100))+1))/IF(IF(ISBLANK(M565),G565,M565)="High",5,IF(IF(ISBLANK(M565),G565,M565)="Medium",3,1)),2)</f>
        <v>13.02</v>
      </c>
      <c r="L565" s="22"/>
      <c r="M565" s="22"/>
      <c r="N565" s="22"/>
      <c r="O565" s="22" t="s">
        <v>123</v>
      </c>
      <c r="P565" s="23"/>
    </row>
    <row r="566" customFormat="false" ht="25.5" hidden="false" customHeight="true" outlineLevel="0" collapsed="false">
      <c r="A566" s="22" t="n">
        <v>565</v>
      </c>
      <c r="B566" s="22" t="n">
        <v>5</v>
      </c>
      <c r="C566" s="22" t="s">
        <v>115</v>
      </c>
      <c r="D566" s="23" t="s">
        <v>1380</v>
      </c>
      <c r="E566" s="22" t="s">
        <v>1101</v>
      </c>
      <c r="F566" s="23" t="s">
        <v>997</v>
      </c>
      <c r="G566" s="22" t="s">
        <v>505</v>
      </c>
      <c r="H566" s="22" t="s">
        <v>1301</v>
      </c>
      <c r="I566" s="23" t="s">
        <v>1376</v>
      </c>
      <c r="J566" s="23" t="s">
        <v>1381</v>
      </c>
      <c r="K566" s="24" t="n">
        <f aca="false">ROUND((IF(E566="Transactional",5,IF(E566="Commercial",4,IF(E566="Comparison",3,IF(E566="Informational",2,3))))*LOG10(IF(ISNUMBER(L566),L566,IFERROR(VALUE(LEFT(F566,FIND("-",F566)-1)),100))+1))/IF(IF(ISBLANK(M566),G566,M566)="High",5,IF(IF(ISBLANK(M566),G566,M566)="Medium",3,1)),2)</f>
        <v>11.52</v>
      </c>
      <c r="L566" s="22"/>
      <c r="M566" s="22"/>
      <c r="N566" s="22"/>
      <c r="O566" s="22" t="s">
        <v>123</v>
      </c>
      <c r="P566" s="23" t="s">
        <v>1304</v>
      </c>
    </row>
    <row r="567" customFormat="false" ht="25.5" hidden="false" customHeight="true" outlineLevel="0" collapsed="false">
      <c r="A567" s="22" t="n">
        <v>566</v>
      </c>
      <c r="B567" s="22" t="n">
        <v>5</v>
      </c>
      <c r="C567" s="22" t="s">
        <v>125</v>
      </c>
      <c r="D567" s="25" t="s">
        <v>1382</v>
      </c>
      <c r="E567" s="22" t="s">
        <v>1101</v>
      </c>
      <c r="F567" s="23" t="s">
        <v>997</v>
      </c>
      <c r="G567" s="22" t="s">
        <v>505</v>
      </c>
      <c r="H567" s="22" t="s">
        <v>1301</v>
      </c>
      <c r="I567" s="23" t="s">
        <v>1376</v>
      </c>
      <c r="J567" s="25" t="s">
        <v>1383</v>
      </c>
      <c r="K567" s="24" t="n">
        <f aca="false">ROUND((IF(E567="Transactional",5,IF(E567="Commercial",4,IF(E567="Comparison",3,IF(E567="Informational",2,3))))*LOG10(IF(ISNUMBER(L567),L567,IFERROR(VALUE(LEFT(F567,FIND("-",F567)-1)),100))+1))/IF(IF(ISBLANK(M567),G567,M567)="High",5,IF(IF(ISBLANK(M567),G567,M567)="Medium",3,1)),2)</f>
        <v>11.52</v>
      </c>
      <c r="L567" s="22"/>
      <c r="M567" s="22"/>
      <c r="N567" s="22"/>
      <c r="O567" s="22" t="s">
        <v>123</v>
      </c>
      <c r="P567" s="23"/>
    </row>
    <row r="568" customFormat="false" ht="25.5" hidden="false" customHeight="true" outlineLevel="0" collapsed="false">
      <c r="A568" s="22" t="n">
        <v>567</v>
      </c>
      <c r="B568" s="22" t="n">
        <v>5</v>
      </c>
      <c r="C568" s="22" t="s">
        <v>115</v>
      </c>
      <c r="D568" s="23" t="s">
        <v>1384</v>
      </c>
      <c r="E568" s="22" t="s">
        <v>1101</v>
      </c>
      <c r="F568" s="23" t="s">
        <v>997</v>
      </c>
      <c r="G568" s="22" t="s">
        <v>505</v>
      </c>
      <c r="H568" s="22" t="s">
        <v>1301</v>
      </c>
      <c r="I568" s="23" t="s">
        <v>1376</v>
      </c>
      <c r="J568" s="23" t="s">
        <v>1385</v>
      </c>
      <c r="K568" s="24" t="n">
        <f aca="false">ROUND((IF(E568="Transactional",5,IF(E568="Commercial",4,IF(E568="Comparison",3,IF(E568="Informational",2,3))))*LOG10(IF(ISNUMBER(L568),L568,IFERROR(VALUE(LEFT(F568,FIND("-",F568)-1)),100))+1))/IF(IF(ISBLANK(M568),G568,M568)="High",5,IF(IF(ISBLANK(M568),G568,M568)="Medium",3,1)),2)</f>
        <v>11.52</v>
      </c>
      <c r="L568" s="22"/>
      <c r="M568" s="22"/>
      <c r="N568" s="22"/>
      <c r="O568" s="22" t="s">
        <v>123</v>
      </c>
      <c r="P568" s="23" t="s">
        <v>1304</v>
      </c>
    </row>
    <row r="569" customFormat="false" ht="25.5" hidden="false" customHeight="true" outlineLevel="0" collapsed="false">
      <c r="A569" s="22" t="n">
        <v>568</v>
      </c>
      <c r="B569" s="22" t="n">
        <v>5</v>
      </c>
      <c r="C569" s="22" t="s">
        <v>125</v>
      </c>
      <c r="D569" s="25" t="s">
        <v>1386</v>
      </c>
      <c r="E569" s="22" t="s">
        <v>1101</v>
      </c>
      <c r="F569" s="23" t="s">
        <v>997</v>
      </c>
      <c r="G569" s="22" t="s">
        <v>505</v>
      </c>
      <c r="H569" s="22" t="s">
        <v>1301</v>
      </c>
      <c r="I569" s="23" t="s">
        <v>1376</v>
      </c>
      <c r="J569" s="25" t="s">
        <v>1387</v>
      </c>
      <c r="K569" s="24" t="n">
        <f aca="false">ROUND((IF(E569="Transactional",5,IF(E569="Commercial",4,IF(E569="Comparison",3,IF(E569="Informational",2,3))))*LOG10(IF(ISNUMBER(L569),L569,IFERROR(VALUE(LEFT(F569,FIND("-",F569)-1)),100))+1))/IF(IF(ISBLANK(M569),G569,M569)="High",5,IF(IF(ISBLANK(M569),G569,M569)="Medium",3,1)),2)</f>
        <v>11.52</v>
      </c>
      <c r="L569" s="22"/>
      <c r="M569" s="22"/>
      <c r="N569" s="22"/>
      <c r="O569" s="22" t="s">
        <v>123</v>
      </c>
      <c r="P569" s="23"/>
    </row>
    <row r="570" customFormat="false" ht="25.5" hidden="false" customHeight="true" outlineLevel="0" collapsed="false">
      <c r="A570" s="22" t="n">
        <v>569</v>
      </c>
      <c r="B570" s="22" t="n">
        <v>5</v>
      </c>
      <c r="C570" s="22" t="s">
        <v>115</v>
      </c>
      <c r="D570" s="23" t="s">
        <v>1388</v>
      </c>
      <c r="E570" s="22" t="s">
        <v>1101</v>
      </c>
      <c r="F570" s="23" t="s">
        <v>997</v>
      </c>
      <c r="G570" s="22" t="s">
        <v>505</v>
      </c>
      <c r="H570" s="22" t="s">
        <v>1301</v>
      </c>
      <c r="I570" s="23" t="s">
        <v>1376</v>
      </c>
      <c r="J570" s="23" t="s">
        <v>1389</v>
      </c>
      <c r="K570" s="24" t="n">
        <f aca="false">ROUND((IF(E570="Transactional",5,IF(E570="Commercial",4,IF(E570="Comparison",3,IF(E570="Informational",2,3))))*LOG10(IF(ISNUMBER(L570),L570,IFERROR(VALUE(LEFT(F570,FIND("-",F570)-1)),100))+1))/IF(IF(ISBLANK(M570),G570,M570)="High",5,IF(IF(ISBLANK(M570),G570,M570)="Medium",3,1)),2)</f>
        <v>11.52</v>
      </c>
      <c r="L570" s="22"/>
      <c r="M570" s="22"/>
      <c r="N570" s="22"/>
      <c r="O570" s="22" t="s">
        <v>123</v>
      </c>
      <c r="P570" s="23" t="s">
        <v>1304</v>
      </c>
    </row>
    <row r="571" customFormat="false" ht="25.5" hidden="false" customHeight="true" outlineLevel="0" collapsed="false">
      <c r="A571" s="22" t="n">
        <v>570</v>
      </c>
      <c r="B571" s="22" t="n">
        <v>5</v>
      </c>
      <c r="C571" s="22" t="s">
        <v>125</v>
      </c>
      <c r="D571" s="25" t="s">
        <v>1390</v>
      </c>
      <c r="E571" s="22" t="s">
        <v>1101</v>
      </c>
      <c r="F571" s="23" t="s">
        <v>997</v>
      </c>
      <c r="G571" s="22" t="s">
        <v>505</v>
      </c>
      <c r="H571" s="22" t="s">
        <v>1301</v>
      </c>
      <c r="I571" s="23" t="s">
        <v>1376</v>
      </c>
      <c r="J571" s="25" t="s">
        <v>1391</v>
      </c>
      <c r="K571" s="24" t="n">
        <f aca="false">ROUND((IF(E571="Transactional",5,IF(E571="Commercial",4,IF(E571="Comparison",3,IF(E571="Informational",2,3))))*LOG10(IF(ISNUMBER(L571),L571,IFERROR(VALUE(LEFT(F571,FIND("-",F571)-1)),100))+1))/IF(IF(ISBLANK(M571),G571,M571)="High",5,IF(IF(ISBLANK(M571),G571,M571)="Medium",3,1)),2)</f>
        <v>11.52</v>
      </c>
      <c r="L571" s="22"/>
      <c r="M571" s="22"/>
      <c r="N571" s="22"/>
      <c r="O571" s="22" t="s">
        <v>123</v>
      </c>
      <c r="P571" s="23"/>
    </row>
    <row r="572" customFormat="false" ht="25.5" hidden="false" customHeight="true" outlineLevel="0" collapsed="false">
      <c r="A572" s="22" t="n">
        <v>571</v>
      </c>
      <c r="B572" s="22" t="n">
        <v>5</v>
      </c>
      <c r="C572" s="22" t="s">
        <v>115</v>
      </c>
      <c r="D572" s="23" t="s">
        <v>1392</v>
      </c>
      <c r="E572" s="22" t="s">
        <v>1101</v>
      </c>
      <c r="F572" s="23" t="s">
        <v>997</v>
      </c>
      <c r="G572" s="22" t="s">
        <v>505</v>
      </c>
      <c r="H572" s="22" t="s">
        <v>1301</v>
      </c>
      <c r="I572" s="23" t="s">
        <v>1376</v>
      </c>
      <c r="J572" s="23" t="s">
        <v>1393</v>
      </c>
      <c r="K572" s="24" t="n">
        <f aca="false">ROUND((IF(E572="Transactional",5,IF(E572="Commercial",4,IF(E572="Comparison",3,IF(E572="Informational",2,3))))*LOG10(IF(ISNUMBER(L572),L572,IFERROR(VALUE(LEFT(F572,FIND("-",F572)-1)),100))+1))/IF(IF(ISBLANK(M572),G572,M572)="High",5,IF(IF(ISBLANK(M572),G572,M572)="Medium",3,1)),2)</f>
        <v>11.52</v>
      </c>
      <c r="L572" s="22"/>
      <c r="M572" s="22"/>
      <c r="N572" s="22"/>
      <c r="O572" s="22" t="s">
        <v>123</v>
      </c>
      <c r="P572" s="23" t="s">
        <v>1304</v>
      </c>
    </row>
    <row r="573" customFormat="false" ht="25.5" hidden="false" customHeight="true" outlineLevel="0" collapsed="false">
      <c r="A573" s="22" t="n">
        <v>572</v>
      </c>
      <c r="B573" s="22" t="n">
        <v>5</v>
      </c>
      <c r="C573" s="22" t="s">
        <v>125</v>
      </c>
      <c r="D573" s="25" t="s">
        <v>1394</v>
      </c>
      <c r="E573" s="22" t="s">
        <v>1101</v>
      </c>
      <c r="F573" s="23" t="s">
        <v>997</v>
      </c>
      <c r="G573" s="22" t="s">
        <v>505</v>
      </c>
      <c r="H573" s="22" t="s">
        <v>1301</v>
      </c>
      <c r="I573" s="23" t="s">
        <v>1376</v>
      </c>
      <c r="J573" s="25" t="s">
        <v>1395</v>
      </c>
      <c r="K573" s="24" t="n">
        <f aca="false">ROUND((IF(E573="Transactional",5,IF(E573="Commercial",4,IF(E573="Comparison",3,IF(E573="Informational",2,3))))*LOG10(IF(ISNUMBER(L573),L573,IFERROR(VALUE(LEFT(F573,FIND("-",F573)-1)),100))+1))/IF(IF(ISBLANK(M573),G573,M573)="High",5,IF(IF(ISBLANK(M573),G573,M573)="Medium",3,1)),2)</f>
        <v>11.52</v>
      </c>
      <c r="L573" s="22"/>
      <c r="M573" s="22"/>
      <c r="N573" s="22"/>
      <c r="O573" s="22" t="s">
        <v>123</v>
      </c>
      <c r="P573" s="23"/>
    </row>
    <row r="574" customFormat="false" ht="25.5" hidden="false" customHeight="true" outlineLevel="0" collapsed="false">
      <c r="A574" s="22" t="n">
        <v>573</v>
      </c>
      <c r="B574" s="22" t="n">
        <v>5</v>
      </c>
      <c r="C574" s="22" t="s">
        <v>115</v>
      </c>
      <c r="D574" s="23" t="s">
        <v>1396</v>
      </c>
      <c r="E574" s="22" t="s">
        <v>1101</v>
      </c>
      <c r="F574" s="23" t="s">
        <v>997</v>
      </c>
      <c r="G574" s="22" t="s">
        <v>505</v>
      </c>
      <c r="H574" s="22" t="s">
        <v>1301</v>
      </c>
      <c r="I574" s="23" t="s">
        <v>1376</v>
      </c>
      <c r="J574" s="23" t="s">
        <v>1397</v>
      </c>
      <c r="K574" s="24" t="n">
        <f aca="false">ROUND((IF(E574="Transactional",5,IF(E574="Commercial",4,IF(E574="Comparison",3,IF(E574="Informational",2,3))))*LOG10(IF(ISNUMBER(L574),L574,IFERROR(VALUE(LEFT(F574,FIND("-",F574)-1)),100))+1))/IF(IF(ISBLANK(M574),G574,M574)="High",5,IF(IF(ISBLANK(M574),G574,M574)="Medium",3,1)),2)</f>
        <v>11.52</v>
      </c>
      <c r="L574" s="22"/>
      <c r="M574" s="22"/>
      <c r="N574" s="22"/>
      <c r="O574" s="22" t="s">
        <v>123</v>
      </c>
      <c r="P574" s="23" t="s">
        <v>1304</v>
      </c>
    </row>
    <row r="575" customFormat="false" ht="25.5" hidden="false" customHeight="true" outlineLevel="0" collapsed="false">
      <c r="A575" s="22" t="n">
        <v>574</v>
      </c>
      <c r="B575" s="22" t="n">
        <v>5</v>
      </c>
      <c r="C575" s="22" t="s">
        <v>125</v>
      </c>
      <c r="D575" s="25" t="s">
        <v>1398</v>
      </c>
      <c r="E575" s="22" t="s">
        <v>1101</v>
      </c>
      <c r="F575" s="23" t="s">
        <v>997</v>
      </c>
      <c r="G575" s="22" t="s">
        <v>505</v>
      </c>
      <c r="H575" s="22" t="s">
        <v>1301</v>
      </c>
      <c r="I575" s="23" t="s">
        <v>1376</v>
      </c>
      <c r="J575" s="25" t="s">
        <v>1399</v>
      </c>
      <c r="K575" s="24" t="n">
        <f aca="false">ROUND((IF(E575="Transactional",5,IF(E575="Commercial",4,IF(E575="Comparison",3,IF(E575="Informational",2,3))))*LOG10(IF(ISNUMBER(L575),L575,IFERROR(VALUE(LEFT(F575,FIND("-",F575)-1)),100))+1))/IF(IF(ISBLANK(M575),G575,M575)="High",5,IF(IF(ISBLANK(M575),G575,M575)="Medium",3,1)),2)</f>
        <v>11.52</v>
      </c>
      <c r="L575" s="22"/>
      <c r="M575" s="22"/>
      <c r="N575" s="22"/>
      <c r="O575" s="22" t="s">
        <v>123</v>
      </c>
      <c r="P575" s="23"/>
    </row>
    <row r="576" customFormat="false" ht="25.5" hidden="false" customHeight="true" outlineLevel="0" collapsed="false">
      <c r="A576" s="22" t="n">
        <v>575</v>
      </c>
      <c r="B576" s="22" t="n">
        <v>5</v>
      </c>
      <c r="C576" s="22" t="s">
        <v>115</v>
      </c>
      <c r="D576" s="23" t="s">
        <v>1400</v>
      </c>
      <c r="E576" s="22" t="s">
        <v>1101</v>
      </c>
      <c r="F576" s="23" t="s">
        <v>997</v>
      </c>
      <c r="G576" s="22" t="s">
        <v>505</v>
      </c>
      <c r="H576" s="22" t="s">
        <v>1301</v>
      </c>
      <c r="I576" s="23" t="s">
        <v>1376</v>
      </c>
      <c r="J576" s="23" t="s">
        <v>1401</v>
      </c>
      <c r="K576" s="24" t="n">
        <f aca="false">ROUND((IF(E576="Transactional",5,IF(E576="Commercial",4,IF(E576="Comparison",3,IF(E576="Informational",2,3))))*LOG10(IF(ISNUMBER(L576),L576,IFERROR(VALUE(LEFT(F576,FIND("-",F576)-1)),100))+1))/IF(IF(ISBLANK(M576),G576,M576)="High",5,IF(IF(ISBLANK(M576),G576,M576)="Medium",3,1)),2)</f>
        <v>11.52</v>
      </c>
      <c r="L576" s="22"/>
      <c r="M576" s="22"/>
      <c r="N576" s="22"/>
      <c r="O576" s="22" t="s">
        <v>123</v>
      </c>
      <c r="P576" s="23" t="s">
        <v>1304</v>
      </c>
    </row>
    <row r="577" customFormat="false" ht="25.5" hidden="false" customHeight="true" outlineLevel="0" collapsed="false">
      <c r="A577" s="22" t="n">
        <v>576</v>
      </c>
      <c r="B577" s="22" t="n">
        <v>5</v>
      </c>
      <c r="C577" s="22" t="s">
        <v>125</v>
      </c>
      <c r="D577" s="25" t="s">
        <v>1402</v>
      </c>
      <c r="E577" s="22" t="s">
        <v>1101</v>
      </c>
      <c r="F577" s="23" t="s">
        <v>997</v>
      </c>
      <c r="G577" s="22" t="s">
        <v>505</v>
      </c>
      <c r="H577" s="22" t="s">
        <v>1301</v>
      </c>
      <c r="I577" s="23" t="s">
        <v>1376</v>
      </c>
      <c r="J577" s="25" t="s">
        <v>1403</v>
      </c>
      <c r="K577" s="24" t="n">
        <f aca="false">ROUND((IF(E577="Transactional",5,IF(E577="Commercial",4,IF(E577="Comparison",3,IF(E577="Informational",2,3))))*LOG10(IF(ISNUMBER(L577),L577,IFERROR(VALUE(LEFT(F577,FIND("-",F577)-1)),100))+1))/IF(IF(ISBLANK(M577),G577,M577)="High",5,IF(IF(ISBLANK(M577),G577,M577)="Medium",3,1)),2)</f>
        <v>11.52</v>
      </c>
      <c r="L577" s="22"/>
      <c r="M577" s="22"/>
      <c r="N577" s="22"/>
      <c r="O577" s="22" t="s">
        <v>123</v>
      </c>
      <c r="P577" s="23"/>
    </row>
    <row r="578" customFormat="false" ht="25.5" hidden="false" customHeight="true" outlineLevel="0" collapsed="false">
      <c r="A578" s="22" t="n">
        <v>577</v>
      </c>
      <c r="B578" s="22" t="n">
        <v>5</v>
      </c>
      <c r="C578" s="22" t="s">
        <v>115</v>
      </c>
      <c r="D578" s="23" t="s">
        <v>1404</v>
      </c>
      <c r="E578" s="22" t="s">
        <v>1101</v>
      </c>
      <c r="F578" s="23" t="s">
        <v>1300</v>
      </c>
      <c r="G578" s="22" t="s">
        <v>505</v>
      </c>
      <c r="H578" s="22" t="s">
        <v>1301</v>
      </c>
      <c r="I578" s="23" t="s">
        <v>1376</v>
      </c>
      <c r="J578" s="23" t="s">
        <v>1405</v>
      </c>
      <c r="K578" s="24" t="n">
        <f aca="false">ROUND((IF(E578="Transactional",5,IF(E578="Commercial",4,IF(E578="Comparison",3,IF(E578="Informational",2,3))))*LOG10(IF(ISNUMBER(L578),L578,IFERROR(VALUE(LEFT(F578,FIND("-",F578)-1)),100))+1))/IF(IF(ISBLANK(M578),G578,M578)="High",5,IF(IF(ISBLANK(M578),G578,M578)="Medium",3,1)),2)</f>
        <v>13.5</v>
      </c>
      <c r="L578" s="22"/>
      <c r="M578" s="22"/>
      <c r="N578" s="22"/>
      <c r="O578" s="22" t="s">
        <v>123</v>
      </c>
      <c r="P578" s="23" t="s">
        <v>1304</v>
      </c>
    </row>
    <row r="579" customFormat="false" ht="25.5" hidden="false" customHeight="true" outlineLevel="0" collapsed="false">
      <c r="A579" s="22" t="n">
        <v>578</v>
      </c>
      <c r="B579" s="22" t="n">
        <v>5</v>
      </c>
      <c r="C579" s="22" t="s">
        <v>125</v>
      </c>
      <c r="D579" s="25" t="s">
        <v>1406</v>
      </c>
      <c r="E579" s="22" t="s">
        <v>1101</v>
      </c>
      <c r="F579" s="23" t="s">
        <v>1306</v>
      </c>
      <c r="G579" s="22" t="s">
        <v>505</v>
      </c>
      <c r="H579" s="22" t="s">
        <v>1301</v>
      </c>
      <c r="I579" s="23" t="s">
        <v>1376</v>
      </c>
      <c r="J579" s="25" t="s">
        <v>1407</v>
      </c>
      <c r="K579" s="24" t="n">
        <f aca="false">ROUND((IF(E579="Transactional",5,IF(E579="Commercial",4,IF(E579="Comparison",3,IF(E579="Informational",2,3))))*LOG10(IF(ISNUMBER(L579),L579,IFERROR(VALUE(LEFT(F579,FIND("-",F579)-1)),100))+1))/IF(IF(ISBLANK(M579),G579,M579)="High",5,IF(IF(ISBLANK(M579),G579,M579)="Medium",3,1)),2)</f>
        <v>13.02</v>
      </c>
      <c r="L579" s="22"/>
      <c r="M579" s="22"/>
      <c r="N579" s="22"/>
      <c r="O579" s="22" t="s">
        <v>123</v>
      </c>
      <c r="P579" s="23"/>
    </row>
    <row r="580" customFormat="false" ht="25.5" hidden="false" customHeight="true" outlineLevel="0" collapsed="false">
      <c r="A580" s="22" t="n">
        <v>579</v>
      </c>
      <c r="B580" s="22" t="n">
        <v>5</v>
      </c>
      <c r="C580" s="22" t="s">
        <v>115</v>
      </c>
      <c r="D580" s="23" t="s">
        <v>1408</v>
      </c>
      <c r="E580" s="22" t="s">
        <v>1101</v>
      </c>
      <c r="F580" s="23" t="s">
        <v>1300</v>
      </c>
      <c r="G580" s="22" t="s">
        <v>505</v>
      </c>
      <c r="H580" s="22" t="s">
        <v>1301</v>
      </c>
      <c r="I580" s="23" t="s">
        <v>1376</v>
      </c>
      <c r="J580" s="23" t="s">
        <v>1409</v>
      </c>
      <c r="K580" s="24" t="n">
        <f aca="false">ROUND((IF(E580="Transactional",5,IF(E580="Commercial",4,IF(E580="Comparison",3,IF(E580="Informational",2,3))))*LOG10(IF(ISNUMBER(L580),L580,IFERROR(VALUE(LEFT(F580,FIND("-",F580)-1)),100))+1))/IF(IF(ISBLANK(M580),G580,M580)="High",5,IF(IF(ISBLANK(M580),G580,M580)="Medium",3,1)),2)</f>
        <v>13.5</v>
      </c>
      <c r="L580" s="22"/>
      <c r="M580" s="22"/>
      <c r="N580" s="22"/>
      <c r="O580" s="22" t="s">
        <v>123</v>
      </c>
      <c r="P580" s="23" t="s">
        <v>1304</v>
      </c>
    </row>
    <row r="581" customFormat="false" ht="25.5" hidden="false" customHeight="true" outlineLevel="0" collapsed="false">
      <c r="A581" s="22" t="n">
        <v>580</v>
      </c>
      <c r="B581" s="22" t="n">
        <v>5</v>
      </c>
      <c r="C581" s="22" t="s">
        <v>125</v>
      </c>
      <c r="D581" s="25" t="s">
        <v>1410</v>
      </c>
      <c r="E581" s="22" t="s">
        <v>1101</v>
      </c>
      <c r="F581" s="23" t="s">
        <v>1306</v>
      </c>
      <c r="G581" s="22" t="s">
        <v>505</v>
      </c>
      <c r="H581" s="22" t="s">
        <v>1301</v>
      </c>
      <c r="I581" s="23" t="s">
        <v>1376</v>
      </c>
      <c r="J581" s="25" t="s">
        <v>1411</v>
      </c>
      <c r="K581" s="24" t="n">
        <f aca="false">ROUND((IF(E581="Transactional",5,IF(E581="Commercial",4,IF(E581="Comparison",3,IF(E581="Informational",2,3))))*LOG10(IF(ISNUMBER(L581),L581,IFERROR(VALUE(LEFT(F581,FIND("-",F581)-1)),100))+1))/IF(IF(ISBLANK(M581),G581,M581)="High",5,IF(IF(ISBLANK(M581),G581,M581)="Medium",3,1)),2)</f>
        <v>13.02</v>
      </c>
      <c r="L581" s="22"/>
      <c r="M581" s="22"/>
      <c r="N581" s="22"/>
      <c r="O581" s="22" t="s">
        <v>123</v>
      </c>
      <c r="P581" s="23"/>
    </row>
    <row r="582" customFormat="false" ht="25.5" hidden="false" customHeight="true" outlineLevel="0" collapsed="false">
      <c r="A582" s="22" t="n">
        <v>581</v>
      </c>
      <c r="B582" s="22" t="n">
        <v>5</v>
      </c>
      <c r="C582" s="22" t="s">
        <v>115</v>
      </c>
      <c r="D582" s="23" t="s">
        <v>1412</v>
      </c>
      <c r="E582" s="22" t="s">
        <v>1101</v>
      </c>
      <c r="F582" s="23" t="s">
        <v>1019</v>
      </c>
      <c r="G582" s="22" t="s">
        <v>505</v>
      </c>
      <c r="H582" s="22" t="s">
        <v>1301</v>
      </c>
      <c r="I582" s="23" t="s">
        <v>1413</v>
      </c>
      <c r="J582" s="23" t="s">
        <v>1414</v>
      </c>
      <c r="K582" s="24" t="n">
        <f aca="false">ROUND((IF(E582="Transactional",5,IF(E582="Commercial",4,IF(E582="Comparison",3,IF(E582="Informational",2,3))))*LOG10(IF(ISNUMBER(L582),L582,IFERROR(VALUE(LEFT(F582,FIND("-",F582)-1)),100))+1))/IF(IF(ISBLANK(M582),G582,M582)="High",5,IF(IF(ISBLANK(M582),G582,M582)="Medium",3,1)),2)</f>
        <v>10.02</v>
      </c>
      <c r="L582" s="22"/>
      <c r="M582" s="22"/>
      <c r="N582" s="22"/>
      <c r="O582" s="22" t="s">
        <v>123</v>
      </c>
      <c r="P582" s="23" t="s">
        <v>1304</v>
      </c>
    </row>
    <row r="583" customFormat="false" ht="25.5" hidden="false" customHeight="true" outlineLevel="0" collapsed="false">
      <c r="A583" s="22" t="n">
        <v>582</v>
      </c>
      <c r="B583" s="22" t="n">
        <v>5</v>
      </c>
      <c r="C583" s="22" t="s">
        <v>125</v>
      </c>
      <c r="D583" s="25" t="s">
        <v>1415</v>
      </c>
      <c r="E583" s="22" t="s">
        <v>1101</v>
      </c>
      <c r="F583" s="23" t="s">
        <v>1019</v>
      </c>
      <c r="G583" s="22" t="s">
        <v>505</v>
      </c>
      <c r="H583" s="22" t="s">
        <v>1301</v>
      </c>
      <c r="I583" s="23" t="s">
        <v>1413</v>
      </c>
      <c r="J583" s="25" t="s">
        <v>1416</v>
      </c>
      <c r="K583" s="24" t="n">
        <f aca="false">ROUND((IF(E583="Transactional",5,IF(E583="Commercial",4,IF(E583="Comparison",3,IF(E583="Informational",2,3))))*LOG10(IF(ISNUMBER(L583),L583,IFERROR(VALUE(LEFT(F583,FIND("-",F583)-1)),100))+1))/IF(IF(ISBLANK(M583),G583,M583)="High",5,IF(IF(ISBLANK(M583),G583,M583)="Medium",3,1)),2)</f>
        <v>10.02</v>
      </c>
      <c r="L583" s="22"/>
      <c r="M583" s="22"/>
      <c r="N583" s="22"/>
      <c r="O583" s="22" t="s">
        <v>123</v>
      </c>
      <c r="P583" s="23"/>
    </row>
    <row r="584" customFormat="false" ht="25.5" hidden="false" customHeight="true" outlineLevel="0" collapsed="false">
      <c r="A584" s="22" t="n">
        <v>583</v>
      </c>
      <c r="B584" s="22" t="n">
        <v>5</v>
      </c>
      <c r="C584" s="22" t="s">
        <v>115</v>
      </c>
      <c r="D584" s="23" t="s">
        <v>1417</v>
      </c>
      <c r="E584" s="22" t="s">
        <v>1101</v>
      </c>
      <c r="F584" s="23" t="s">
        <v>997</v>
      </c>
      <c r="G584" s="22" t="s">
        <v>505</v>
      </c>
      <c r="H584" s="22" t="s">
        <v>1301</v>
      </c>
      <c r="I584" s="23" t="s">
        <v>1418</v>
      </c>
      <c r="J584" s="23" t="s">
        <v>1419</v>
      </c>
      <c r="K584" s="24" t="n">
        <f aca="false">ROUND((IF(E584="Transactional",5,IF(E584="Commercial",4,IF(E584="Comparison",3,IF(E584="Informational",2,3))))*LOG10(IF(ISNUMBER(L584),L584,IFERROR(VALUE(LEFT(F584,FIND("-",F584)-1)),100))+1))/IF(IF(ISBLANK(M584),G584,M584)="High",5,IF(IF(ISBLANK(M584),G584,M584)="Medium",3,1)),2)</f>
        <v>11.52</v>
      </c>
      <c r="L584" s="22"/>
      <c r="M584" s="22"/>
      <c r="N584" s="22"/>
      <c r="O584" s="22" t="s">
        <v>123</v>
      </c>
      <c r="P584" s="23" t="s">
        <v>1304</v>
      </c>
    </row>
    <row r="585" customFormat="false" ht="25.5" hidden="false" customHeight="true" outlineLevel="0" collapsed="false">
      <c r="A585" s="22" t="n">
        <v>584</v>
      </c>
      <c r="B585" s="22" t="n">
        <v>5</v>
      </c>
      <c r="C585" s="22" t="s">
        <v>125</v>
      </c>
      <c r="D585" s="25" t="s">
        <v>1420</v>
      </c>
      <c r="E585" s="22" t="s">
        <v>1101</v>
      </c>
      <c r="F585" s="23" t="s">
        <v>997</v>
      </c>
      <c r="G585" s="22" t="s">
        <v>505</v>
      </c>
      <c r="H585" s="22" t="s">
        <v>1301</v>
      </c>
      <c r="I585" s="23" t="s">
        <v>1418</v>
      </c>
      <c r="J585" s="25" t="s">
        <v>1421</v>
      </c>
      <c r="K585" s="24" t="n">
        <f aca="false">ROUND((IF(E585="Transactional",5,IF(E585="Commercial",4,IF(E585="Comparison",3,IF(E585="Informational",2,3))))*LOG10(IF(ISNUMBER(L585),L585,IFERROR(VALUE(LEFT(F585,FIND("-",F585)-1)),100))+1))/IF(IF(ISBLANK(M585),G585,M585)="High",5,IF(IF(ISBLANK(M585),G585,M585)="Medium",3,1)),2)</f>
        <v>11.52</v>
      </c>
      <c r="L585" s="22"/>
      <c r="M585" s="22"/>
      <c r="N585" s="22"/>
      <c r="O585" s="22" t="s">
        <v>123</v>
      </c>
      <c r="P585" s="23"/>
    </row>
    <row r="586" customFormat="false" ht="25.5" hidden="false" customHeight="true" outlineLevel="0" collapsed="false">
      <c r="A586" s="22" t="n">
        <v>585</v>
      </c>
      <c r="B586" s="22" t="n">
        <v>5</v>
      </c>
      <c r="C586" s="22" t="s">
        <v>115</v>
      </c>
      <c r="D586" s="23" t="s">
        <v>1422</v>
      </c>
      <c r="E586" s="22" t="s">
        <v>1101</v>
      </c>
      <c r="F586" s="23" t="s">
        <v>997</v>
      </c>
      <c r="G586" s="22" t="s">
        <v>505</v>
      </c>
      <c r="H586" s="22" t="s">
        <v>1301</v>
      </c>
      <c r="I586" s="23" t="s">
        <v>1418</v>
      </c>
      <c r="J586" s="23" t="s">
        <v>1423</v>
      </c>
      <c r="K586" s="24" t="n">
        <f aca="false">ROUND((IF(E586="Transactional",5,IF(E586="Commercial",4,IF(E586="Comparison",3,IF(E586="Informational",2,3))))*LOG10(IF(ISNUMBER(L586),L586,IFERROR(VALUE(LEFT(F586,FIND("-",F586)-1)),100))+1))/IF(IF(ISBLANK(M586),G586,M586)="High",5,IF(IF(ISBLANK(M586),G586,M586)="Medium",3,1)),2)</f>
        <v>11.52</v>
      </c>
      <c r="L586" s="22"/>
      <c r="M586" s="22"/>
      <c r="N586" s="22"/>
      <c r="O586" s="22" t="s">
        <v>123</v>
      </c>
      <c r="P586" s="23" t="s">
        <v>1304</v>
      </c>
    </row>
    <row r="587" customFormat="false" ht="25.5" hidden="false" customHeight="true" outlineLevel="0" collapsed="false">
      <c r="A587" s="22" t="n">
        <v>586</v>
      </c>
      <c r="B587" s="22" t="n">
        <v>5</v>
      </c>
      <c r="C587" s="22" t="s">
        <v>125</v>
      </c>
      <c r="D587" s="25" t="s">
        <v>1424</v>
      </c>
      <c r="E587" s="22" t="s">
        <v>1101</v>
      </c>
      <c r="F587" s="23" t="s">
        <v>997</v>
      </c>
      <c r="G587" s="22" t="s">
        <v>505</v>
      </c>
      <c r="H587" s="22" t="s">
        <v>1301</v>
      </c>
      <c r="I587" s="23" t="s">
        <v>1418</v>
      </c>
      <c r="J587" s="25" t="s">
        <v>1425</v>
      </c>
      <c r="K587" s="24" t="n">
        <f aca="false">ROUND((IF(E587="Transactional",5,IF(E587="Commercial",4,IF(E587="Comparison",3,IF(E587="Informational",2,3))))*LOG10(IF(ISNUMBER(L587),L587,IFERROR(VALUE(LEFT(F587,FIND("-",F587)-1)),100))+1))/IF(IF(ISBLANK(M587),G587,M587)="High",5,IF(IF(ISBLANK(M587),G587,M587)="Medium",3,1)),2)</f>
        <v>11.52</v>
      </c>
      <c r="L587" s="22"/>
      <c r="M587" s="22"/>
      <c r="N587" s="22"/>
      <c r="O587" s="22" t="s">
        <v>123</v>
      </c>
      <c r="P587" s="23"/>
    </row>
    <row r="588" customFormat="false" ht="25.5" hidden="false" customHeight="true" outlineLevel="0" collapsed="false">
      <c r="A588" s="22" t="n">
        <v>587</v>
      </c>
      <c r="B588" s="22" t="n">
        <v>5</v>
      </c>
      <c r="C588" s="22" t="s">
        <v>115</v>
      </c>
      <c r="D588" s="23" t="s">
        <v>1426</v>
      </c>
      <c r="E588" s="22" t="s">
        <v>1101</v>
      </c>
      <c r="F588" s="23" t="s">
        <v>997</v>
      </c>
      <c r="G588" s="22" t="s">
        <v>505</v>
      </c>
      <c r="H588" s="22" t="s">
        <v>1301</v>
      </c>
      <c r="I588" s="23" t="s">
        <v>1427</v>
      </c>
      <c r="J588" s="23" t="s">
        <v>1428</v>
      </c>
      <c r="K588" s="24" t="n">
        <f aca="false">ROUND((IF(E588="Transactional",5,IF(E588="Commercial",4,IF(E588="Comparison",3,IF(E588="Informational",2,3))))*LOG10(IF(ISNUMBER(L588),L588,IFERROR(VALUE(LEFT(F588,FIND("-",F588)-1)),100))+1))/IF(IF(ISBLANK(M588),G588,M588)="High",5,IF(IF(ISBLANK(M588),G588,M588)="Medium",3,1)),2)</f>
        <v>11.52</v>
      </c>
      <c r="L588" s="22"/>
      <c r="M588" s="22"/>
      <c r="N588" s="22"/>
      <c r="O588" s="22" t="s">
        <v>123</v>
      </c>
      <c r="P588" s="23" t="s">
        <v>1304</v>
      </c>
    </row>
    <row r="589" customFormat="false" ht="25.5" hidden="false" customHeight="true" outlineLevel="0" collapsed="false">
      <c r="A589" s="22" t="n">
        <v>588</v>
      </c>
      <c r="B589" s="22" t="n">
        <v>5</v>
      </c>
      <c r="C589" s="22" t="s">
        <v>125</v>
      </c>
      <c r="D589" s="25" t="s">
        <v>1429</v>
      </c>
      <c r="E589" s="22" t="s">
        <v>1101</v>
      </c>
      <c r="F589" s="23" t="s">
        <v>997</v>
      </c>
      <c r="G589" s="22" t="s">
        <v>505</v>
      </c>
      <c r="H589" s="22" t="s">
        <v>1301</v>
      </c>
      <c r="I589" s="23" t="s">
        <v>1427</v>
      </c>
      <c r="J589" s="25" t="s">
        <v>1430</v>
      </c>
      <c r="K589" s="24" t="n">
        <f aca="false">ROUND((IF(E589="Transactional",5,IF(E589="Commercial",4,IF(E589="Comparison",3,IF(E589="Informational",2,3))))*LOG10(IF(ISNUMBER(L589),L589,IFERROR(VALUE(LEFT(F589,FIND("-",F589)-1)),100))+1))/IF(IF(ISBLANK(M589),G589,M589)="High",5,IF(IF(ISBLANK(M589),G589,M589)="Medium",3,1)),2)</f>
        <v>11.52</v>
      </c>
      <c r="L589" s="22"/>
      <c r="M589" s="22"/>
      <c r="N589" s="22"/>
      <c r="O589" s="22" t="s">
        <v>123</v>
      </c>
      <c r="P589" s="23"/>
    </row>
    <row r="590" customFormat="false" ht="25.5" hidden="false" customHeight="true" outlineLevel="0" collapsed="false">
      <c r="A590" s="22" t="n">
        <v>589</v>
      </c>
      <c r="B590" s="22" t="n">
        <v>5</v>
      </c>
      <c r="C590" s="22" t="s">
        <v>115</v>
      </c>
      <c r="D590" s="23" t="s">
        <v>1431</v>
      </c>
      <c r="E590" s="22" t="s">
        <v>1101</v>
      </c>
      <c r="F590" s="23" t="s">
        <v>997</v>
      </c>
      <c r="G590" s="22" t="s">
        <v>505</v>
      </c>
      <c r="H590" s="22" t="s">
        <v>1301</v>
      </c>
      <c r="I590" s="23" t="s">
        <v>1427</v>
      </c>
      <c r="J590" s="23" t="s">
        <v>1432</v>
      </c>
      <c r="K590" s="24" t="n">
        <f aca="false">ROUND((IF(E590="Transactional",5,IF(E590="Commercial",4,IF(E590="Comparison",3,IF(E590="Informational",2,3))))*LOG10(IF(ISNUMBER(L590),L590,IFERROR(VALUE(LEFT(F590,FIND("-",F590)-1)),100))+1))/IF(IF(ISBLANK(M590),G590,M590)="High",5,IF(IF(ISBLANK(M590),G590,M590)="Medium",3,1)),2)</f>
        <v>11.52</v>
      </c>
      <c r="L590" s="22"/>
      <c r="M590" s="22"/>
      <c r="N590" s="22"/>
      <c r="O590" s="22" t="s">
        <v>123</v>
      </c>
      <c r="P590" s="23" t="s">
        <v>1304</v>
      </c>
    </row>
    <row r="591" customFormat="false" ht="25.5" hidden="false" customHeight="true" outlineLevel="0" collapsed="false">
      <c r="A591" s="22" t="n">
        <v>590</v>
      </c>
      <c r="B591" s="22" t="n">
        <v>5</v>
      </c>
      <c r="C591" s="22" t="s">
        <v>125</v>
      </c>
      <c r="D591" s="25" t="s">
        <v>1433</v>
      </c>
      <c r="E591" s="22" t="s">
        <v>1101</v>
      </c>
      <c r="F591" s="23" t="s">
        <v>997</v>
      </c>
      <c r="G591" s="22" t="s">
        <v>505</v>
      </c>
      <c r="H591" s="22" t="s">
        <v>1301</v>
      </c>
      <c r="I591" s="23" t="s">
        <v>1427</v>
      </c>
      <c r="J591" s="25" t="s">
        <v>1434</v>
      </c>
      <c r="K591" s="24" t="n">
        <f aca="false">ROUND((IF(E591="Transactional",5,IF(E591="Commercial",4,IF(E591="Comparison",3,IF(E591="Informational",2,3))))*LOG10(IF(ISNUMBER(L591),L591,IFERROR(VALUE(LEFT(F591,FIND("-",F591)-1)),100))+1))/IF(IF(ISBLANK(M591),G591,M591)="High",5,IF(IF(ISBLANK(M591),G591,M591)="Medium",3,1)),2)</f>
        <v>11.52</v>
      </c>
      <c r="L591" s="22"/>
      <c r="M591" s="22"/>
      <c r="N591" s="22"/>
      <c r="O591" s="22" t="s">
        <v>123</v>
      </c>
      <c r="P591" s="23"/>
    </row>
    <row r="592" customFormat="false" ht="25.5" hidden="false" customHeight="true" outlineLevel="0" collapsed="false">
      <c r="A592" s="22" t="n">
        <v>591</v>
      </c>
      <c r="B592" s="22" t="n">
        <v>5</v>
      </c>
      <c r="C592" s="22" t="s">
        <v>115</v>
      </c>
      <c r="D592" s="23" t="s">
        <v>1435</v>
      </c>
      <c r="E592" s="22" t="s">
        <v>1101</v>
      </c>
      <c r="F592" s="23" t="s">
        <v>997</v>
      </c>
      <c r="G592" s="22" t="s">
        <v>505</v>
      </c>
      <c r="H592" s="22" t="s">
        <v>1301</v>
      </c>
      <c r="I592" s="23" t="s">
        <v>1436</v>
      </c>
      <c r="J592" s="23" t="s">
        <v>1437</v>
      </c>
      <c r="K592" s="24" t="n">
        <f aca="false">ROUND((IF(E592="Transactional",5,IF(E592="Commercial",4,IF(E592="Comparison",3,IF(E592="Informational",2,3))))*LOG10(IF(ISNUMBER(L592),L592,IFERROR(VALUE(LEFT(F592,FIND("-",F592)-1)),100))+1))/IF(IF(ISBLANK(M592),G592,M592)="High",5,IF(IF(ISBLANK(M592),G592,M592)="Medium",3,1)),2)</f>
        <v>11.52</v>
      </c>
      <c r="L592" s="22"/>
      <c r="M592" s="22"/>
      <c r="N592" s="22"/>
      <c r="O592" s="22" t="s">
        <v>123</v>
      </c>
      <c r="P592" s="23" t="s">
        <v>1304</v>
      </c>
    </row>
    <row r="593" customFormat="false" ht="25.5" hidden="false" customHeight="true" outlineLevel="0" collapsed="false">
      <c r="A593" s="22" t="n">
        <v>592</v>
      </c>
      <c r="B593" s="22" t="n">
        <v>5</v>
      </c>
      <c r="C593" s="22" t="s">
        <v>125</v>
      </c>
      <c r="D593" s="25" t="s">
        <v>1438</v>
      </c>
      <c r="E593" s="22" t="s">
        <v>1101</v>
      </c>
      <c r="F593" s="23" t="s">
        <v>997</v>
      </c>
      <c r="G593" s="22" t="s">
        <v>505</v>
      </c>
      <c r="H593" s="22" t="s">
        <v>1301</v>
      </c>
      <c r="I593" s="23" t="s">
        <v>1436</v>
      </c>
      <c r="J593" s="25" t="s">
        <v>1439</v>
      </c>
      <c r="K593" s="24" t="n">
        <f aca="false">ROUND((IF(E593="Transactional",5,IF(E593="Commercial",4,IF(E593="Comparison",3,IF(E593="Informational",2,3))))*LOG10(IF(ISNUMBER(L593),L593,IFERROR(VALUE(LEFT(F593,FIND("-",F593)-1)),100))+1))/IF(IF(ISBLANK(M593),G593,M593)="High",5,IF(IF(ISBLANK(M593),G593,M593)="Medium",3,1)),2)</f>
        <v>11.52</v>
      </c>
      <c r="L593" s="22"/>
      <c r="M593" s="22"/>
      <c r="N593" s="22"/>
      <c r="O593" s="22" t="s">
        <v>123</v>
      </c>
      <c r="P593" s="23"/>
    </row>
    <row r="594" customFormat="false" ht="25.5" hidden="false" customHeight="true" outlineLevel="0" collapsed="false">
      <c r="A594" s="22" t="n">
        <v>593</v>
      </c>
      <c r="B594" s="22" t="n">
        <v>5</v>
      </c>
      <c r="C594" s="22" t="s">
        <v>115</v>
      </c>
      <c r="D594" s="23" t="s">
        <v>1440</v>
      </c>
      <c r="E594" s="22" t="s">
        <v>1101</v>
      </c>
      <c r="F594" s="23" t="s">
        <v>997</v>
      </c>
      <c r="G594" s="22" t="s">
        <v>505</v>
      </c>
      <c r="H594" s="22" t="s">
        <v>1301</v>
      </c>
      <c r="I594" s="23" t="s">
        <v>1436</v>
      </c>
      <c r="J594" s="23" t="s">
        <v>1441</v>
      </c>
      <c r="K594" s="24" t="n">
        <f aca="false">ROUND((IF(E594="Transactional",5,IF(E594="Commercial",4,IF(E594="Comparison",3,IF(E594="Informational",2,3))))*LOG10(IF(ISNUMBER(L594),L594,IFERROR(VALUE(LEFT(F594,FIND("-",F594)-1)),100))+1))/IF(IF(ISBLANK(M594),G594,M594)="High",5,IF(IF(ISBLANK(M594),G594,M594)="Medium",3,1)),2)</f>
        <v>11.52</v>
      </c>
      <c r="L594" s="22"/>
      <c r="M594" s="22"/>
      <c r="N594" s="22"/>
      <c r="O594" s="22" t="s">
        <v>123</v>
      </c>
      <c r="P594" s="23" t="s">
        <v>1304</v>
      </c>
    </row>
    <row r="595" customFormat="false" ht="25.5" hidden="false" customHeight="true" outlineLevel="0" collapsed="false">
      <c r="A595" s="22" t="n">
        <v>594</v>
      </c>
      <c r="B595" s="22" t="n">
        <v>5</v>
      </c>
      <c r="C595" s="22" t="s">
        <v>125</v>
      </c>
      <c r="D595" s="25" t="s">
        <v>1442</v>
      </c>
      <c r="E595" s="22" t="s">
        <v>1101</v>
      </c>
      <c r="F595" s="23" t="s">
        <v>997</v>
      </c>
      <c r="G595" s="22" t="s">
        <v>505</v>
      </c>
      <c r="H595" s="22" t="s">
        <v>1301</v>
      </c>
      <c r="I595" s="23" t="s">
        <v>1436</v>
      </c>
      <c r="J595" s="25" t="s">
        <v>1443</v>
      </c>
      <c r="K595" s="24" t="n">
        <f aca="false">ROUND((IF(E595="Transactional",5,IF(E595="Commercial",4,IF(E595="Comparison",3,IF(E595="Informational",2,3))))*LOG10(IF(ISNUMBER(L595),L595,IFERROR(VALUE(LEFT(F595,FIND("-",F595)-1)),100))+1))/IF(IF(ISBLANK(M595),G595,M595)="High",5,IF(IF(ISBLANK(M595),G595,M595)="Medium",3,1)),2)</f>
        <v>11.52</v>
      </c>
      <c r="L595" s="22"/>
      <c r="M595" s="22"/>
      <c r="N595" s="22"/>
      <c r="O595" s="22" t="s">
        <v>123</v>
      </c>
      <c r="P595" s="23"/>
    </row>
    <row r="596" customFormat="false" ht="25.5" hidden="false" customHeight="true" outlineLevel="0" collapsed="false">
      <c r="A596" s="22" t="n">
        <v>595</v>
      </c>
      <c r="B596" s="22" t="n">
        <v>5</v>
      </c>
      <c r="C596" s="22" t="s">
        <v>115</v>
      </c>
      <c r="D596" s="23" t="s">
        <v>1444</v>
      </c>
      <c r="E596" s="22" t="s">
        <v>1101</v>
      </c>
      <c r="F596" s="23" t="s">
        <v>997</v>
      </c>
      <c r="G596" s="22" t="s">
        <v>505</v>
      </c>
      <c r="H596" s="22" t="s">
        <v>1301</v>
      </c>
      <c r="I596" s="23" t="s">
        <v>1436</v>
      </c>
      <c r="J596" s="23" t="s">
        <v>1445</v>
      </c>
      <c r="K596" s="24" t="n">
        <f aca="false">ROUND((IF(E596="Transactional",5,IF(E596="Commercial",4,IF(E596="Comparison",3,IF(E596="Informational",2,3))))*LOG10(IF(ISNUMBER(L596),L596,IFERROR(VALUE(LEFT(F596,FIND("-",F596)-1)),100))+1))/IF(IF(ISBLANK(M596),G596,M596)="High",5,IF(IF(ISBLANK(M596),G596,M596)="Medium",3,1)),2)</f>
        <v>11.52</v>
      </c>
      <c r="L596" s="22"/>
      <c r="M596" s="22"/>
      <c r="N596" s="22"/>
      <c r="O596" s="22" t="s">
        <v>123</v>
      </c>
      <c r="P596" s="23" t="s">
        <v>1304</v>
      </c>
    </row>
    <row r="597" customFormat="false" ht="25.5" hidden="false" customHeight="true" outlineLevel="0" collapsed="false">
      <c r="A597" s="22" t="n">
        <v>596</v>
      </c>
      <c r="B597" s="22" t="n">
        <v>5</v>
      </c>
      <c r="C597" s="22" t="s">
        <v>125</v>
      </c>
      <c r="D597" s="25" t="s">
        <v>1446</v>
      </c>
      <c r="E597" s="22" t="s">
        <v>1101</v>
      </c>
      <c r="F597" s="23" t="s">
        <v>997</v>
      </c>
      <c r="G597" s="22" t="s">
        <v>505</v>
      </c>
      <c r="H597" s="22" t="s">
        <v>1301</v>
      </c>
      <c r="I597" s="23" t="s">
        <v>1436</v>
      </c>
      <c r="J597" s="25" t="s">
        <v>1447</v>
      </c>
      <c r="K597" s="24" t="n">
        <f aca="false">ROUND((IF(E597="Transactional",5,IF(E597="Commercial",4,IF(E597="Comparison",3,IF(E597="Informational",2,3))))*LOG10(IF(ISNUMBER(L597),L597,IFERROR(VALUE(LEFT(F597,FIND("-",F597)-1)),100))+1))/IF(IF(ISBLANK(M597),G597,M597)="High",5,IF(IF(ISBLANK(M597),G597,M597)="Medium",3,1)),2)</f>
        <v>11.52</v>
      </c>
      <c r="L597" s="22"/>
      <c r="M597" s="22"/>
      <c r="N597" s="22"/>
      <c r="O597" s="22" t="s">
        <v>123</v>
      </c>
      <c r="P597" s="23"/>
    </row>
    <row r="598" customFormat="false" ht="25.5" hidden="false" customHeight="true" outlineLevel="0" collapsed="false">
      <c r="A598" s="22" t="n">
        <v>597</v>
      </c>
      <c r="B598" s="22" t="n">
        <v>5</v>
      </c>
      <c r="C598" s="22" t="s">
        <v>115</v>
      </c>
      <c r="D598" s="23" t="s">
        <v>1448</v>
      </c>
      <c r="E598" s="22" t="s">
        <v>1101</v>
      </c>
      <c r="F598" s="23" t="s">
        <v>997</v>
      </c>
      <c r="G598" s="22" t="s">
        <v>505</v>
      </c>
      <c r="H598" s="22" t="s">
        <v>1301</v>
      </c>
      <c r="I598" s="23" t="s">
        <v>248</v>
      </c>
      <c r="J598" s="23" t="s">
        <v>1449</v>
      </c>
      <c r="K598" s="24" t="n">
        <f aca="false">ROUND((IF(E598="Transactional",5,IF(E598="Commercial",4,IF(E598="Comparison",3,IF(E598="Informational",2,3))))*LOG10(IF(ISNUMBER(L598),L598,IFERROR(VALUE(LEFT(F598,FIND("-",F598)-1)),100))+1))/IF(IF(ISBLANK(M598),G598,M598)="High",5,IF(IF(ISBLANK(M598),G598,M598)="Medium",3,1)),2)</f>
        <v>11.52</v>
      </c>
      <c r="L598" s="22"/>
      <c r="M598" s="22"/>
      <c r="N598" s="22"/>
      <c r="O598" s="22" t="s">
        <v>123</v>
      </c>
      <c r="P598" s="23" t="s">
        <v>1304</v>
      </c>
    </row>
    <row r="599" customFormat="false" ht="25.5" hidden="false" customHeight="true" outlineLevel="0" collapsed="false">
      <c r="A599" s="22" t="n">
        <v>598</v>
      </c>
      <c r="B599" s="22" t="n">
        <v>5</v>
      </c>
      <c r="C599" s="22" t="s">
        <v>125</v>
      </c>
      <c r="D599" s="25" t="s">
        <v>1450</v>
      </c>
      <c r="E599" s="22" t="s">
        <v>1101</v>
      </c>
      <c r="F599" s="23" t="s">
        <v>997</v>
      </c>
      <c r="G599" s="22" t="s">
        <v>505</v>
      </c>
      <c r="H599" s="22" t="s">
        <v>1301</v>
      </c>
      <c r="I599" s="23" t="s">
        <v>248</v>
      </c>
      <c r="J599" s="25" t="s">
        <v>1451</v>
      </c>
      <c r="K599" s="24" t="n">
        <f aca="false">ROUND((IF(E599="Transactional",5,IF(E599="Commercial",4,IF(E599="Comparison",3,IF(E599="Informational",2,3))))*LOG10(IF(ISNUMBER(L599),L599,IFERROR(VALUE(LEFT(F599,FIND("-",F599)-1)),100))+1))/IF(IF(ISBLANK(M599),G599,M599)="High",5,IF(IF(ISBLANK(M599),G599,M599)="Medium",3,1)),2)</f>
        <v>11.52</v>
      </c>
      <c r="L599" s="22"/>
      <c r="M599" s="22"/>
      <c r="N599" s="22"/>
      <c r="O599" s="22" t="s">
        <v>123</v>
      </c>
      <c r="P599" s="23"/>
    </row>
    <row r="600" customFormat="false" ht="25.5" hidden="false" customHeight="true" outlineLevel="0" collapsed="false">
      <c r="A600" s="22" t="n">
        <v>599</v>
      </c>
      <c r="B600" s="22" t="n">
        <v>5</v>
      </c>
      <c r="C600" s="22" t="s">
        <v>115</v>
      </c>
      <c r="D600" s="23" t="s">
        <v>1452</v>
      </c>
      <c r="E600" s="22" t="s">
        <v>1101</v>
      </c>
      <c r="F600" s="23" t="s">
        <v>997</v>
      </c>
      <c r="G600" s="22" t="s">
        <v>505</v>
      </c>
      <c r="H600" s="22" t="s">
        <v>1301</v>
      </c>
      <c r="I600" s="23" t="s">
        <v>248</v>
      </c>
      <c r="J600" s="23" t="s">
        <v>1453</v>
      </c>
      <c r="K600" s="24" t="n">
        <f aca="false">ROUND((IF(E600="Transactional",5,IF(E600="Commercial",4,IF(E600="Comparison",3,IF(E600="Informational",2,3))))*LOG10(IF(ISNUMBER(L600),L600,IFERROR(VALUE(LEFT(F600,FIND("-",F600)-1)),100))+1))/IF(IF(ISBLANK(M600),G600,M600)="High",5,IF(IF(ISBLANK(M600),G600,M600)="Medium",3,1)),2)</f>
        <v>11.52</v>
      </c>
      <c r="L600" s="22"/>
      <c r="M600" s="22"/>
      <c r="N600" s="22"/>
      <c r="O600" s="22" t="s">
        <v>123</v>
      </c>
      <c r="P600" s="23" t="s">
        <v>1304</v>
      </c>
    </row>
    <row r="601" customFormat="false" ht="25.5" hidden="false" customHeight="true" outlineLevel="0" collapsed="false">
      <c r="A601" s="22" t="n">
        <v>600</v>
      </c>
      <c r="B601" s="22" t="n">
        <v>5</v>
      </c>
      <c r="C601" s="22" t="s">
        <v>125</v>
      </c>
      <c r="D601" s="25" t="s">
        <v>1454</v>
      </c>
      <c r="E601" s="22" t="s">
        <v>1101</v>
      </c>
      <c r="F601" s="23" t="s">
        <v>997</v>
      </c>
      <c r="G601" s="22" t="s">
        <v>505</v>
      </c>
      <c r="H601" s="22" t="s">
        <v>1301</v>
      </c>
      <c r="I601" s="23" t="s">
        <v>248</v>
      </c>
      <c r="J601" s="25" t="s">
        <v>1455</v>
      </c>
      <c r="K601" s="24" t="n">
        <f aca="false">ROUND((IF(E601="Transactional",5,IF(E601="Commercial",4,IF(E601="Comparison",3,IF(E601="Informational",2,3))))*LOG10(IF(ISNUMBER(L601),L601,IFERROR(VALUE(LEFT(F601,FIND("-",F601)-1)),100))+1))/IF(IF(ISBLANK(M601),G601,M601)="High",5,IF(IF(ISBLANK(M601),G601,M601)="Medium",3,1)),2)</f>
        <v>11.52</v>
      </c>
      <c r="L601" s="22"/>
      <c r="M601" s="22"/>
      <c r="N601" s="22"/>
      <c r="O601" s="22" t="s">
        <v>123</v>
      </c>
      <c r="P601" s="23"/>
    </row>
    <row r="602" customFormat="false" ht="25.5" hidden="false" customHeight="true" outlineLevel="0" collapsed="false">
      <c r="A602" s="22" t="n">
        <v>601</v>
      </c>
      <c r="B602" s="22" t="n">
        <v>5</v>
      </c>
      <c r="C602" s="22" t="s">
        <v>115</v>
      </c>
      <c r="D602" s="23" t="s">
        <v>1456</v>
      </c>
      <c r="E602" s="22" t="s">
        <v>1101</v>
      </c>
      <c r="F602" s="23" t="s">
        <v>997</v>
      </c>
      <c r="G602" s="22" t="s">
        <v>505</v>
      </c>
      <c r="H602" s="22" t="s">
        <v>1301</v>
      </c>
      <c r="I602" s="23" t="s">
        <v>385</v>
      </c>
      <c r="J602" s="23" t="s">
        <v>1457</v>
      </c>
      <c r="K602" s="24" t="n">
        <f aca="false">ROUND((IF(E602="Transactional",5,IF(E602="Commercial",4,IF(E602="Comparison",3,IF(E602="Informational",2,3))))*LOG10(IF(ISNUMBER(L602),L602,IFERROR(VALUE(LEFT(F602,FIND("-",F602)-1)),100))+1))/IF(IF(ISBLANK(M602),G602,M602)="High",5,IF(IF(ISBLANK(M602),G602,M602)="Medium",3,1)),2)</f>
        <v>11.52</v>
      </c>
      <c r="L602" s="22"/>
      <c r="M602" s="22"/>
      <c r="N602" s="22"/>
      <c r="O602" s="22" t="s">
        <v>123</v>
      </c>
      <c r="P602" s="23" t="s">
        <v>1304</v>
      </c>
    </row>
    <row r="603" customFormat="false" ht="25.5" hidden="false" customHeight="true" outlineLevel="0" collapsed="false">
      <c r="A603" s="22" t="n">
        <v>602</v>
      </c>
      <c r="B603" s="22" t="n">
        <v>5</v>
      </c>
      <c r="C603" s="22" t="s">
        <v>125</v>
      </c>
      <c r="D603" s="25" t="s">
        <v>1458</v>
      </c>
      <c r="E603" s="22" t="s">
        <v>1101</v>
      </c>
      <c r="F603" s="23" t="s">
        <v>997</v>
      </c>
      <c r="G603" s="22" t="s">
        <v>505</v>
      </c>
      <c r="H603" s="22" t="s">
        <v>1301</v>
      </c>
      <c r="I603" s="23" t="s">
        <v>385</v>
      </c>
      <c r="J603" s="25" t="s">
        <v>1459</v>
      </c>
      <c r="K603" s="24" t="n">
        <f aca="false">ROUND((IF(E603="Transactional",5,IF(E603="Commercial",4,IF(E603="Comparison",3,IF(E603="Informational",2,3))))*LOG10(IF(ISNUMBER(L603),L603,IFERROR(VALUE(LEFT(F603,FIND("-",F603)-1)),100))+1))/IF(IF(ISBLANK(M603),G603,M603)="High",5,IF(IF(ISBLANK(M603),G603,M603)="Medium",3,1)),2)</f>
        <v>11.52</v>
      </c>
      <c r="L603" s="22"/>
      <c r="M603" s="22"/>
      <c r="N603" s="22"/>
      <c r="O603" s="22" t="s">
        <v>123</v>
      </c>
      <c r="P603" s="23"/>
    </row>
    <row r="604" customFormat="false" ht="25.5" hidden="false" customHeight="true" outlineLevel="0" collapsed="false">
      <c r="A604" s="22" t="n">
        <v>603</v>
      </c>
      <c r="B604" s="22" t="n">
        <v>5</v>
      </c>
      <c r="C604" s="22" t="s">
        <v>115</v>
      </c>
      <c r="D604" s="23" t="s">
        <v>1460</v>
      </c>
      <c r="E604" s="22" t="s">
        <v>1101</v>
      </c>
      <c r="F604" s="23" t="s">
        <v>1019</v>
      </c>
      <c r="G604" s="22" t="s">
        <v>505</v>
      </c>
      <c r="H604" s="22" t="s">
        <v>1301</v>
      </c>
      <c r="I604" s="23" t="s">
        <v>385</v>
      </c>
      <c r="J604" s="23" t="s">
        <v>1461</v>
      </c>
      <c r="K604" s="24" t="n">
        <f aca="false">ROUND((IF(E604="Transactional",5,IF(E604="Commercial",4,IF(E604="Comparison",3,IF(E604="Informational",2,3))))*LOG10(IF(ISNUMBER(L604),L604,IFERROR(VALUE(LEFT(F604,FIND("-",F604)-1)),100))+1))/IF(IF(ISBLANK(M604),G604,M604)="High",5,IF(IF(ISBLANK(M604),G604,M604)="Medium",3,1)),2)</f>
        <v>10.02</v>
      </c>
      <c r="L604" s="22"/>
      <c r="M604" s="22"/>
      <c r="N604" s="22"/>
      <c r="O604" s="22" t="s">
        <v>123</v>
      </c>
      <c r="P604" s="23" t="s">
        <v>1304</v>
      </c>
    </row>
    <row r="605" customFormat="false" ht="25.5" hidden="false" customHeight="true" outlineLevel="0" collapsed="false">
      <c r="A605" s="22" t="n">
        <v>604</v>
      </c>
      <c r="B605" s="22" t="n">
        <v>5</v>
      </c>
      <c r="C605" s="22" t="s">
        <v>125</v>
      </c>
      <c r="D605" s="25" t="s">
        <v>1462</v>
      </c>
      <c r="E605" s="22" t="s">
        <v>1101</v>
      </c>
      <c r="F605" s="23" t="s">
        <v>1019</v>
      </c>
      <c r="G605" s="22" t="s">
        <v>505</v>
      </c>
      <c r="H605" s="22" t="s">
        <v>1301</v>
      </c>
      <c r="I605" s="23" t="s">
        <v>385</v>
      </c>
      <c r="J605" s="25" t="s">
        <v>1463</v>
      </c>
      <c r="K605" s="24" t="n">
        <f aca="false">ROUND((IF(E605="Transactional",5,IF(E605="Commercial",4,IF(E605="Comparison",3,IF(E605="Informational",2,3))))*LOG10(IF(ISNUMBER(L605),L605,IFERROR(VALUE(LEFT(F605,FIND("-",F605)-1)),100))+1))/IF(IF(ISBLANK(M605),G605,M605)="High",5,IF(IF(ISBLANK(M605),G605,M605)="Medium",3,1)),2)</f>
        <v>10.02</v>
      </c>
      <c r="L605" s="22"/>
      <c r="M605" s="22"/>
      <c r="N605" s="22"/>
      <c r="O605" s="22" t="s">
        <v>123</v>
      </c>
      <c r="P605" s="23"/>
    </row>
    <row r="606" customFormat="false" ht="25.5" hidden="false" customHeight="true" outlineLevel="0" collapsed="false">
      <c r="A606" s="22" t="n">
        <v>605</v>
      </c>
      <c r="B606" s="22" t="n">
        <v>5</v>
      </c>
      <c r="C606" s="22" t="s">
        <v>115</v>
      </c>
      <c r="D606" s="23" t="s">
        <v>1464</v>
      </c>
      <c r="E606" s="22" t="s">
        <v>1101</v>
      </c>
      <c r="F606" s="23" t="s">
        <v>1019</v>
      </c>
      <c r="G606" s="22" t="s">
        <v>505</v>
      </c>
      <c r="H606" s="22" t="s">
        <v>1301</v>
      </c>
      <c r="I606" s="23" t="s">
        <v>385</v>
      </c>
      <c r="J606" s="23" t="s">
        <v>1465</v>
      </c>
      <c r="K606" s="24" t="n">
        <f aca="false">ROUND((IF(E606="Transactional",5,IF(E606="Commercial",4,IF(E606="Comparison",3,IF(E606="Informational",2,3))))*LOG10(IF(ISNUMBER(L606),L606,IFERROR(VALUE(LEFT(F606,FIND("-",F606)-1)),100))+1))/IF(IF(ISBLANK(M606),G606,M606)="High",5,IF(IF(ISBLANK(M606),G606,M606)="Medium",3,1)),2)</f>
        <v>10.02</v>
      </c>
      <c r="L606" s="22"/>
      <c r="M606" s="22"/>
      <c r="N606" s="22"/>
      <c r="O606" s="22" t="s">
        <v>123</v>
      </c>
      <c r="P606" s="23" t="s">
        <v>1304</v>
      </c>
    </row>
    <row r="607" customFormat="false" ht="25.5" hidden="false" customHeight="true" outlineLevel="0" collapsed="false">
      <c r="A607" s="22" t="n">
        <v>606</v>
      </c>
      <c r="B607" s="22" t="n">
        <v>5</v>
      </c>
      <c r="C607" s="22" t="s">
        <v>125</v>
      </c>
      <c r="D607" s="25" t="s">
        <v>1466</v>
      </c>
      <c r="E607" s="22" t="s">
        <v>1101</v>
      </c>
      <c r="F607" s="23" t="s">
        <v>1019</v>
      </c>
      <c r="G607" s="22" t="s">
        <v>505</v>
      </c>
      <c r="H607" s="22" t="s">
        <v>1301</v>
      </c>
      <c r="I607" s="23" t="s">
        <v>385</v>
      </c>
      <c r="J607" s="25" t="s">
        <v>1467</v>
      </c>
      <c r="K607" s="24" t="n">
        <f aca="false">ROUND((IF(E607="Transactional",5,IF(E607="Commercial",4,IF(E607="Comparison",3,IF(E607="Informational",2,3))))*LOG10(IF(ISNUMBER(L607),L607,IFERROR(VALUE(LEFT(F607,FIND("-",F607)-1)),100))+1))/IF(IF(ISBLANK(M607),G607,M607)="High",5,IF(IF(ISBLANK(M607),G607,M607)="Medium",3,1)),2)</f>
        <v>10.02</v>
      </c>
      <c r="L607" s="22"/>
      <c r="M607" s="22"/>
      <c r="N607" s="22"/>
      <c r="O607" s="22" t="s">
        <v>123</v>
      </c>
      <c r="P607" s="23"/>
    </row>
    <row r="608" customFormat="false" ht="25.5" hidden="false" customHeight="true" outlineLevel="0" collapsed="false">
      <c r="A608" s="22" t="n">
        <v>607</v>
      </c>
      <c r="B608" s="22" t="n">
        <v>5</v>
      </c>
      <c r="C608" s="22" t="s">
        <v>115</v>
      </c>
      <c r="D608" s="23" t="s">
        <v>1468</v>
      </c>
      <c r="E608" s="22" t="s">
        <v>1101</v>
      </c>
      <c r="F608" s="23" t="s">
        <v>1300</v>
      </c>
      <c r="G608" s="22" t="s">
        <v>505</v>
      </c>
      <c r="H608" s="22" t="s">
        <v>1301</v>
      </c>
      <c r="I608" s="23" t="s">
        <v>1469</v>
      </c>
      <c r="J608" s="23" t="s">
        <v>1470</v>
      </c>
      <c r="K608" s="24" t="n">
        <f aca="false">ROUND((IF(E608="Transactional",5,IF(E608="Commercial",4,IF(E608="Comparison",3,IF(E608="Informational",2,3))))*LOG10(IF(ISNUMBER(L608),L608,IFERROR(VALUE(LEFT(F608,FIND("-",F608)-1)),100))+1))/IF(IF(ISBLANK(M608),G608,M608)="High",5,IF(IF(ISBLANK(M608),G608,M608)="Medium",3,1)),2)</f>
        <v>13.5</v>
      </c>
      <c r="L608" s="22"/>
      <c r="M608" s="22"/>
      <c r="N608" s="22"/>
      <c r="O608" s="22" t="s">
        <v>123</v>
      </c>
      <c r="P608" s="23" t="s">
        <v>1304</v>
      </c>
    </row>
    <row r="609" customFormat="false" ht="25.5" hidden="false" customHeight="true" outlineLevel="0" collapsed="false">
      <c r="A609" s="22" t="n">
        <v>608</v>
      </c>
      <c r="B609" s="22" t="n">
        <v>5</v>
      </c>
      <c r="C609" s="22" t="s">
        <v>125</v>
      </c>
      <c r="D609" s="25" t="s">
        <v>1471</v>
      </c>
      <c r="E609" s="22" t="s">
        <v>1101</v>
      </c>
      <c r="F609" s="23" t="s">
        <v>1306</v>
      </c>
      <c r="G609" s="22" t="s">
        <v>505</v>
      </c>
      <c r="H609" s="22" t="s">
        <v>1301</v>
      </c>
      <c r="I609" s="23" t="s">
        <v>1469</v>
      </c>
      <c r="J609" s="25" t="s">
        <v>1472</v>
      </c>
      <c r="K609" s="24" t="n">
        <f aca="false">ROUND((IF(E609="Transactional",5,IF(E609="Commercial",4,IF(E609="Comparison",3,IF(E609="Informational",2,3))))*LOG10(IF(ISNUMBER(L609),L609,IFERROR(VALUE(LEFT(F609,FIND("-",F609)-1)),100))+1))/IF(IF(ISBLANK(M609),G609,M609)="High",5,IF(IF(ISBLANK(M609),G609,M609)="Medium",3,1)),2)</f>
        <v>13.02</v>
      </c>
      <c r="L609" s="22"/>
      <c r="M609" s="22"/>
      <c r="N609" s="22"/>
      <c r="O609" s="22" t="s">
        <v>123</v>
      </c>
      <c r="P609" s="23"/>
    </row>
    <row r="610" customFormat="false" ht="25.5" hidden="false" customHeight="true" outlineLevel="0" collapsed="false">
      <c r="A610" s="22" t="n">
        <v>609</v>
      </c>
      <c r="B610" s="22" t="n">
        <v>5</v>
      </c>
      <c r="C610" s="22" t="s">
        <v>115</v>
      </c>
      <c r="D610" s="23" t="s">
        <v>1473</v>
      </c>
      <c r="E610" s="22" t="s">
        <v>1101</v>
      </c>
      <c r="F610" s="23" t="s">
        <v>997</v>
      </c>
      <c r="G610" s="22" t="s">
        <v>505</v>
      </c>
      <c r="H610" s="22" t="s">
        <v>1301</v>
      </c>
      <c r="I610" s="23" t="s">
        <v>1469</v>
      </c>
      <c r="J610" s="23" t="s">
        <v>1474</v>
      </c>
      <c r="K610" s="24" t="n">
        <f aca="false">ROUND((IF(E610="Transactional",5,IF(E610="Commercial",4,IF(E610="Comparison",3,IF(E610="Informational",2,3))))*LOG10(IF(ISNUMBER(L610),L610,IFERROR(VALUE(LEFT(F610,FIND("-",F610)-1)),100))+1))/IF(IF(ISBLANK(M610),G610,M610)="High",5,IF(IF(ISBLANK(M610),G610,M610)="Medium",3,1)),2)</f>
        <v>11.52</v>
      </c>
      <c r="L610" s="22"/>
      <c r="M610" s="22"/>
      <c r="N610" s="22"/>
      <c r="O610" s="22" t="s">
        <v>123</v>
      </c>
      <c r="P610" s="23" t="s">
        <v>1304</v>
      </c>
    </row>
    <row r="611" customFormat="false" ht="25.5" hidden="false" customHeight="true" outlineLevel="0" collapsed="false">
      <c r="A611" s="22" t="n">
        <v>610</v>
      </c>
      <c r="B611" s="22" t="n">
        <v>5</v>
      </c>
      <c r="C611" s="22" t="s">
        <v>125</v>
      </c>
      <c r="D611" s="25" t="s">
        <v>1475</v>
      </c>
      <c r="E611" s="22" t="s">
        <v>1101</v>
      </c>
      <c r="F611" s="23" t="s">
        <v>997</v>
      </c>
      <c r="G611" s="22" t="s">
        <v>505</v>
      </c>
      <c r="H611" s="22" t="s">
        <v>1301</v>
      </c>
      <c r="I611" s="23" t="s">
        <v>1469</v>
      </c>
      <c r="J611" s="25" t="s">
        <v>1476</v>
      </c>
      <c r="K611" s="24" t="n">
        <f aca="false">ROUND((IF(E611="Transactional",5,IF(E611="Commercial",4,IF(E611="Comparison",3,IF(E611="Informational",2,3))))*LOG10(IF(ISNUMBER(L611),L611,IFERROR(VALUE(LEFT(F611,FIND("-",F611)-1)),100))+1))/IF(IF(ISBLANK(M611),G611,M611)="High",5,IF(IF(ISBLANK(M611),G611,M611)="Medium",3,1)),2)</f>
        <v>11.52</v>
      </c>
      <c r="L611" s="22"/>
      <c r="M611" s="22"/>
      <c r="N611" s="22"/>
      <c r="O611" s="22" t="s">
        <v>123</v>
      </c>
      <c r="P611" s="23"/>
    </row>
    <row r="612" customFormat="false" ht="25.5" hidden="false" customHeight="true" outlineLevel="0" collapsed="false">
      <c r="A612" s="22" t="n">
        <v>611</v>
      </c>
      <c r="B612" s="22" t="n">
        <v>5</v>
      </c>
      <c r="C612" s="22" t="s">
        <v>115</v>
      </c>
      <c r="D612" s="23" t="s">
        <v>1477</v>
      </c>
      <c r="E612" s="22" t="s">
        <v>1101</v>
      </c>
      <c r="F612" s="23" t="s">
        <v>997</v>
      </c>
      <c r="G612" s="22" t="s">
        <v>505</v>
      </c>
      <c r="H612" s="22" t="s">
        <v>1301</v>
      </c>
      <c r="I612" s="23" t="s">
        <v>1469</v>
      </c>
      <c r="J612" s="23" t="s">
        <v>1478</v>
      </c>
      <c r="K612" s="24" t="n">
        <f aca="false">ROUND((IF(E612="Transactional",5,IF(E612="Commercial",4,IF(E612="Comparison",3,IF(E612="Informational",2,3))))*LOG10(IF(ISNUMBER(L612),L612,IFERROR(VALUE(LEFT(F612,FIND("-",F612)-1)),100))+1))/IF(IF(ISBLANK(M612),G612,M612)="High",5,IF(IF(ISBLANK(M612),G612,M612)="Medium",3,1)),2)</f>
        <v>11.52</v>
      </c>
      <c r="L612" s="22"/>
      <c r="M612" s="22"/>
      <c r="N612" s="22"/>
      <c r="O612" s="22" t="s">
        <v>123</v>
      </c>
      <c r="P612" s="23" t="s">
        <v>1304</v>
      </c>
    </row>
    <row r="613" customFormat="false" ht="25.5" hidden="false" customHeight="true" outlineLevel="0" collapsed="false">
      <c r="A613" s="22" t="n">
        <v>612</v>
      </c>
      <c r="B613" s="22" t="n">
        <v>5</v>
      </c>
      <c r="C613" s="22" t="s">
        <v>125</v>
      </c>
      <c r="D613" s="25" t="s">
        <v>1479</v>
      </c>
      <c r="E613" s="22" t="s">
        <v>1101</v>
      </c>
      <c r="F613" s="23" t="s">
        <v>997</v>
      </c>
      <c r="G613" s="22" t="s">
        <v>505</v>
      </c>
      <c r="H613" s="22" t="s">
        <v>1301</v>
      </c>
      <c r="I613" s="23" t="s">
        <v>1469</v>
      </c>
      <c r="J613" s="25" t="s">
        <v>1480</v>
      </c>
      <c r="K613" s="24" t="n">
        <f aca="false">ROUND((IF(E613="Transactional",5,IF(E613="Commercial",4,IF(E613="Comparison",3,IF(E613="Informational",2,3))))*LOG10(IF(ISNUMBER(L613),L613,IFERROR(VALUE(LEFT(F613,FIND("-",F613)-1)),100))+1))/IF(IF(ISBLANK(M613),G613,M613)="High",5,IF(IF(ISBLANK(M613),G613,M613)="Medium",3,1)),2)</f>
        <v>11.52</v>
      </c>
      <c r="L613" s="22"/>
      <c r="M613" s="22"/>
      <c r="N613" s="22"/>
      <c r="O613" s="22" t="s">
        <v>123</v>
      </c>
      <c r="P613" s="23"/>
    </row>
    <row r="614" customFormat="false" ht="25.5" hidden="false" customHeight="true" outlineLevel="0" collapsed="false">
      <c r="A614" s="26" t="n">
        <v>613</v>
      </c>
      <c r="B614" s="26" t="n">
        <v>6</v>
      </c>
      <c r="C614" s="26" t="s">
        <v>115</v>
      </c>
      <c r="D614" s="27" t="s">
        <v>1481</v>
      </c>
      <c r="E614" s="26" t="s">
        <v>1101</v>
      </c>
      <c r="F614" s="27" t="s">
        <v>1482</v>
      </c>
      <c r="G614" s="26" t="s">
        <v>505</v>
      </c>
      <c r="H614" s="26" t="s">
        <v>1483</v>
      </c>
      <c r="I614" s="27" t="s">
        <v>461</v>
      </c>
      <c r="J614" s="27" t="s">
        <v>1484</v>
      </c>
      <c r="K614" s="28" t="n">
        <f aca="false">ROUND((IF(E614="Transactional",5,IF(E614="Commercial",4,IF(E614="Comparison",3,IF(E614="Informational",2,3))))*LOG10(IF(ISNUMBER(L614),L614,IFERROR(VALUE(LEFT(F614,FIND("-",F614)-1)),100))+1))/IF(IF(ISBLANK(M614),G614,M614)="High",5,IF(IF(ISBLANK(M614),G614,M614)="Medium",3,1)),2)</f>
        <v>11.52</v>
      </c>
      <c r="L614" s="26"/>
      <c r="M614" s="26"/>
      <c r="N614" s="26"/>
      <c r="O614" s="26" t="s">
        <v>123</v>
      </c>
      <c r="P614" s="27"/>
    </row>
    <row r="615" customFormat="false" ht="25.5" hidden="false" customHeight="true" outlineLevel="0" collapsed="false">
      <c r="A615" s="26" t="n">
        <v>614</v>
      </c>
      <c r="B615" s="26" t="n">
        <v>6</v>
      </c>
      <c r="C615" s="26" t="s">
        <v>125</v>
      </c>
      <c r="D615" s="29" t="s">
        <v>1485</v>
      </c>
      <c r="E615" s="26" t="s">
        <v>1101</v>
      </c>
      <c r="F615" s="27" t="s">
        <v>1486</v>
      </c>
      <c r="G615" s="26" t="s">
        <v>505</v>
      </c>
      <c r="H615" s="26" t="s">
        <v>1483</v>
      </c>
      <c r="I615" s="27" t="s">
        <v>461</v>
      </c>
      <c r="J615" s="29" t="s">
        <v>1487</v>
      </c>
      <c r="K615" s="28" t="n">
        <f aca="false">ROUND((IF(E615="Transactional",5,IF(E615="Commercial",4,IF(E615="Comparison",3,IF(E615="Informational",2,3))))*LOG10(IF(ISNUMBER(L615),L615,IFERROR(VALUE(LEFT(F615,FIND("-",F615)-1)),100))+1))/IF(IF(ISBLANK(M615),G615,M615)="High",5,IF(IF(ISBLANK(M615),G615,M615)="Medium",3,1)),2)</f>
        <v>11.29</v>
      </c>
      <c r="L615" s="26"/>
      <c r="M615" s="26"/>
      <c r="N615" s="26"/>
      <c r="O615" s="26" t="s">
        <v>123</v>
      </c>
      <c r="P615" s="27"/>
    </row>
    <row r="616" customFormat="false" ht="25.5" hidden="false" customHeight="true" outlineLevel="0" collapsed="false">
      <c r="A616" s="26" t="n">
        <v>615</v>
      </c>
      <c r="B616" s="26" t="n">
        <v>6</v>
      </c>
      <c r="C616" s="26" t="s">
        <v>115</v>
      </c>
      <c r="D616" s="27" t="s">
        <v>1488</v>
      </c>
      <c r="E616" s="26" t="s">
        <v>1101</v>
      </c>
      <c r="F616" s="27" t="s">
        <v>1482</v>
      </c>
      <c r="G616" s="26" t="s">
        <v>505</v>
      </c>
      <c r="H616" s="26" t="s">
        <v>1483</v>
      </c>
      <c r="I616" s="27" t="s">
        <v>461</v>
      </c>
      <c r="J616" s="27" t="s">
        <v>1489</v>
      </c>
      <c r="K616" s="28" t="n">
        <f aca="false">ROUND((IF(E616="Transactional",5,IF(E616="Commercial",4,IF(E616="Comparison",3,IF(E616="Informational",2,3))))*LOG10(IF(ISNUMBER(L616),L616,IFERROR(VALUE(LEFT(F616,FIND("-",F616)-1)),100))+1))/IF(IF(ISBLANK(M616),G616,M616)="High",5,IF(IF(ISBLANK(M616),G616,M616)="Medium",3,1)),2)</f>
        <v>11.52</v>
      </c>
      <c r="L616" s="26"/>
      <c r="M616" s="26"/>
      <c r="N616" s="26"/>
      <c r="O616" s="26" t="s">
        <v>123</v>
      </c>
      <c r="P616" s="27"/>
    </row>
    <row r="617" customFormat="false" ht="25.5" hidden="false" customHeight="true" outlineLevel="0" collapsed="false">
      <c r="A617" s="26" t="n">
        <v>616</v>
      </c>
      <c r="B617" s="26" t="n">
        <v>6</v>
      </c>
      <c r="C617" s="26" t="s">
        <v>125</v>
      </c>
      <c r="D617" s="29" t="s">
        <v>1490</v>
      </c>
      <c r="E617" s="26" t="s">
        <v>1101</v>
      </c>
      <c r="F617" s="27" t="s">
        <v>1486</v>
      </c>
      <c r="G617" s="26" t="s">
        <v>505</v>
      </c>
      <c r="H617" s="26" t="s">
        <v>1483</v>
      </c>
      <c r="I617" s="27" t="s">
        <v>461</v>
      </c>
      <c r="J617" s="29" t="s">
        <v>1491</v>
      </c>
      <c r="K617" s="28" t="n">
        <f aca="false">ROUND((IF(E617="Transactional",5,IF(E617="Commercial",4,IF(E617="Comparison",3,IF(E617="Informational",2,3))))*LOG10(IF(ISNUMBER(L617),L617,IFERROR(VALUE(LEFT(F617,FIND("-",F617)-1)),100))+1))/IF(IF(ISBLANK(M617),G617,M617)="High",5,IF(IF(ISBLANK(M617),G617,M617)="Medium",3,1)),2)</f>
        <v>11.29</v>
      </c>
      <c r="L617" s="26"/>
      <c r="M617" s="26"/>
      <c r="N617" s="26"/>
      <c r="O617" s="26" t="s">
        <v>123</v>
      </c>
      <c r="P617" s="27"/>
    </row>
    <row r="618" customFormat="false" ht="25.5" hidden="false" customHeight="true" outlineLevel="0" collapsed="false">
      <c r="A618" s="26" t="n">
        <v>617</v>
      </c>
      <c r="B618" s="26" t="n">
        <v>6</v>
      </c>
      <c r="C618" s="26" t="s">
        <v>115</v>
      </c>
      <c r="D618" s="27" t="s">
        <v>1492</v>
      </c>
      <c r="E618" s="26" t="s">
        <v>1101</v>
      </c>
      <c r="F618" s="27" t="s">
        <v>1482</v>
      </c>
      <c r="G618" s="26" t="s">
        <v>505</v>
      </c>
      <c r="H618" s="26" t="s">
        <v>1483</v>
      </c>
      <c r="I618" s="27" t="s">
        <v>461</v>
      </c>
      <c r="J618" s="27" t="s">
        <v>1493</v>
      </c>
      <c r="K618" s="28" t="n">
        <f aca="false">ROUND((IF(E618="Transactional",5,IF(E618="Commercial",4,IF(E618="Comparison",3,IF(E618="Informational",2,3))))*LOG10(IF(ISNUMBER(L618),L618,IFERROR(VALUE(LEFT(F618,FIND("-",F618)-1)),100))+1))/IF(IF(ISBLANK(M618),G618,M618)="High",5,IF(IF(ISBLANK(M618),G618,M618)="Medium",3,1)),2)</f>
        <v>11.52</v>
      </c>
      <c r="L618" s="26"/>
      <c r="M618" s="26"/>
      <c r="N618" s="26"/>
      <c r="O618" s="26" t="s">
        <v>123</v>
      </c>
      <c r="P618" s="27"/>
    </row>
    <row r="619" customFormat="false" ht="25.5" hidden="false" customHeight="true" outlineLevel="0" collapsed="false">
      <c r="A619" s="26" t="n">
        <v>618</v>
      </c>
      <c r="B619" s="26" t="n">
        <v>6</v>
      </c>
      <c r="C619" s="26" t="s">
        <v>125</v>
      </c>
      <c r="D619" s="29" t="s">
        <v>1494</v>
      </c>
      <c r="E619" s="26" t="s">
        <v>1101</v>
      </c>
      <c r="F619" s="27" t="s">
        <v>1486</v>
      </c>
      <c r="G619" s="26" t="s">
        <v>505</v>
      </c>
      <c r="H619" s="26" t="s">
        <v>1483</v>
      </c>
      <c r="I619" s="27" t="s">
        <v>461</v>
      </c>
      <c r="J619" s="29" t="s">
        <v>1495</v>
      </c>
      <c r="K619" s="28" t="n">
        <f aca="false">ROUND((IF(E619="Transactional",5,IF(E619="Commercial",4,IF(E619="Comparison",3,IF(E619="Informational",2,3))))*LOG10(IF(ISNUMBER(L619),L619,IFERROR(VALUE(LEFT(F619,FIND("-",F619)-1)),100))+1))/IF(IF(ISBLANK(M619),G619,M619)="High",5,IF(IF(ISBLANK(M619),G619,M619)="Medium",3,1)),2)</f>
        <v>11.29</v>
      </c>
      <c r="L619" s="26"/>
      <c r="M619" s="26"/>
      <c r="N619" s="26"/>
      <c r="O619" s="26" t="s">
        <v>123</v>
      </c>
      <c r="P619" s="27"/>
    </row>
    <row r="620" customFormat="false" ht="25.5" hidden="false" customHeight="true" outlineLevel="0" collapsed="false">
      <c r="A620" s="26" t="n">
        <v>619</v>
      </c>
      <c r="B620" s="26" t="n">
        <v>6</v>
      </c>
      <c r="C620" s="26" t="s">
        <v>115</v>
      </c>
      <c r="D620" s="27" t="s">
        <v>1496</v>
      </c>
      <c r="E620" s="26" t="s">
        <v>1101</v>
      </c>
      <c r="F620" s="27" t="s">
        <v>1482</v>
      </c>
      <c r="G620" s="26" t="s">
        <v>505</v>
      </c>
      <c r="H620" s="26" t="s">
        <v>1483</v>
      </c>
      <c r="I620" s="27" t="s">
        <v>461</v>
      </c>
      <c r="J620" s="27" t="s">
        <v>1497</v>
      </c>
      <c r="K620" s="28" t="n">
        <f aca="false">ROUND((IF(E620="Transactional",5,IF(E620="Commercial",4,IF(E620="Comparison",3,IF(E620="Informational",2,3))))*LOG10(IF(ISNUMBER(L620),L620,IFERROR(VALUE(LEFT(F620,FIND("-",F620)-1)),100))+1))/IF(IF(ISBLANK(M620),G620,M620)="High",5,IF(IF(ISBLANK(M620),G620,M620)="Medium",3,1)),2)</f>
        <v>11.52</v>
      </c>
      <c r="L620" s="26"/>
      <c r="M620" s="26"/>
      <c r="N620" s="26"/>
      <c r="O620" s="26" t="s">
        <v>123</v>
      </c>
      <c r="P620" s="27"/>
    </row>
    <row r="621" customFormat="false" ht="25.5" hidden="false" customHeight="true" outlineLevel="0" collapsed="false">
      <c r="A621" s="26" t="n">
        <v>620</v>
      </c>
      <c r="B621" s="26" t="n">
        <v>6</v>
      </c>
      <c r="C621" s="26" t="s">
        <v>125</v>
      </c>
      <c r="D621" s="29" t="s">
        <v>1498</v>
      </c>
      <c r="E621" s="26" t="s">
        <v>1101</v>
      </c>
      <c r="F621" s="27" t="s">
        <v>1486</v>
      </c>
      <c r="G621" s="26" t="s">
        <v>505</v>
      </c>
      <c r="H621" s="26" t="s">
        <v>1483</v>
      </c>
      <c r="I621" s="27" t="s">
        <v>461</v>
      </c>
      <c r="J621" s="29" t="s">
        <v>1499</v>
      </c>
      <c r="K621" s="28" t="n">
        <f aca="false">ROUND((IF(E621="Transactional",5,IF(E621="Commercial",4,IF(E621="Comparison",3,IF(E621="Informational",2,3))))*LOG10(IF(ISNUMBER(L621),L621,IFERROR(VALUE(LEFT(F621,FIND("-",F621)-1)),100))+1))/IF(IF(ISBLANK(M621),G621,M621)="High",5,IF(IF(ISBLANK(M621),G621,M621)="Medium",3,1)),2)</f>
        <v>11.29</v>
      </c>
      <c r="L621" s="26"/>
      <c r="M621" s="26"/>
      <c r="N621" s="26"/>
      <c r="O621" s="26" t="s">
        <v>123</v>
      </c>
      <c r="P621" s="27"/>
    </row>
    <row r="622" customFormat="false" ht="25.5" hidden="false" customHeight="true" outlineLevel="0" collapsed="false">
      <c r="A622" s="26" t="n">
        <v>621</v>
      </c>
      <c r="B622" s="26" t="n">
        <v>6</v>
      </c>
      <c r="C622" s="26" t="s">
        <v>115</v>
      </c>
      <c r="D622" s="27" t="s">
        <v>1500</v>
      </c>
      <c r="E622" s="26" t="s">
        <v>1101</v>
      </c>
      <c r="F622" s="27" t="s">
        <v>1501</v>
      </c>
      <c r="G622" s="26" t="s">
        <v>505</v>
      </c>
      <c r="H622" s="26" t="s">
        <v>1483</v>
      </c>
      <c r="I622" s="27" t="s">
        <v>461</v>
      </c>
      <c r="J622" s="27" t="s">
        <v>1502</v>
      </c>
      <c r="K622" s="28" t="n">
        <f aca="false">ROUND((IF(E622="Transactional",5,IF(E622="Commercial",4,IF(E622="Comparison",3,IF(E622="Informational",2,3))))*LOG10(IF(ISNUMBER(L622),L622,IFERROR(VALUE(LEFT(F622,FIND("-",F622)-1)),100))+1))/IF(IF(ISBLANK(M622),G622,M622)="High",5,IF(IF(ISBLANK(M622),G622,M622)="Medium",3,1)),2)</f>
        <v>13.02</v>
      </c>
      <c r="L622" s="26"/>
      <c r="M622" s="26"/>
      <c r="N622" s="26"/>
      <c r="O622" s="26" t="s">
        <v>123</v>
      </c>
      <c r="P622" s="27"/>
    </row>
    <row r="623" customFormat="false" ht="25.5" hidden="false" customHeight="true" outlineLevel="0" collapsed="false">
      <c r="A623" s="26" t="n">
        <v>622</v>
      </c>
      <c r="B623" s="26" t="n">
        <v>6</v>
      </c>
      <c r="C623" s="26" t="s">
        <v>125</v>
      </c>
      <c r="D623" s="29" t="s">
        <v>1503</v>
      </c>
      <c r="E623" s="26" t="s">
        <v>1101</v>
      </c>
      <c r="F623" s="27" t="s">
        <v>141</v>
      </c>
      <c r="G623" s="26" t="s">
        <v>505</v>
      </c>
      <c r="H623" s="26" t="s">
        <v>1483</v>
      </c>
      <c r="I623" s="27" t="s">
        <v>461</v>
      </c>
      <c r="J623" s="29" t="s">
        <v>1504</v>
      </c>
      <c r="K623" s="28" t="n">
        <f aca="false">ROUND((IF(E623="Transactional",5,IF(E623="Commercial",4,IF(E623="Comparison",3,IF(E623="Informational",2,3))))*LOG10(IF(ISNUMBER(L623),L623,IFERROR(VALUE(LEFT(F623,FIND("-",F623)-1)),100))+1))/IF(IF(ISBLANK(M623),G623,M623)="High",5,IF(IF(ISBLANK(M623),G623,M623)="Medium",3,1)),2)</f>
        <v>12.73</v>
      </c>
      <c r="L623" s="26"/>
      <c r="M623" s="26"/>
      <c r="N623" s="26"/>
      <c r="O623" s="26" t="s">
        <v>123</v>
      </c>
      <c r="P623" s="27"/>
    </row>
    <row r="624" customFormat="false" ht="25.5" hidden="false" customHeight="true" outlineLevel="0" collapsed="false">
      <c r="A624" s="26" t="n">
        <v>623</v>
      </c>
      <c r="B624" s="26" t="n">
        <v>6</v>
      </c>
      <c r="C624" s="26" t="s">
        <v>115</v>
      </c>
      <c r="D624" s="27" t="s">
        <v>1505</v>
      </c>
      <c r="E624" s="26" t="s">
        <v>1101</v>
      </c>
      <c r="F624" s="27" t="s">
        <v>1482</v>
      </c>
      <c r="G624" s="26" t="s">
        <v>505</v>
      </c>
      <c r="H624" s="26" t="s">
        <v>1483</v>
      </c>
      <c r="I624" s="27" t="s">
        <v>461</v>
      </c>
      <c r="J624" s="27" t="s">
        <v>1506</v>
      </c>
      <c r="K624" s="28" t="n">
        <f aca="false">ROUND((IF(E624="Transactional",5,IF(E624="Commercial",4,IF(E624="Comparison",3,IF(E624="Informational",2,3))))*LOG10(IF(ISNUMBER(L624),L624,IFERROR(VALUE(LEFT(F624,FIND("-",F624)-1)),100))+1))/IF(IF(ISBLANK(M624),G624,M624)="High",5,IF(IF(ISBLANK(M624),G624,M624)="Medium",3,1)),2)</f>
        <v>11.52</v>
      </c>
      <c r="L624" s="26"/>
      <c r="M624" s="26"/>
      <c r="N624" s="26"/>
      <c r="O624" s="26" t="s">
        <v>123</v>
      </c>
      <c r="P624" s="27"/>
    </row>
    <row r="625" customFormat="false" ht="25.5" hidden="false" customHeight="true" outlineLevel="0" collapsed="false">
      <c r="A625" s="26" t="n">
        <v>624</v>
      </c>
      <c r="B625" s="26" t="n">
        <v>6</v>
      </c>
      <c r="C625" s="26" t="s">
        <v>125</v>
      </c>
      <c r="D625" s="29" t="s">
        <v>1507</v>
      </c>
      <c r="E625" s="26" t="s">
        <v>1101</v>
      </c>
      <c r="F625" s="27" t="s">
        <v>1486</v>
      </c>
      <c r="G625" s="26" t="s">
        <v>505</v>
      </c>
      <c r="H625" s="26" t="s">
        <v>1483</v>
      </c>
      <c r="I625" s="27" t="s">
        <v>461</v>
      </c>
      <c r="J625" s="29" t="s">
        <v>1508</v>
      </c>
      <c r="K625" s="28" t="n">
        <f aca="false">ROUND((IF(E625="Transactional",5,IF(E625="Commercial",4,IF(E625="Comparison",3,IF(E625="Informational",2,3))))*LOG10(IF(ISNUMBER(L625),L625,IFERROR(VALUE(LEFT(F625,FIND("-",F625)-1)),100))+1))/IF(IF(ISBLANK(M625),G625,M625)="High",5,IF(IF(ISBLANK(M625),G625,M625)="Medium",3,1)),2)</f>
        <v>11.29</v>
      </c>
      <c r="L625" s="26"/>
      <c r="M625" s="26"/>
      <c r="N625" s="26"/>
      <c r="O625" s="26" t="s">
        <v>123</v>
      </c>
      <c r="P625" s="27"/>
    </row>
    <row r="626" customFormat="false" ht="25.5" hidden="false" customHeight="true" outlineLevel="0" collapsed="false">
      <c r="A626" s="26" t="n">
        <v>625</v>
      </c>
      <c r="B626" s="26" t="n">
        <v>6</v>
      </c>
      <c r="C626" s="26" t="s">
        <v>115</v>
      </c>
      <c r="D626" s="27" t="s">
        <v>1509</v>
      </c>
      <c r="E626" s="26" t="s">
        <v>1101</v>
      </c>
      <c r="F626" s="27" t="s">
        <v>1482</v>
      </c>
      <c r="G626" s="26" t="s">
        <v>505</v>
      </c>
      <c r="H626" s="26" t="s">
        <v>1483</v>
      </c>
      <c r="I626" s="27" t="s">
        <v>461</v>
      </c>
      <c r="J626" s="27" t="s">
        <v>1510</v>
      </c>
      <c r="K626" s="28" t="n">
        <f aca="false">ROUND((IF(E626="Transactional",5,IF(E626="Commercial",4,IF(E626="Comparison",3,IF(E626="Informational",2,3))))*LOG10(IF(ISNUMBER(L626),L626,IFERROR(VALUE(LEFT(F626,FIND("-",F626)-1)),100))+1))/IF(IF(ISBLANK(M626),G626,M626)="High",5,IF(IF(ISBLANK(M626),G626,M626)="Medium",3,1)),2)</f>
        <v>11.52</v>
      </c>
      <c r="L626" s="26"/>
      <c r="M626" s="26"/>
      <c r="N626" s="26"/>
      <c r="O626" s="26" t="s">
        <v>123</v>
      </c>
      <c r="P626" s="27"/>
    </row>
    <row r="627" customFormat="false" ht="25.5" hidden="false" customHeight="true" outlineLevel="0" collapsed="false">
      <c r="A627" s="26" t="n">
        <v>626</v>
      </c>
      <c r="B627" s="26" t="n">
        <v>6</v>
      </c>
      <c r="C627" s="26" t="s">
        <v>125</v>
      </c>
      <c r="D627" s="29" t="s">
        <v>1511</v>
      </c>
      <c r="E627" s="26" t="s">
        <v>1101</v>
      </c>
      <c r="F627" s="27" t="s">
        <v>1486</v>
      </c>
      <c r="G627" s="26" t="s">
        <v>505</v>
      </c>
      <c r="H627" s="26" t="s">
        <v>1483</v>
      </c>
      <c r="I627" s="27" t="s">
        <v>461</v>
      </c>
      <c r="J627" s="29" t="s">
        <v>1512</v>
      </c>
      <c r="K627" s="28" t="n">
        <f aca="false">ROUND((IF(E627="Transactional",5,IF(E627="Commercial",4,IF(E627="Comparison",3,IF(E627="Informational",2,3))))*LOG10(IF(ISNUMBER(L627),L627,IFERROR(VALUE(LEFT(F627,FIND("-",F627)-1)),100))+1))/IF(IF(ISBLANK(M627),G627,M627)="High",5,IF(IF(ISBLANK(M627),G627,M627)="Medium",3,1)),2)</f>
        <v>11.29</v>
      </c>
      <c r="L627" s="26"/>
      <c r="M627" s="26"/>
      <c r="N627" s="26"/>
      <c r="O627" s="26" t="s">
        <v>123</v>
      </c>
      <c r="P627" s="27"/>
    </row>
    <row r="628" customFormat="false" ht="25.5" hidden="false" customHeight="true" outlineLevel="0" collapsed="false">
      <c r="A628" s="26" t="n">
        <v>627</v>
      </c>
      <c r="B628" s="26" t="n">
        <v>6</v>
      </c>
      <c r="C628" s="26" t="s">
        <v>115</v>
      </c>
      <c r="D628" s="27" t="s">
        <v>1513</v>
      </c>
      <c r="E628" s="26" t="s">
        <v>1101</v>
      </c>
      <c r="F628" s="27" t="s">
        <v>1514</v>
      </c>
      <c r="G628" s="26" t="s">
        <v>505</v>
      </c>
      <c r="H628" s="26" t="s">
        <v>1483</v>
      </c>
      <c r="I628" s="27" t="s">
        <v>461</v>
      </c>
      <c r="J628" s="27" t="s">
        <v>1515</v>
      </c>
      <c r="K628" s="28" t="n">
        <f aca="false">ROUND((IF(E628="Transactional",5,IF(E628="Commercial",4,IF(E628="Comparison",3,IF(E628="Informational",2,3))))*LOG10(IF(ISNUMBER(L628),L628,IFERROR(VALUE(LEFT(F628,FIND("-",F628)-1)),100))+1))/IF(IF(ISBLANK(M628),G628,M628)="High",5,IF(IF(ISBLANK(M628),G628,M628)="Medium",3,1)),2)</f>
        <v>10.02</v>
      </c>
      <c r="L628" s="26"/>
      <c r="M628" s="26"/>
      <c r="N628" s="26"/>
      <c r="O628" s="26" t="s">
        <v>123</v>
      </c>
      <c r="P628" s="27"/>
    </row>
    <row r="629" customFormat="false" ht="25.5" hidden="false" customHeight="true" outlineLevel="0" collapsed="false">
      <c r="A629" s="26" t="n">
        <v>628</v>
      </c>
      <c r="B629" s="26" t="n">
        <v>6</v>
      </c>
      <c r="C629" s="26" t="s">
        <v>125</v>
      </c>
      <c r="D629" s="29" t="s">
        <v>1516</v>
      </c>
      <c r="E629" s="26" t="s">
        <v>1101</v>
      </c>
      <c r="F629" s="27" t="s">
        <v>1514</v>
      </c>
      <c r="G629" s="26" t="s">
        <v>505</v>
      </c>
      <c r="H629" s="26" t="s">
        <v>1483</v>
      </c>
      <c r="I629" s="27" t="s">
        <v>461</v>
      </c>
      <c r="J629" s="29" t="s">
        <v>1517</v>
      </c>
      <c r="K629" s="28" t="n">
        <f aca="false">ROUND((IF(E629="Transactional",5,IF(E629="Commercial",4,IF(E629="Comparison",3,IF(E629="Informational",2,3))))*LOG10(IF(ISNUMBER(L629),L629,IFERROR(VALUE(LEFT(F629,FIND("-",F629)-1)),100))+1))/IF(IF(ISBLANK(M629),G629,M629)="High",5,IF(IF(ISBLANK(M629),G629,M629)="Medium",3,1)),2)</f>
        <v>10.02</v>
      </c>
      <c r="L629" s="26"/>
      <c r="M629" s="26"/>
      <c r="N629" s="26"/>
      <c r="O629" s="26" t="s">
        <v>123</v>
      </c>
      <c r="P629" s="27"/>
    </row>
    <row r="630" customFormat="false" ht="25.5" hidden="false" customHeight="true" outlineLevel="0" collapsed="false">
      <c r="A630" s="26" t="n">
        <v>629</v>
      </c>
      <c r="B630" s="26" t="n">
        <v>6</v>
      </c>
      <c r="C630" s="26" t="s">
        <v>115</v>
      </c>
      <c r="D630" s="27" t="s">
        <v>1518</v>
      </c>
      <c r="E630" s="26" t="s">
        <v>1101</v>
      </c>
      <c r="F630" s="27" t="s">
        <v>1482</v>
      </c>
      <c r="G630" s="26" t="s">
        <v>505</v>
      </c>
      <c r="H630" s="26" t="s">
        <v>1483</v>
      </c>
      <c r="I630" s="27" t="s">
        <v>461</v>
      </c>
      <c r="J630" s="27" t="s">
        <v>1519</v>
      </c>
      <c r="K630" s="28" t="n">
        <f aca="false">ROUND((IF(E630="Transactional",5,IF(E630="Commercial",4,IF(E630="Comparison",3,IF(E630="Informational",2,3))))*LOG10(IF(ISNUMBER(L630),L630,IFERROR(VALUE(LEFT(F630,FIND("-",F630)-1)),100))+1))/IF(IF(ISBLANK(M630),G630,M630)="High",5,IF(IF(ISBLANK(M630),G630,M630)="Medium",3,1)),2)</f>
        <v>11.52</v>
      </c>
      <c r="L630" s="26"/>
      <c r="M630" s="26"/>
      <c r="N630" s="26"/>
      <c r="O630" s="26" t="s">
        <v>123</v>
      </c>
      <c r="P630" s="27"/>
    </row>
    <row r="631" customFormat="false" ht="25.5" hidden="false" customHeight="true" outlineLevel="0" collapsed="false">
      <c r="A631" s="26" t="n">
        <v>630</v>
      </c>
      <c r="B631" s="26" t="n">
        <v>6</v>
      </c>
      <c r="C631" s="26" t="s">
        <v>125</v>
      </c>
      <c r="D631" s="29" t="s">
        <v>1520</v>
      </c>
      <c r="E631" s="26" t="s">
        <v>1101</v>
      </c>
      <c r="F631" s="27" t="s">
        <v>1486</v>
      </c>
      <c r="G631" s="26" t="s">
        <v>505</v>
      </c>
      <c r="H631" s="26" t="s">
        <v>1483</v>
      </c>
      <c r="I631" s="27" t="s">
        <v>461</v>
      </c>
      <c r="J631" s="29" t="s">
        <v>1521</v>
      </c>
      <c r="K631" s="28" t="n">
        <f aca="false">ROUND((IF(E631="Transactional",5,IF(E631="Commercial",4,IF(E631="Comparison",3,IF(E631="Informational",2,3))))*LOG10(IF(ISNUMBER(L631),L631,IFERROR(VALUE(LEFT(F631,FIND("-",F631)-1)),100))+1))/IF(IF(ISBLANK(M631),G631,M631)="High",5,IF(IF(ISBLANK(M631),G631,M631)="Medium",3,1)),2)</f>
        <v>11.29</v>
      </c>
      <c r="L631" s="26"/>
      <c r="M631" s="26"/>
      <c r="N631" s="26"/>
      <c r="O631" s="26" t="s">
        <v>123</v>
      </c>
      <c r="P631" s="27"/>
    </row>
    <row r="632" customFormat="false" ht="25.5" hidden="false" customHeight="true" outlineLevel="0" collapsed="false">
      <c r="A632" s="26" t="n">
        <v>631</v>
      </c>
      <c r="B632" s="26" t="n">
        <v>6</v>
      </c>
      <c r="C632" s="26" t="s">
        <v>115</v>
      </c>
      <c r="D632" s="27" t="s">
        <v>1522</v>
      </c>
      <c r="E632" s="26" t="s">
        <v>1101</v>
      </c>
      <c r="F632" s="27" t="s">
        <v>1514</v>
      </c>
      <c r="G632" s="26" t="s">
        <v>505</v>
      </c>
      <c r="H632" s="26" t="s">
        <v>1483</v>
      </c>
      <c r="I632" s="27" t="s">
        <v>461</v>
      </c>
      <c r="J632" s="27" t="s">
        <v>1523</v>
      </c>
      <c r="K632" s="28" t="n">
        <f aca="false">ROUND((IF(E632="Transactional",5,IF(E632="Commercial",4,IF(E632="Comparison",3,IF(E632="Informational",2,3))))*LOG10(IF(ISNUMBER(L632),L632,IFERROR(VALUE(LEFT(F632,FIND("-",F632)-1)),100))+1))/IF(IF(ISBLANK(M632),G632,M632)="High",5,IF(IF(ISBLANK(M632),G632,M632)="Medium",3,1)),2)</f>
        <v>10.02</v>
      </c>
      <c r="L632" s="26"/>
      <c r="M632" s="26"/>
      <c r="N632" s="26"/>
      <c r="O632" s="26" t="s">
        <v>123</v>
      </c>
      <c r="P632" s="27"/>
    </row>
    <row r="633" customFormat="false" ht="25.5" hidden="false" customHeight="true" outlineLevel="0" collapsed="false">
      <c r="A633" s="26" t="n">
        <v>632</v>
      </c>
      <c r="B633" s="26" t="n">
        <v>6</v>
      </c>
      <c r="C633" s="26" t="s">
        <v>125</v>
      </c>
      <c r="D633" s="29" t="s">
        <v>1524</v>
      </c>
      <c r="E633" s="26" t="s">
        <v>1101</v>
      </c>
      <c r="F633" s="27" t="s">
        <v>1514</v>
      </c>
      <c r="G633" s="26" t="s">
        <v>505</v>
      </c>
      <c r="H633" s="26" t="s">
        <v>1483</v>
      </c>
      <c r="I633" s="27" t="s">
        <v>461</v>
      </c>
      <c r="J633" s="29" t="s">
        <v>1525</v>
      </c>
      <c r="K633" s="28" t="n">
        <f aca="false">ROUND((IF(E633="Transactional",5,IF(E633="Commercial",4,IF(E633="Comparison",3,IF(E633="Informational",2,3))))*LOG10(IF(ISNUMBER(L633),L633,IFERROR(VALUE(LEFT(F633,FIND("-",F633)-1)),100))+1))/IF(IF(ISBLANK(M633),G633,M633)="High",5,IF(IF(ISBLANK(M633),G633,M633)="Medium",3,1)),2)</f>
        <v>10.02</v>
      </c>
      <c r="L633" s="26"/>
      <c r="M633" s="26"/>
      <c r="N633" s="26"/>
      <c r="O633" s="26" t="s">
        <v>123</v>
      </c>
      <c r="P633" s="27"/>
    </row>
    <row r="634" customFormat="false" ht="25.5" hidden="false" customHeight="true" outlineLevel="0" collapsed="false">
      <c r="A634" s="26" t="n">
        <v>633</v>
      </c>
      <c r="B634" s="26" t="n">
        <v>6</v>
      </c>
      <c r="C634" s="26" t="s">
        <v>115</v>
      </c>
      <c r="D634" s="27" t="s">
        <v>1526</v>
      </c>
      <c r="E634" s="26" t="s">
        <v>1101</v>
      </c>
      <c r="F634" s="27" t="s">
        <v>1482</v>
      </c>
      <c r="G634" s="26" t="s">
        <v>505</v>
      </c>
      <c r="H634" s="26" t="s">
        <v>1483</v>
      </c>
      <c r="I634" s="27" t="s">
        <v>461</v>
      </c>
      <c r="J634" s="27" t="s">
        <v>1527</v>
      </c>
      <c r="K634" s="28" t="n">
        <f aca="false">ROUND((IF(E634="Transactional",5,IF(E634="Commercial",4,IF(E634="Comparison",3,IF(E634="Informational",2,3))))*LOG10(IF(ISNUMBER(L634),L634,IFERROR(VALUE(LEFT(F634,FIND("-",F634)-1)),100))+1))/IF(IF(ISBLANK(M634),G634,M634)="High",5,IF(IF(ISBLANK(M634),G634,M634)="Medium",3,1)),2)</f>
        <v>11.52</v>
      </c>
      <c r="L634" s="26"/>
      <c r="M634" s="26"/>
      <c r="N634" s="26"/>
      <c r="O634" s="26" t="s">
        <v>123</v>
      </c>
      <c r="P634" s="27"/>
    </row>
    <row r="635" customFormat="false" ht="25.5" hidden="false" customHeight="true" outlineLevel="0" collapsed="false">
      <c r="A635" s="26" t="n">
        <v>634</v>
      </c>
      <c r="B635" s="26" t="n">
        <v>6</v>
      </c>
      <c r="C635" s="26" t="s">
        <v>125</v>
      </c>
      <c r="D635" s="29" t="s">
        <v>1528</v>
      </c>
      <c r="E635" s="26" t="s">
        <v>1101</v>
      </c>
      <c r="F635" s="27" t="s">
        <v>1486</v>
      </c>
      <c r="G635" s="26" t="s">
        <v>505</v>
      </c>
      <c r="H635" s="26" t="s">
        <v>1483</v>
      </c>
      <c r="I635" s="27" t="s">
        <v>461</v>
      </c>
      <c r="J635" s="29" t="s">
        <v>1529</v>
      </c>
      <c r="K635" s="28" t="n">
        <f aca="false">ROUND((IF(E635="Transactional",5,IF(E635="Commercial",4,IF(E635="Comparison",3,IF(E635="Informational",2,3))))*LOG10(IF(ISNUMBER(L635),L635,IFERROR(VALUE(LEFT(F635,FIND("-",F635)-1)),100))+1))/IF(IF(ISBLANK(M635),G635,M635)="High",5,IF(IF(ISBLANK(M635),G635,M635)="Medium",3,1)),2)</f>
        <v>11.29</v>
      </c>
      <c r="L635" s="26"/>
      <c r="M635" s="26"/>
      <c r="N635" s="26"/>
      <c r="O635" s="26" t="s">
        <v>123</v>
      </c>
      <c r="P635" s="27"/>
    </row>
    <row r="636" customFormat="false" ht="25.5" hidden="false" customHeight="true" outlineLevel="0" collapsed="false">
      <c r="A636" s="26" t="n">
        <v>635</v>
      </c>
      <c r="B636" s="26" t="n">
        <v>6</v>
      </c>
      <c r="C636" s="26" t="s">
        <v>115</v>
      </c>
      <c r="D636" s="27" t="s">
        <v>1530</v>
      </c>
      <c r="E636" s="26" t="s">
        <v>1101</v>
      </c>
      <c r="F636" s="27" t="s">
        <v>1501</v>
      </c>
      <c r="G636" s="26" t="s">
        <v>505</v>
      </c>
      <c r="H636" s="26" t="s">
        <v>1483</v>
      </c>
      <c r="I636" s="27" t="s">
        <v>461</v>
      </c>
      <c r="J636" s="27" t="s">
        <v>1531</v>
      </c>
      <c r="K636" s="28" t="n">
        <f aca="false">ROUND((IF(E636="Transactional",5,IF(E636="Commercial",4,IF(E636="Comparison",3,IF(E636="Informational",2,3))))*LOG10(IF(ISNUMBER(L636),L636,IFERROR(VALUE(LEFT(F636,FIND("-",F636)-1)),100))+1))/IF(IF(ISBLANK(M636),G636,M636)="High",5,IF(IF(ISBLANK(M636),G636,M636)="Medium",3,1)),2)</f>
        <v>13.02</v>
      </c>
      <c r="L636" s="26"/>
      <c r="M636" s="26"/>
      <c r="N636" s="26"/>
      <c r="O636" s="26" t="s">
        <v>123</v>
      </c>
      <c r="P636" s="27"/>
    </row>
    <row r="637" customFormat="false" ht="25.5" hidden="false" customHeight="true" outlineLevel="0" collapsed="false">
      <c r="A637" s="26" t="n">
        <v>636</v>
      </c>
      <c r="B637" s="26" t="n">
        <v>6</v>
      </c>
      <c r="C637" s="26" t="s">
        <v>125</v>
      </c>
      <c r="D637" s="29" t="s">
        <v>1532</v>
      </c>
      <c r="E637" s="26" t="s">
        <v>1101</v>
      </c>
      <c r="F637" s="27" t="s">
        <v>141</v>
      </c>
      <c r="G637" s="26" t="s">
        <v>505</v>
      </c>
      <c r="H637" s="26" t="s">
        <v>1483</v>
      </c>
      <c r="I637" s="27" t="s">
        <v>461</v>
      </c>
      <c r="J637" s="29" t="s">
        <v>1533</v>
      </c>
      <c r="K637" s="28" t="n">
        <f aca="false">ROUND((IF(E637="Transactional",5,IF(E637="Commercial",4,IF(E637="Comparison",3,IF(E637="Informational",2,3))))*LOG10(IF(ISNUMBER(L637),L637,IFERROR(VALUE(LEFT(F637,FIND("-",F637)-1)),100))+1))/IF(IF(ISBLANK(M637),G637,M637)="High",5,IF(IF(ISBLANK(M637),G637,M637)="Medium",3,1)),2)</f>
        <v>12.73</v>
      </c>
      <c r="L637" s="26"/>
      <c r="M637" s="26"/>
      <c r="N637" s="26"/>
      <c r="O637" s="26" t="s">
        <v>123</v>
      </c>
      <c r="P637" s="27"/>
    </row>
    <row r="638" customFormat="false" ht="25.5" hidden="false" customHeight="true" outlineLevel="0" collapsed="false">
      <c r="A638" s="26" t="n">
        <v>637</v>
      </c>
      <c r="B638" s="26" t="n">
        <v>6</v>
      </c>
      <c r="C638" s="26" t="s">
        <v>115</v>
      </c>
      <c r="D638" s="27" t="s">
        <v>1534</v>
      </c>
      <c r="E638" s="26" t="s">
        <v>1101</v>
      </c>
      <c r="F638" s="27" t="s">
        <v>1482</v>
      </c>
      <c r="G638" s="26" t="s">
        <v>505</v>
      </c>
      <c r="H638" s="26" t="s">
        <v>1483</v>
      </c>
      <c r="I638" s="27" t="s">
        <v>472</v>
      </c>
      <c r="J638" s="27" t="s">
        <v>1535</v>
      </c>
      <c r="K638" s="28" t="n">
        <f aca="false">ROUND((IF(E638="Transactional",5,IF(E638="Commercial",4,IF(E638="Comparison",3,IF(E638="Informational",2,3))))*LOG10(IF(ISNUMBER(L638),L638,IFERROR(VALUE(LEFT(F638,FIND("-",F638)-1)),100))+1))/IF(IF(ISBLANK(M638),G638,M638)="High",5,IF(IF(ISBLANK(M638),G638,M638)="Medium",3,1)),2)</f>
        <v>11.52</v>
      </c>
      <c r="L638" s="26"/>
      <c r="M638" s="26"/>
      <c r="N638" s="26"/>
      <c r="O638" s="26" t="s">
        <v>123</v>
      </c>
      <c r="P638" s="27"/>
    </row>
    <row r="639" customFormat="false" ht="25.5" hidden="false" customHeight="true" outlineLevel="0" collapsed="false">
      <c r="A639" s="26" t="n">
        <v>638</v>
      </c>
      <c r="B639" s="26" t="n">
        <v>6</v>
      </c>
      <c r="C639" s="26" t="s">
        <v>125</v>
      </c>
      <c r="D639" s="29" t="s">
        <v>1536</v>
      </c>
      <c r="E639" s="26" t="s">
        <v>1101</v>
      </c>
      <c r="F639" s="27" t="s">
        <v>1486</v>
      </c>
      <c r="G639" s="26" t="s">
        <v>505</v>
      </c>
      <c r="H639" s="26" t="s">
        <v>1483</v>
      </c>
      <c r="I639" s="27" t="s">
        <v>472</v>
      </c>
      <c r="J639" s="29" t="s">
        <v>1537</v>
      </c>
      <c r="K639" s="28" t="n">
        <f aca="false">ROUND((IF(E639="Transactional",5,IF(E639="Commercial",4,IF(E639="Comparison",3,IF(E639="Informational",2,3))))*LOG10(IF(ISNUMBER(L639),L639,IFERROR(VALUE(LEFT(F639,FIND("-",F639)-1)),100))+1))/IF(IF(ISBLANK(M639),G639,M639)="High",5,IF(IF(ISBLANK(M639),G639,M639)="Medium",3,1)),2)</f>
        <v>11.29</v>
      </c>
      <c r="L639" s="26"/>
      <c r="M639" s="26"/>
      <c r="N639" s="26"/>
      <c r="O639" s="26" t="s">
        <v>123</v>
      </c>
      <c r="P639" s="27"/>
    </row>
    <row r="640" customFormat="false" ht="25.5" hidden="false" customHeight="true" outlineLevel="0" collapsed="false">
      <c r="A640" s="26" t="n">
        <v>639</v>
      </c>
      <c r="B640" s="26" t="n">
        <v>6</v>
      </c>
      <c r="C640" s="26" t="s">
        <v>115</v>
      </c>
      <c r="D640" s="27" t="s">
        <v>1538</v>
      </c>
      <c r="E640" s="26" t="s">
        <v>1101</v>
      </c>
      <c r="F640" s="27" t="s">
        <v>1482</v>
      </c>
      <c r="G640" s="26" t="s">
        <v>505</v>
      </c>
      <c r="H640" s="26" t="s">
        <v>1483</v>
      </c>
      <c r="I640" s="27" t="s">
        <v>472</v>
      </c>
      <c r="J640" s="27" t="s">
        <v>1539</v>
      </c>
      <c r="K640" s="28" t="n">
        <f aca="false">ROUND((IF(E640="Transactional",5,IF(E640="Commercial",4,IF(E640="Comparison",3,IF(E640="Informational",2,3))))*LOG10(IF(ISNUMBER(L640),L640,IFERROR(VALUE(LEFT(F640,FIND("-",F640)-1)),100))+1))/IF(IF(ISBLANK(M640),G640,M640)="High",5,IF(IF(ISBLANK(M640),G640,M640)="Medium",3,1)),2)</f>
        <v>11.52</v>
      </c>
      <c r="L640" s="26"/>
      <c r="M640" s="26"/>
      <c r="N640" s="26"/>
      <c r="O640" s="26" t="s">
        <v>123</v>
      </c>
      <c r="P640" s="27"/>
    </row>
    <row r="641" customFormat="false" ht="25.5" hidden="false" customHeight="true" outlineLevel="0" collapsed="false">
      <c r="A641" s="26" t="n">
        <v>640</v>
      </c>
      <c r="B641" s="26" t="n">
        <v>6</v>
      </c>
      <c r="C641" s="26" t="s">
        <v>125</v>
      </c>
      <c r="D641" s="29" t="s">
        <v>1540</v>
      </c>
      <c r="E641" s="26" t="s">
        <v>1101</v>
      </c>
      <c r="F641" s="27" t="s">
        <v>1486</v>
      </c>
      <c r="G641" s="26" t="s">
        <v>505</v>
      </c>
      <c r="H641" s="26" t="s">
        <v>1483</v>
      </c>
      <c r="I641" s="27" t="s">
        <v>472</v>
      </c>
      <c r="J641" s="29" t="s">
        <v>1541</v>
      </c>
      <c r="K641" s="28" t="n">
        <f aca="false">ROUND((IF(E641="Transactional",5,IF(E641="Commercial",4,IF(E641="Comparison",3,IF(E641="Informational",2,3))))*LOG10(IF(ISNUMBER(L641),L641,IFERROR(VALUE(LEFT(F641,FIND("-",F641)-1)),100))+1))/IF(IF(ISBLANK(M641),G641,M641)="High",5,IF(IF(ISBLANK(M641),G641,M641)="Medium",3,1)),2)</f>
        <v>11.29</v>
      </c>
      <c r="L641" s="26"/>
      <c r="M641" s="26"/>
      <c r="N641" s="26"/>
      <c r="O641" s="26" t="s">
        <v>123</v>
      </c>
      <c r="P641" s="27"/>
    </row>
    <row r="642" customFormat="false" ht="25.5" hidden="false" customHeight="true" outlineLevel="0" collapsed="false">
      <c r="A642" s="26" t="n">
        <v>641</v>
      </c>
      <c r="B642" s="26" t="n">
        <v>6</v>
      </c>
      <c r="C642" s="26" t="s">
        <v>115</v>
      </c>
      <c r="D642" s="27" t="s">
        <v>1542</v>
      </c>
      <c r="E642" s="26" t="s">
        <v>1101</v>
      </c>
      <c r="F642" s="27" t="s">
        <v>1482</v>
      </c>
      <c r="G642" s="26" t="s">
        <v>505</v>
      </c>
      <c r="H642" s="26" t="s">
        <v>1483</v>
      </c>
      <c r="I642" s="27" t="s">
        <v>472</v>
      </c>
      <c r="J642" s="27" t="s">
        <v>1543</v>
      </c>
      <c r="K642" s="28" t="n">
        <f aca="false">ROUND((IF(E642="Transactional",5,IF(E642="Commercial",4,IF(E642="Comparison",3,IF(E642="Informational",2,3))))*LOG10(IF(ISNUMBER(L642),L642,IFERROR(VALUE(LEFT(F642,FIND("-",F642)-1)),100))+1))/IF(IF(ISBLANK(M642),G642,M642)="High",5,IF(IF(ISBLANK(M642),G642,M642)="Medium",3,1)),2)</f>
        <v>11.52</v>
      </c>
      <c r="L642" s="26"/>
      <c r="M642" s="26"/>
      <c r="N642" s="26"/>
      <c r="O642" s="26" t="s">
        <v>123</v>
      </c>
      <c r="P642" s="27"/>
    </row>
    <row r="643" customFormat="false" ht="25.5" hidden="false" customHeight="true" outlineLevel="0" collapsed="false">
      <c r="A643" s="26" t="n">
        <v>642</v>
      </c>
      <c r="B643" s="26" t="n">
        <v>6</v>
      </c>
      <c r="C643" s="26" t="s">
        <v>125</v>
      </c>
      <c r="D643" s="29" t="s">
        <v>1544</v>
      </c>
      <c r="E643" s="26" t="s">
        <v>1101</v>
      </c>
      <c r="F643" s="27" t="s">
        <v>1486</v>
      </c>
      <c r="G643" s="26" t="s">
        <v>505</v>
      </c>
      <c r="H643" s="26" t="s">
        <v>1483</v>
      </c>
      <c r="I643" s="27" t="s">
        <v>472</v>
      </c>
      <c r="J643" s="29" t="s">
        <v>1545</v>
      </c>
      <c r="K643" s="28" t="n">
        <f aca="false">ROUND((IF(E643="Transactional",5,IF(E643="Commercial",4,IF(E643="Comparison",3,IF(E643="Informational",2,3))))*LOG10(IF(ISNUMBER(L643),L643,IFERROR(VALUE(LEFT(F643,FIND("-",F643)-1)),100))+1))/IF(IF(ISBLANK(M643),G643,M643)="High",5,IF(IF(ISBLANK(M643),G643,M643)="Medium",3,1)),2)</f>
        <v>11.29</v>
      </c>
      <c r="L643" s="26"/>
      <c r="M643" s="26"/>
      <c r="N643" s="26"/>
      <c r="O643" s="26" t="s">
        <v>123</v>
      </c>
      <c r="P643" s="27"/>
    </row>
    <row r="644" customFormat="false" ht="25.5" hidden="false" customHeight="true" outlineLevel="0" collapsed="false">
      <c r="A644" s="26" t="n">
        <v>643</v>
      </c>
      <c r="B644" s="26" t="n">
        <v>6</v>
      </c>
      <c r="C644" s="26" t="s">
        <v>115</v>
      </c>
      <c r="D644" s="27" t="s">
        <v>1546</v>
      </c>
      <c r="E644" s="26" t="s">
        <v>1101</v>
      </c>
      <c r="F644" s="27" t="s">
        <v>1514</v>
      </c>
      <c r="G644" s="26" t="s">
        <v>505</v>
      </c>
      <c r="H644" s="26" t="s">
        <v>1483</v>
      </c>
      <c r="I644" s="27" t="s">
        <v>472</v>
      </c>
      <c r="J644" s="27" t="s">
        <v>1547</v>
      </c>
      <c r="K644" s="28" t="n">
        <f aca="false">ROUND((IF(E644="Transactional",5,IF(E644="Commercial",4,IF(E644="Comparison",3,IF(E644="Informational",2,3))))*LOG10(IF(ISNUMBER(L644),L644,IFERROR(VALUE(LEFT(F644,FIND("-",F644)-1)),100))+1))/IF(IF(ISBLANK(M644),G644,M644)="High",5,IF(IF(ISBLANK(M644),G644,M644)="Medium",3,1)),2)</f>
        <v>10.02</v>
      </c>
      <c r="L644" s="26"/>
      <c r="M644" s="26"/>
      <c r="N644" s="26"/>
      <c r="O644" s="26" t="s">
        <v>123</v>
      </c>
      <c r="P644" s="27"/>
    </row>
    <row r="645" customFormat="false" ht="25.5" hidden="false" customHeight="true" outlineLevel="0" collapsed="false">
      <c r="A645" s="26" t="n">
        <v>644</v>
      </c>
      <c r="B645" s="26" t="n">
        <v>6</v>
      </c>
      <c r="C645" s="26" t="s">
        <v>125</v>
      </c>
      <c r="D645" s="29" t="s">
        <v>1548</v>
      </c>
      <c r="E645" s="26" t="s">
        <v>1101</v>
      </c>
      <c r="F645" s="27" t="s">
        <v>1514</v>
      </c>
      <c r="G645" s="26" t="s">
        <v>505</v>
      </c>
      <c r="H645" s="26" t="s">
        <v>1483</v>
      </c>
      <c r="I645" s="27" t="s">
        <v>472</v>
      </c>
      <c r="J645" s="29" t="s">
        <v>1549</v>
      </c>
      <c r="K645" s="28" t="n">
        <f aca="false">ROUND((IF(E645="Transactional",5,IF(E645="Commercial",4,IF(E645="Comparison",3,IF(E645="Informational",2,3))))*LOG10(IF(ISNUMBER(L645),L645,IFERROR(VALUE(LEFT(F645,FIND("-",F645)-1)),100))+1))/IF(IF(ISBLANK(M645),G645,M645)="High",5,IF(IF(ISBLANK(M645),G645,M645)="Medium",3,1)),2)</f>
        <v>10.02</v>
      </c>
      <c r="L645" s="26"/>
      <c r="M645" s="26"/>
      <c r="N645" s="26"/>
      <c r="O645" s="26" t="s">
        <v>123</v>
      </c>
      <c r="P645" s="27"/>
    </row>
    <row r="646" customFormat="false" ht="25.5" hidden="false" customHeight="true" outlineLevel="0" collapsed="false">
      <c r="A646" s="26" t="n">
        <v>645</v>
      </c>
      <c r="B646" s="26" t="n">
        <v>6</v>
      </c>
      <c r="C646" s="26" t="s">
        <v>115</v>
      </c>
      <c r="D646" s="27" t="s">
        <v>1550</v>
      </c>
      <c r="E646" s="26" t="s">
        <v>1101</v>
      </c>
      <c r="F646" s="27" t="s">
        <v>1482</v>
      </c>
      <c r="G646" s="26" t="s">
        <v>505</v>
      </c>
      <c r="H646" s="26" t="s">
        <v>1483</v>
      </c>
      <c r="I646" s="27" t="s">
        <v>472</v>
      </c>
      <c r="J646" s="27" t="s">
        <v>1551</v>
      </c>
      <c r="K646" s="28" t="n">
        <f aca="false">ROUND((IF(E646="Transactional",5,IF(E646="Commercial",4,IF(E646="Comparison",3,IF(E646="Informational",2,3))))*LOG10(IF(ISNUMBER(L646),L646,IFERROR(VALUE(LEFT(F646,FIND("-",F646)-1)),100))+1))/IF(IF(ISBLANK(M646),G646,M646)="High",5,IF(IF(ISBLANK(M646),G646,M646)="Medium",3,1)),2)</f>
        <v>11.52</v>
      </c>
      <c r="L646" s="26"/>
      <c r="M646" s="26"/>
      <c r="N646" s="26"/>
      <c r="O646" s="26" t="s">
        <v>123</v>
      </c>
      <c r="P646" s="27"/>
    </row>
    <row r="647" customFormat="false" ht="25.5" hidden="false" customHeight="true" outlineLevel="0" collapsed="false">
      <c r="A647" s="26" t="n">
        <v>646</v>
      </c>
      <c r="B647" s="26" t="n">
        <v>6</v>
      </c>
      <c r="C647" s="26" t="s">
        <v>125</v>
      </c>
      <c r="D647" s="29" t="s">
        <v>1552</v>
      </c>
      <c r="E647" s="26" t="s">
        <v>1101</v>
      </c>
      <c r="F647" s="27" t="s">
        <v>1486</v>
      </c>
      <c r="G647" s="26" t="s">
        <v>505</v>
      </c>
      <c r="H647" s="26" t="s">
        <v>1483</v>
      </c>
      <c r="I647" s="27" t="s">
        <v>472</v>
      </c>
      <c r="J647" s="29" t="s">
        <v>1553</v>
      </c>
      <c r="K647" s="28" t="n">
        <f aca="false">ROUND((IF(E647="Transactional",5,IF(E647="Commercial",4,IF(E647="Comparison",3,IF(E647="Informational",2,3))))*LOG10(IF(ISNUMBER(L647),L647,IFERROR(VALUE(LEFT(F647,FIND("-",F647)-1)),100))+1))/IF(IF(ISBLANK(M647),G647,M647)="High",5,IF(IF(ISBLANK(M647),G647,M647)="Medium",3,1)),2)</f>
        <v>11.29</v>
      </c>
      <c r="L647" s="26"/>
      <c r="M647" s="26"/>
      <c r="N647" s="26"/>
      <c r="O647" s="26" t="s">
        <v>123</v>
      </c>
      <c r="P647" s="27"/>
    </row>
    <row r="648" customFormat="false" ht="25.5" hidden="false" customHeight="true" outlineLevel="0" collapsed="false">
      <c r="A648" s="26" t="n">
        <v>647</v>
      </c>
      <c r="B648" s="26" t="n">
        <v>6</v>
      </c>
      <c r="C648" s="26" t="s">
        <v>115</v>
      </c>
      <c r="D648" s="27" t="s">
        <v>1554</v>
      </c>
      <c r="E648" s="26" t="s">
        <v>1101</v>
      </c>
      <c r="F648" s="27" t="s">
        <v>1501</v>
      </c>
      <c r="G648" s="26" t="s">
        <v>505</v>
      </c>
      <c r="H648" s="26" t="s">
        <v>1483</v>
      </c>
      <c r="I648" s="27" t="s">
        <v>472</v>
      </c>
      <c r="J648" s="27" t="s">
        <v>1555</v>
      </c>
      <c r="K648" s="28" t="n">
        <f aca="false">ROUND((IF(E648="Transactional",5,IF(E648="Commercial",4,IF(E648="Comparison",3,IF(E648="Informational",2,3))))*LOG10(IF(ISNUMBER(L648),L648,IFERROR(VALUE(LEFT(F648,FIND("-",F648)-1)),100))+1))/IF(IF(ISBLANK(M648),G648,M648)="High",5,IF(IF(ISBLANK(M648),G648,M648)="Medium",3,1)),2)</f>
        <v>13.02</v>
      </c>
      <c r="L648" s="26"/>
      <c r="M648" s="26"/>
      <c r="N648" s="26"/>
      <c r="O648" s="26" t="s">
        <v>123</v>
      </c>
      <c r="P648" s="27"/>
    </row>
    <row r="649" customFormat="false" ht="25.5" hidden="false" customHeight="true" outlineLevel="0" collapsed="false">
      <c r="A649" s="26" t="n">
        <v>648</v>
      </c>
      <c r="B649" s="26" t="n">
        <v>6</v>
      </c>
      <c r="C649" s="26" t="s">
        <v>125</v>
      </c>
      <c r="D649" s="29" t="s">
        <v>1556</v>
      </c>
      <c r="E649" s="26" t="s">
        <v>1101</v>
      </c>
      <c r="F649" s="27" t="s">
        <v>141</v>
      </c>
      <c r="G649" s="26" t="s">
        <v>505</v>
      </c>
      <c r="H649" s="26" t="s">
        <v>1483</v>
      </c>
      <c r="I649" s="27" t="s">
        <v>472</v>
      </c>
      <c r="J649" s="29" t="s">
        <v>1557</v>
      </c>
      <c r="K649" s="28" t="n">
        <f aca="false">ROUND((IF(E649="Transactional",5,IF(E649="Commercial",4,IF(E649="Comparison",3,IF(E649="Informational",2,3))))*LOG10(IF(ISNUMBER(L649),L649,IFERROR(VALUE(LEFT(F649,FIND("-",F649)-1)),100))+1))/IF(IF(ISBLANK(M649),G649,M649)="High",5,IF(IF(ISBLANK(M649),G649,M649)="Medium",3,1)),2)</f>
        <v>12.73</v>
      </c>
      <c r="L649" s="26"/>
      <c r="M649" s="26"/>
      <c r="N649" s="26"/>
      <c r="O649" s="26" t="s">
        <v>123</v>
      </c>
      <c r="P649" s="27"/>
    </row>
    <row r="650" customFormat="false" ht="25.5" hidden="false" customHeight="true" outlineLevel="0" collapsed="false">
      <c r="A650" s="26" t="n">
        <v>649</v>
      </c>
      <c r="B650" s="26" t="n">
        <v>6</v>
      </c>
      <c r="C650" s="26" t="s">
        <v>115</v>
      </c>
      <c r="D650" s="27" t="s">
        <v>1558</v>
      </c>
      <c r="E650" s="26" t="s">
        <v>1101</v>
      </c>
      <c r="F650" s="27" t="s">
        <v>1482</v>
      </c>
      <c r="G650" s="26" t="s">
        <v>505</v>
      </c>
      <c r="H650" s="26" t="s">
        <v>1483</v>
      </c>
      <c r="I650" s="27" t="s">
        <v>472</v>
      </c>
      <c r="J650" s="27" t="s">
        <v>1559</v>
      </c>
      <c r="K650" s="28" t="n">
        <f aca="false">ROUND((IF(E650="Transactional",5,IF(E650="Commercial",4,IF(E650="Comparison",3,IF(E650="Informational",2,3))))*LOG10(IF(ISNUMBER(L650),L650,IFERROR(VALUE(LEFT(F650,FIND("-",F650)-1)),100))+1))/IF(IF(ISBLANK(M650),G650,M650)="High",5,IF(IF(ISBLANK(M650),G650,M650)="Medium",3,1)),2)</f>
        <v>11.52</v>
      </c>
      <c r="L650" s="26"/>
      <c r="M650" s="26"/>
      <c r="N650" s="26"/>
      <c r="O650" s="26" t="s">
        <v>123</v>
      </c>
      <c r="P650" s="27"/>
    </row>
    <row r="651" customFormat="false" ht="25.5" hidden="false" customHeight="true" outlineLevel="0" collapsed="false">
      <c r="A651" s="26" t="n">
        <v>650</v>
      </c>
      <c r="B651" s="26" t="n">
        <v>6</v>
      </c>
      <c r="C651" s="26" t="s">
        <v>125</v>
      </c>
      <c r="D651" s="29" t="s">
        <v>1560</v>
      </c>
      <c r="E651" s="26" t="s">
        <v>1101</v>
      </c>
      <c r="F651" s="27" t="s">
        <v>1486</v>
      </c>
      <c r="G651" s="26" t="s">
        <v>505</v>
      </c>
      <c r="H651" s="26" t="s">
        <v>1483</v>
      </c>
      <c r="I651" s="27" t="s">
        <v>472</v>
      </c>
      <c r="J651" s="29" t="s">
        <v>1561</v>
      </c>
      <c r="K651" s="28" t="n">
        <f aca="false">ROUND((IF(E651="Transactional",5,IF(E651="Commercial",4,IF(E651="Comparison",3,IF(E651="Informational",2,3))))*LOG10(IF(ISNUMBER(L651),L651,IFERROR(VALUE(LEFT(F651,FIND("-",F651)-1)),100))+1))/IF(IF(ISBLANK(M651),G651,M651)="High",5,IF(IF(ISBLANK(M651),G651,M651)="Medium",3,1)),2)</f>
        <v>11.29</v>
      </c>
      <c r="L651" s="26"/>
      <c r="M651" s="26"/>
      <c r="N651" s="26"/>
      <c r="O651" s="26" t="s">
        <v>123</v>
      </c>
      <c r="P651" s="27"/>
    </row>
    <row r="652" customFormat="false" ht="25.5" hidden="false" customHeight="true" outlineLevel="0" collapsed="false">
      <c r="A652" s="26" t="n">
        <v>651</v>
      </c>
      <c r="B652" s="26" t="n">
        <v>6</v>
      </c>
      <c r="C652" s="26" t="s">
        <v>115</v>
      </c>
      <c r="D652" s="27" t="s">
        <v>1562</v>
      </c>
      <c r="E652" s="26" t="s">
        <v>1101</v>
      </c>
      <c r="F652" s="27" t="s">
        <v>1482</v>
      </c>
      <c r="G652" s="26" t="s">
        <v>505</v>
      </c>
      <c r="H652" s="26" t="s">
        <v>1483</v>
      </c>
      <c r="I652" s="27" t="s">
        <v>472</v>
      </c>
      <c r="J652" s="27" t="s">
        <v>1563</v>
      </c>
      <c r="K652" s="28" t="n">
        <f aca="false">ROUND((IF(E652="Transactional",5,IF(E652="Commercial",4,IF(E652="Comparison",3,IF(E652="Informational",2,3))))*LOG10(IF(ISNUMBER(L652),L652,IFERROR(VALUE(LEFT(F652,FIND("-",F652)-1)),100))+1))/IF(IF(ISBLANK(M652),G652,M652)="High",5,IF(IF(ISBLANK(M652),G652,M652)="Medium",3,1)),2)</f>
        <v>11.52</v>
      </c>
      <c r="L652" s="26"/>
      <c r="M652" s="26"/>
      <c r="N652" s="26"/>
      <c r="O652" s="26" t="s">
        <v>123</v>
      </c>
      <c r="P652" s="27"/>
    </row>
    <row r="653" customFormat="false" ht="25.5" hidden="false" customHeight="true" outlineLevel="0" collapsed="false">
      <c r="A653" s="26" t="n">
        <v>652</v>
      </c>
      <c r="B653" s="26" t="n">
        <v>6</v>
      </c>
      <c r="C653" s="26" t="s">
        <v>125</v>
      </c>
      <c r="D653" s="29" t="s">
        <v>1564</v>
      </c>
      <c r="E653" s="26" t="s">
        <v>1101</v>
      </c>
      <c r="F653" s="27" t="s">
        <v>1486</v>
      </c>
      <c r="G653" s="26" t="s">
        <v>505</v>
      </c>
      <c r="H653" s="26" t="s">
        <v>1483</v>
      </c>
      <c r="I653" s="27" t="s">
        <v>472</v>
      </c>
      <c r="J653" s="29" t="s">
        <v>1565</v>
      </c>
      <c r="K653" s="28" t="n">
        <f aca="false">ROUND((IF(E653="Transactional",5,IF(E653="Commercial",4,IF(E653="Comparison",3,IF(E653="Informational",2,3))))*LOG10(IF(ISNUMBER(L653),L653,IFERROR(VALUE(LEFT(F653,FIND("-",F653)-1)),100))+1))/IF(IF(ISBLANK(M653),G653,M653)="High",5,IF(IF(ISBLANK(M653),G653,M653)="Medium",3,1)),2)</f>
        <v>11.29</v>
      </c>
      <c r="L653" s="26"/>
      <c r="M653" s="26"/>
      <c r="N653" s="26"/>
      <c r="O653" s="26" t="s">
        <v>123</v>
      </c>
      <c r="P653" s="27"/>
    </row>
    <row r="654" customFormat="false" ht="25.5" hidden="false" customHeight="true" outlineLevel="0" collapsed="false">
      <c r="A654" s="26" t="n">
        <v>653</v>
      </c>
      <c r="B654" s="26" t="n">
        <v>6</v>
      </c>
      <c r="C654" s="26" t="s">
        <v>115</v>
      </c>
      <c r="D654" s="27" t="s">
        <v>1566</v>
      </c>
      <c r="E654" s="26" t="s">
        <v>1101</v>
      </c>
      <c r="F654" s="27" t="s">
        <v>1482</v>
      </c>
      <c r="G654" s="26" t="s">
        <v>505</v>
      </c>
      <c r="H654" s="26" t="s">
        <v>1483</v>
      </c>
      <c r="I654" s="27" t="s">
        <v>472</v>
      </c>
      <c r="J654" s="27" t="s">
        <v>1567</v>
      </c>
      <c r="K654" s="28" t="n">
        <f aca="false">ROUND((IF(E654="Transactional",5,IF(E654="Commercial",4,IF(E654="Comparison",3,IF(E654="Informational",2,3))))*LOG10(IF(ISNUMBER(L654),L654,IFERROR(VALUE(LEFT(F654,FIND("-",F654)-1)),100))+1))/IF(IF(ISBLANK(M654),G654,M654)="High",5,IF(IF(ISBLANK(M654),G654,M654)="Medium",3,1)),2)</f>
        <v>11.52</v>
      </c>
      <c r="L654" s="26"/>
      <c r="M654" s="26"/>
      <c r="N654" s="26"/>
      <c r="O654" s="26" t="s">
        <v>123</v>
      </c>
      <c r="P654" s="27"/>
    </row>
    <row r="655" customFormat="false" ht="25.5" hidden="false" customHeight="true" outlineLevel="0" collapsed="false">
      <c r="A655" s="26" t="n">
        <v>654</v>
      </c>
      <c r="B655" s="26" t="n">
        <v>6</v>
      </c>
      <c r="C655" s="26" t="s">
        <v>125</v>
      </c>
      <c r="D655" s="29" t="s">
        <v>1568</v>
      </c>
      <c r="E655" s="26" t="s">
        <v>1101</v>
      </c>
      <c r="F655" s="27" t="s">
        <v>1486</v>
      </c>
      <c r="G655" s="26" t="s">
        <v>505</v>
      </c>
      <c r="H655" s="26" t="s">
        <v>1483</v>
      </c>
      <c r="I655" s="27" t="s">
        <v>472</v>
      </c>
      <c r="J655" s="29" t="s">
        <v>1569</v>
      </c>
      <c r="K655" s="28" t="n">
        <f aca="false">ROUND((IF(E655="Transactional",5,IF(E655="Commercial",4,IF(E655="Comparison",3,IF(E655="Informational",2,3))))*LOG10(IF(ISNUMBER(L655),L655,IFERROR(VALUE(LEFT(F655,FIND("-",F655)-1)),100))+1))/IF(IF(ISBLANK(M655),G655,M655)="High",5,IF(IF(ISBLANK(M655),G655,M655)="Medium",3,1)),2)</f>
        <v>11.29</v>
      </c>
      <c r="L655" s="26"/>
      <c r="M655" s="26"/>
      <c r="N655" s="26"/>
      <c r="O655" s="26" t="s">
        <v>123</v>
      </c>
      <c r="P655" s="27"/>
    </row>
    <row r="656" customFormat="false" ht="25.5" hidden="false" customHeight="true" outlineLevel="0" collapsed="false">
      <c r="A656" s="26" t="n">
        <v>655</v>
      </c>
      <c r="B656" s="26" t="n">
        <v>6</v>
      </c>
      <c r="C656" s="26" t="s">
        <v>115</v>
      </c>
      <c r="D656" s="27" t="s">
        <v>1570</v>
      </c>
      <c r="E656" s="26" t="s">
        <v>1101</v>
      </c>
      <c r="F656" s="27" t="s">
        <v>1514</v>
      </c>
      <c r="G656" s="26" t="s">
        <v>505</v>
      </c>
      <c r="H656" s="26" t="s">
        <v>1483</v>
      </c>
      <c r="I656" s="27" t="s">
        <v>472</v>
      </c>
      <c r="J656" s="27" t="s">
        <v>1571</v>
      </c>
      <c r="K656" s="28" t="n">
        <f aca="false">ROUND((IF(E656="Transactional",5,IF(E656="Commercial",4,IF(E656="Comparison",3,IF(E656="Informational",2,3))))*LOG10(IF(ISNUMBER(L656),L656,IFERROR(VALUE(LEFT(F656,FIND("-",F656)-1)),100))+1))/IF(IF(ISBLANK(M656),G656,M656)="High",5,IF(IF(ISBLANK(M656),G656,M656)="Medium",3,1)),2)</f>
        <v>10.02</v>
      </c>
      <c r="L656" s="26"/>
      <c r="M656" s="26"/>
      <c r="N656" s="26"/>
      <c r="O656" s="26" t="s">
        <v>123</v>
      </c>
      <c r="P656" s="27"/>
    </row>
    <row r="657" customFormat="false" ht="25.5" hidden="false" customHeight="true" outlineLevel="0" collapsed="false">
      <c r="A657" s="26" t="n">
        <v>656</v>
      </c>
      <c r="B657" s="26" t="n">
        <v>6</v>
      </c>
      <c r="C657" s="26" t="s">
        <v>125</v>
      </c>
      <c r="D657" s="29" t="s">
        <v>1572</v>
      </c>
      <c r="E657" s="26" t="s">
        <v>1101</v>
      </c>
      <c r="F657" s="27" t="s">
        <v>1514</v>
      </c>
      <c r="G657" s="26" t="s">
        <v>505</v>
      </c>
      <c r="H657" s="26" t="s">
        <v>1483</v>
      </c>
      <c r="I657" s="27" t="s">
        <v>472</v>
      </c>
      <c r="J657" s="29" t="s">
        <v>1573</v>
      </c>
      <c r="K657" s="28" t="n">
        <f aca="false">ROUND((IF(E657="Transactional",5,IF(E657="Commercial",4,IF(E657="Comparison",3,IF(E657="Informational",2,3))))*LOG10(IF(ISNUMBER(L657),L657,IFERROR(VALUE(LEFT(F657,FIND("-",F657)-1)),100))+1))/IF(IF(ISBLANK(M657),G657,M657)="High",5,IF(IF(ISBLANK(M657),G657,M657)="Medium",3,1)),2)</f>
        <v>10.02</v>
      </c>
      <c r="L657" s="26"/>
      <c r="M657" s="26"/>
      <c r="N657" s="26"/>
      <c r="O657" s="26" t="s">
        <v>123</v>
      </c>
      <c r="P657" s="27"/>
    </row>
    <row r="658" customFormat="false" ht="25.5" hidden="false" customHeight="true" outlineLevel="0" collapsed="false">
      <c r="A658" s="30" t="n">
        <v>657</v>
      </c>
      <c r="B658" s="30" t="n">
        <v>7</v>
      </c>
      <c r="C658" s="30" t="s">
        <v>115</v>
      </c>
      <c r="D658" s="31" t="s">
        <v>1574</v>
      </c>
      <c r="E658" s="30" t="s">
        <v>117</v>
      </c>
      <c r="F658" s="31" t="s">
        <v>136</v>
      </c>
      <c r="G658" s="30" t="s">
        <v>505</v>
      </c>
      <c r="H658" s="30" t="s">
        <v>1575</v>
      </c>
      <c r="I658" s="31" t="s">
        <v>419</v>
      </c>
      <c r="J658" s="31" t="s">
        <v>1576</v>
      </c>
      <c r="K658" s="32" t="n">
        <f aca="false">ROUND((IF(E658="Transactional",5,IF(E658="Commercial",4,IF(E658="Comparison",3,IF(E658="Informational",2,3))))*LOG10(IF(ISNUMBER(L658),L658,IFERROR(VALUE(LEFT(F658,FIND("-",F658)-1)),100))+1))/IF(IF(ISBLANK(M658),G658,M658)="High",5,IF(IF(ISBLANK(M658),G658,M658)="Medium",3,1)),2)</f>
        <v>10.41</v>
      </c>
      <c r="L658" s="30"/>
      <c r="M658" s="30"/>
      <c r="N658" s="30"/>
      <c r="O658" s="30" t="s">
        <v>123</v>
      </c>
      <c r="P658" s="31"/>
    </row>
    <row r="659" customFormat="false" ht="25.5" hidden="false" customHeight="true" outlineLevel="0" collapsed="false">
      <c r="A659" s="30" t="n">
        <v>658</v>
      </c>
      <c r="B659" s="30" t="n">
        <v>7</v>
      </c>
      <c r="C659" s="30" t="s">
        <v>125</v>
      </c>
      <c r="D659" s="33" t="s">
        <v>1577</v>
      </c>
      <c r="E659" s="30" t="s">
        <v>117</v>
      </c>
      <c r="F659" s="31" t="s">
        <v>141</v>
      </c>
      <c r="G659" s="30" t="s">
        <v>505</v>
      </c>
      <c r="H659" s="30" t="s">
        <v>1575</v>
      </c>
      <c r="I659" s="31" t="s">
        <v>419</v>
      </c>
      <c r="J659" s="33" t="s">
        <v>1578</v>
      </c>
      <c r="K659" s="32" t="n">
        <f aca="false">ROUND((IF(E659="Transactional",5,IF(E659="Commercial",4,IF(E659="Comparison",3,IF(E659="Informational",2,3))))*LOG10(IF(ISNUMBER(L659),L659,IFERROR(VALUE(LEFT(F659,FIND("-",F659)-1)),100))+1))/IF(IF(ISBLANK(M659),G659,M659)="High",5,IF(IF(ISBLANK(M659),G659,M659)="Medium",3,1)),2)</f>
        <v>10.18</v>
      </c>
      <c r="L659" s="30"/>
      <c r="M659" s="30"/>
      <c r="N659" s="30"/>
      <c r="O659" s="30" t="s">
        <v>123</v>
      </c>
      <c r="P659" s="31"/>
    </row>
    <row r="660" customFormat="false" ht="25.5" hidden="false" customHeight="true" outlineLevel="0" collapsed="false">
      <c r="A660" s="30" t="n">
        <v>659</v>
      </c>
      <c r="B660" s="30" t="n">
        <v>7</v>
      </c>
      <c r="C660" s="30" t="s">
        <v>115</v>
      </c>
      <c r="D660" s="31" t="s">
        <v>1579</v>
      </c>
      <c r="E660" s="30" t="s">
        <v>117</v>
      </c>
      <c r="F660" s="31" t="s">
        <v>994</v>
      </c>
      <c r="G660" s="30" t="s">
        <v>505</v>
      </c>
      <c r="H660" s="30" t="s">
        <v>1575</v>
      </c>
      <c r="I660" s="31" t="s">
        <v>419</v>
      </c>
      <c r="J660" s="31" t="s">
        <v>1580</v>
      </c>
      <c r="K660" s="32" t="n">
        <f aca="false">ROUND((IF(E660="Transactional",5,IF(E660="Commercial",4,IF(E660="Comparison",3,IF(E660="Informational",2,3))))*LOG10(IF(ISNUMBER(L660),L660,IFERROR(VALUE(LEFT(F660,FIND("-",F660)-1)),100))+1))/IF(IF(ISBLANK(M660),G660,M660)="High",5,IF(IF(ISBLANK(M660),G660,M660)="Medium",3,1)),2)</f>
        <v>9.6</v>
      </c>
      <c r="L660" s="30"/>
      <c r="M660" s="30"/>
      <c r="N660" s="30"/>
      <c r="O660" s="30" t="s">
        <v>123</v>
      </c>
      <c r="P660" s="31"/>
    </row>
    <row r="661" customFormat="false" ht="25.5" hidden="false" customHeight="true" outlineLevel="0" collapsed="false">
      <c r="A661" s="30" t="n">
        <v>660</v>
      </c>
      <c r="B661" s="30" t="n">
        <v>7</v>
      </c>
      <c r="C661" s="30" t="s">
        <v>125</v>
      </c>
      <c r="D661" s="33" t="s">
        <v>1581</v>
      </c>
      <c r="E661" s="30" t="s">
        <v>117</v>
      </c>
      <c r="F661" s="31" t="s">
        <v>997</v>
      </c>
      <c r="G661" s="30" t="s">
        <v>505</v>
      </c>
      <c r="H661" s="30" t="s">
        <v>1575</v>
      </c>
      <c r="I661" s="31" t="s">
        <v>419</v>
      </c>
      <c r="J661" s="33" t="s">
        <v>1582</v>
      </c>
      <c r="K661" s="32" t="n">
        <f aca="false">ROUND((IF(E661="Transactional",5,IF(E661="Commercial",4,IF(E661="Comparison",3,IF(E661="Informational",2,3))))*LOG10(IF(ISNUMBER(L661),L661,IFERROR(VALUE(LEFT(F661,FIND("-",F661)-1)),100))+1))/IF(IF(ISBLANK(M661),G661,M661)="High",5,IF(IF(ISBLANK(M661),G661,M661)="Medium",3,1)),2)</f>
        <v>9.21</v>
      </c>
      <c r="L661" s="30"/>
      <c r="M661" s="30"/>
      <c r="N661" s="30"/>
      <c r="O661" s="30" t="s">
        <v>123</v>
      </c>
      <c r="P661" s="31"/>
    </row>
    <row r="662" customFormat="false" ht="25.5" hidden="false" customHeight="true" outlineLevel="0" collapsed="false">
      <c r="A662" s="30" t="n">
        <v>661</v>
      </c>
      <c r="B662" s="30" t="n">
        <v>7</v>
      </c>
      <c r="C662" s="30" t="s">
        <v>115</v>
      </c>
      <c r="D662" s="31" t="s">
        <v>1583</v>
      </c>
      <c r="E662" s="30" t="s">
        <v>117</v>
      </c>
      <c r="F662" s="31" t="s">
        <v>994</v>
      </c>
      <c r="G662" s="30" t="s">
        <v>505</v>
      </c>
      <c r="H662" s="30" t="s">
        <v>1575</v>
      </c>
      <c r="I662" s="31" t="s">
        <v>419</v>
      </c>
      <c r="J662" s="31" t="s">
        <v>1584</v>
      </c>
      <c r="K662" s="32" t="n">
        <f aca="false">ROUND((IF(E662="Transactional",5,IF(E662="Commercial",4,IF(E662="Comparison",3,IF(E662="Informational",2,3))))*LOG10(IF(ISNUMBER(L662),L662,IFERROR(VALUE(LEFT(F662,FIND("-",F662)-1)),100))+1))/IF(IF(ISBLANK(M662),G662,M662)="High",5,IF(IF(ISBLANK(M662),G662,M662)="Medium",3,1)),2)</f>
        <v>9.6</v>
      </c>
      <c r="L662" s="30"/>
      <c r="M662" s="30"/>
      <c r="N662" s="30"/>
      <c r="O662" s="30" t="s">
        <v>123</v>
      </c>
      <c r="P662" s="31"/>
    </row>
    <row r="663" customFormat="false" ht="25.5" hidden="false" customHeight="true" outlineLevel="0" collapsed="false">
      <c r="A663" s="30" t="n">
        <v>662</v>
      </c>
      <c r="B663" s="30" t="n">
        <v>7</v>
      </c>
      <c r="C663" s="30" t="s">
        <v>125</v>
      </c>
      <c r="D663" s="33" t="s">
        <v>1585</v>
      </c>
      <c r="E663" s="30" t="s">
        <v>117</v>
      </c>
      <c r="F663" s="31" t="s">
        <v>997</v>
      </c>
      <c r="G663" s="30" t="s">
        <v>505</v>
      </c>
      <c r="H663" s="30" t="s">
        <v>1575</v>
      </c>
      <c r="I663" s="31" t="s">
        <v>419</v>
      </c>
      <c r="J663" s="33" t="s">
        <v>1586</v>
      </c>
      <c r="K663" s="32" t="n">
        <f aca="false">ROUND((IF(E663="Transactional",5,IF(E663="Commercial",4,IF(E663="Comparison",3,IF(E663="Informational",2,3))))*LOG10(IF(ISNUMBER(L663),L663,IFERROR(VALUE(LEFT(F663,FIND("-",F663)-1)),100))+1))/IF(IF(ISBLANK(M663),G663,M663)="High",5,IF(IF(ISBLANK(M663),G663,M663)="Medium",3,1)),2)</f>
        <v>9.21</v>
      </c>
      <c r="L663" s="30"/>
      <c r="M663" s="30"/>
      <c r="N663" s="30"/>
      <c r="O663" s="30" t="s">
        <v>123</v>
      </c>
      <c r="P663" s="31"/>
    </row>
    <row r="664" customFormat="false" ht="25.5" hidden="false" customHeight="true" outlineLevel="0" collapsed="false">
      <c r="A664" s="30" t="n">
        <v>663</v>
      </c>
      <c r="B664" s="30" t="n">
        <v>7</v>
      </c>
      <c r="C664" s="30" t="s">
        <v>115</v>
      </c>
      <c r="D664" s="31" t="s">
        <v>1587</v>
      </c>
      <c r="E664" s="30" t="s">
        <v>117</v>
      </c>
      <c r="F664" s="31" t="s">
        <v>1588</v>
      </c>
      <c r="G664" s="30" t="s">
        <v>505</v>
      </c>
      <c r="H664" s="30" t="s">
        <v>1575</v>
      </c>
      <c r="I664" s="31" t="s">
        <v>419</v>
      </c>
      <c r="J664" s="31" t="s">
        <v>1589</v>
      </c>
      <c r="K664" s="32" t="n">
        <f aca="false">ROUND((IF(E664="Transactional",5,IF(E664="Commercial",4,IF(E664="Comparison",3,IF(E664="Informational",2,3))))*LOG10(IF(ISNUMBER(L664),L664,IFERROR(VALUE(LEFT(F664,FIND("-",F664)-1)),100))+1))/IF(IF(ISBLANK(M664),G664,M664)="High",5,IF(IF(ISBLANK(M664),G664,M664)="Medium",3,1)),2)</f>
        <v>8.33</v>
      </c>
      <c r="L664" s="30"/>
      <c r="M664" s="30"/>
      <c r="N664" s="30"/>
      <c r="O664" s="30" t="s">
        <v>123</v>
      </c>
      <c r="P664" s="31"/>
    </row>
    <row r="665" customFormat="false" ht="25.5" hidden="false" customHeight="true" outlineLevel="0" collapsed="false">
      <c r="A665" s="30" t="n">
        <v>664</v>
      </c>
      <c r="B665" s="30" t="n">
        <v>7</v>
      </c>
      <c r="C665" s="30" t="s">
        <v>125</v>
      </c>
      <c r="D665" s="33" t="s">
        <v>1590</v>
      </c>
      <c r="E665" s="30" t="s">
        <v>117</v>
      </c>
      <c r="F665" s="31" t="s">
        <v>1514</v>
      </c>
      <c r="G665" s="30" t="s">
        <v>505</v>
      </c>
      <c r="H665" s="30" t="s">
        <v>1575</v>
      </c>
      <c r="I665" s="31" t="s">
        <v>419</v>
      </c>
      <c r="J665" s="33" t="s">
        <v>1591</v>
      </c>
      <c r="K665" s="32" t="n">
        <f aca="false">ROUND((IF(E665="Transactional",5,IF(E665="Commercial",4,IF(E665="Comparison",3,IF(E665="Informational",2,3))))*LOG10(IF(ISNUMBER(L665),L665,IFERROR(VALUE(LEFT(F665,FIND("-",F665)-1)),100))+1))/IF(IF(ISBLANK(M665),G665,M665)="High",5,IF(IF(ISBLANK(M665),G665,M665)="Medium",3,1)),2)</f>
        <v>8.02</v>
      </c>
      <c r="L665" s="30"/>
      <c r="M665" s="30"/>
      <c r="N665" s="30"/>
      <c r="O665" s="30" t="s">
        <v>123</v>
      </c>
      <c r="P665" s="31"/>
    </row>
    <row r="666" customFormat="false" ht="25.5" hidden="false" customHeight="true" outlineLevel="0" collapsed="false">
      <c r="A666" s="30" t="n">
        <v>665</v>
      </c>
      <c r="B666" s="30" t="n">
        <v>7</v>
      </c>
      <c r="C666" s="30" t="s">
        <v>115</v>
      </c>
      <c r="D666" s="31" t="s">
        <v>1592</v>
      </c>
      <c r="E666" s="30" t="s">
        <v>117</v>
      </c>
      <c r="F666" s="31" t="s">
        <v>994</v>
      </c>
      <c r="G666" s="30" t="s">
        <v>505</v>
      </c>
      <c r="H666" s="30" t="s">
        <v>1575</v>
      </c>
      <c r="I666" s="31" t="s">
        <v>419</v>
      </c>
      <c r="J666" s="31" t="s">
        <v>1593</v>
      </c>
      <c r="K666" s="32" t="n">
        <f aca="false">ROUND((IF(E666="Transactional",5,IF(E666="Commercial",4,IF(E666="Comparison",3,IF(E666="Informational",2,3))))*LOG10(IF(ISNUMBER(L666),L666,IFERROR(VALUE(LEFT(F666,FIND("-",F666)-1)),100))+1))/IF(IF(ISBLANK(M666),G666,M666)="High",5,IF(IF(ISBLANK(M666),G666,M666)="Medium",3,1)),2)</f>
        <v>9.6</v>
      </c>
      <c r="L666" s="30"/>
      <c r="M666" s="30"/>
      <c r="N666" s="30"/>
      <c r="O666" s="30" t="s">
        <v>123</v>
      </c>
      <c r="P666" s="31"/>
    </row>
    <row r="667" customFormat="false" ht="25.5" hidden="false" customHeight="true" outlineLevel="0" collapsed="false">
      <c r="A667" s="30" t="n">
        <v>666</v>
      </c>
      <c r="B667" s="30" t="n">
        <v>7</v>
      </c>
      <c r="C667" s="30" t="s">
        <v>125</v>
      </c>
      <c r="D667" s="33" t="s">
        <v>1594</v>
      </c>
      <c r="E667" s="30" t="s">
        <v>117</v>
      </c>
      <c r="F667" s="31" t="s">
        <v>997</v>
      </c>
      <c r="G667" s="30" t="s">
        <v>505</v>
      </c>
      <c r="H667" s="30" t="s">
        <v>1575</v>
      </c>
      <c r="I667" s="31" t="s">
        <v>419</v>
      </c>
      <c r="J667" s="33" t="s">
        <v>1595</v>
      </c>
      <c r="K667" s="32" t="n">
        <f aca="false">ROUND((IF(E667="Transactional",5,IF(E667="Commercial",4,IF(E667="Comparison",3,IF(E667="Informational",2,3))))*LOG10(IF(ISNUMBER(L667),L667,IFERROR(VALUE(LEFT(F667,FIND("-",F667)-1)),100))+1))/IF(IF(ISBLANK(M667),G667,M667)="High",5,IF(IF(ISBLANK(M667),G667,M667)="Medium",3,1)),2)</f>
        <v>9.21</v>
      </c>
      <c r="L667" s="30"/>
      <c r="M667" s="30"/>
      <c r="N667" s="30"/>
      <c r="O667" s="30" t="s">
        <v>123</v>
      </c>
      <c r="P667" s="31"/>
    </row>
    <row r="668" customFormat="false" ht="25.5" hidden="false" customHeight="true" outlineLevel="0" collapsed="false">
      <c r="A668" s="30" t="n">
        <v>667</v>
      </c>
      <c r="B668" s="30" t="n">
        <v>7</v>
      </c>
      <c r="C668" s="30" t="s">
        <v>115</v>
      </c>
      <c r="D668" s="31" t="s">
        <v>1596</v>
      </c>
      <c r="E668" s="30" t="s">
        <v>117</v>
      </c>
      <c r="F668" s="31" t="s">
        <v>994</v>
      </c>
      <c r="G668" s="30" t="s">
        <v>505</v>
      </c>
      <c r="H668" s="30" t="s">
        <v>1575</v>
      </c>
      <c r="I668" s="31" t="s">
        <v>419</v>
      </c>
      <c r="J668" s="31" t="s">
        <v>1597</v>
      </c>
      <c r="K668" s="32" t="n">
        <f aca="false">ROUND((IF(E668="Transactional",5,IF(E668="Commercial",4,IF(E668="Comparison",3,IF(E668="Informational",2,3))))*LOG10(IF(ISNUMBER(L668),L668,IFERROR(VALUE(LEFT(F668,FIND("-",F668)-1)),100))+1))/IF(IF(ISBLANK(M668),G668,M668)="High",5,IF(IF(ISBLANK(M668),G668,M668)="Medium",3,1)),2)</f>
        <v>9.6</v>
      </c>
      <c r="L668" s="30"/>
      <c r="M668" s="30"/>
      <c r="N668" s="30"/>
      <c r="O668" s="30" t="s">
        <v>123</v>
      </c>
      <c r="P668" s="31"/>
    </row>
    <row r="669" customFormat="false" ht="25.5" hidden="false" customHeight="true" outlineLevel="0" collapsed="false">
      <c r="A669" s="30" t="n">
        <v>668</v>
      </c>
      <c r="B669" s="30" t="n">
        <v>7</v>
      </c>
      <c r="C669" s="30" t="s">
        <v>125</v>
      </c>
      <c r="D669" s="33" t="s">
        <v>1598</v>
      </c>
      <c r="E669" s="30" t="s">
        <v>117</v>
      </c>
      <c r="F669" s="31" t="s">
        <v>997</v>
      </c>
      <c r="G669" s="30" t="s">
        <v>505</v>
      </c>
      <c r="H669" s="30" t="s">
        <v>1575</v>
      </c>
      <c r="I669" s="31" t="s">
        <v>419</v>
      </c>
      <c r="J669" s="33" t="s">
        <v>1599</v>
      </c>
      <c r="K669" s="32" t="n">
        <f aca="false">ROUND((IF(E669="Transactional",5,IF(E669="Commercial",4,IF(E669="Comparison",3,IF(E669="Informational",2,3))))*LOG10(IF(ISNUMBER(L669),L669,IFERROR(VALUE(LEFT(F669,FIND("-",F669)-1)),100))+1))/IF(IF(ISBLANK(M669),G669,M669)="High",5,IF(IF(ISBLANK(M669),G669,M669)="Medium",3,1)),2)</f>
        <v>9.21</v>
      </c>
      <c r="L669" s="30"/>
      <c r="M669" s="30"/>
      <c r="N669" s="30"/>
      <c r="O669" s="30" t="s">
        <v>123</v>
      </c>
      <c r="P669" s="31"/>
    </row>
    <row r="670" customFormat="false" ht="25.5" hidden="false" customHeight="true" outlineLevel="0" collapsed="false">
      <c r="A670" s="30" t="n">
        <v>669</v>
      </c>
      <c r="B670" s="30" t="n">
        <v>7</v>
      </c>
      <c r="C670" s="30" t="s">
        <v>115</v>
      </c>
      <c r="D670" s="31" t="s">
        <v>1600</v>
      </c>
      <c r="E670" s="30" t="s">
        <v>117</v>
      </c>
      <c r="F670" s="31" t="s">
        <v>1588</v>
      </c>
      <c r="G670" s="30" t="s">
        <v>505</v>
      </c>
      <c r="H670" s="30" t="s">
        <v>1575</v>
      </c>
      <c r="I670" s="31" t="s">
        <v>419</v>
      </c>
      <c r="J670" s="31" t="s">
        <v>1601</v>
      </c>
      <c r="K670" s="32" t="n">
        <f aca="false">ROUND((IF(E670="Transactional",5,IF(E670="Commercial",4,IF(E670="Comparison",3,IF(E670="Informational",2,3))))*LOG10(IF(ISNUMBER(L670),L670,IFERROR(VALUE(LEFT(F670,FIND("-",F670)-1)),100))+1))/IF(IF(ISBLANK(M670),G670,M670)="High",5,IF(IF(ISBLANK(M670),G670,M670)="Medium",3,1)),2)</f>
        <v>8.33</v>
      </c>
      <c r="L670" s="30"/>
      <c r="M670" s="30"/>
      <c r="N670" s="30"/>
      <c r="O670" s="30" t="s">
        <v>123</v>
      </c>
      <c r="P670" s="31"/>
    </row>
    <row r="671" customFormat="false" ht="25.5" hidden="false" customHeight="true" outlineLevel="0" collapsed="false">
      <c r="A671" s="30" t="n">
        <v>670</v>
      </c>
      <c r="B671" s="30" t="n">
        <v>7</v>
      </c>
      <c r="C671" s="30" t="s">
        <v>125</v>
      </c>
      <c r="D671" s="33" t="s">
        <v>1602</v>
      </c>
      <c r="E671" s="30" t="s">
        <v>117</v>
      </c>
      <c r="F671" s="31" t="s">
        <v>1514</v>
      </c>
      <c r="G671" s="30" t="s">
        <v>505</v>
      </c>
      <c r="H671" s="30" t="s">
        <v>1575</v>
      </c>
      <c r="I671" s="31" t="s">
        <v>419</v>
      </c>
      <c r="J671" s="33" t="s">
        <v>1603</v>
      </c>
      <c r="K671" s="32" t="n">
        <f aca="false">ROUND((IF(E671="Transactional",5,IF(E671="Commercial",4,IF(E671="Comparison",3,IF(E671="Informational",2,3))))*LOG10(IF(ISNUMBER(L671),L671,IFERROR(VALUE(LEFT(F671,FIND("-",F671)-1)),100))+1))/IF(IF(ISBLANK(M671),G671,M671)="High",5,IF(IF(ISBLANK(M671),G671,M671)="Medium",3,1)),2)</f>
        <v>8.02</v>
      </c>
      <c r="L671" s="30"/>
      <c r="M671" s="30"/>
      <c r="N671" s="30"/>
      <c r="O671" s="30" t="s">
        <v>123</v>
      </c>
      <c r="P671" s="31"/>
    </row>
    <row r="672" customFormat="false" ht="25.5" hidden="false" customHeight="true" outlineLevel="0" collapsed="false">
      <c r="A672" s="30" t="n">
        <v>671</v>
      </c>
      <c r="B672" s="30" t="n">
        <v>7</v>
      </c>
      <c r="C672" s="30" t="s">
        <v>115</v>
      </c>
      <c r="D672" s="31" t="s">
        <v>1604</v>
      </c>
      <c r="E672" s="30" t="s">
        <v>117</v>
      </c>
      <c r="F672" s="31" t="s">
        <v>1588</v>
      </c>
      <c r="G672" s="30" t="s">
        <v>505</v>
      </c>
      <c r="H672" s="30" t="s">
        <v>1575</v>
      </c>
      <c r="I672" s="31" t="s">
        <v>419</v>
      </c>
      <c r="J672" s="31" t="s">
        <v>1605</v>
      </c>
      <c r="K672" s="32" t="n">
        <f aca="false">ROUND((IF(E672="Transactional",5,IF(E672="Commercial",4,IF(E672="Comparison",3,IF(E672="Informational",2,3))))*LOG10(IF(ISNUMBER(L672),L672,IFERROR(VALUE(LEFT(F672,FIND("-",F672)-1)),100))+1))/IF(IF(ISBLANK(M672),G672,M672)="High",5,IF(IF(ISBLANK(M672),G672,M672)="Medium",3,1)),2)</f>
        <v>8.33</v>
      </c>
      <c r="L672" s="30"/>
      <c r="M672" s="30"/>
      <c r="N672" s="30"/>
      <c r="O672" s="30" t="s">
        <v>123</v>
      </c>
      <c r="P672" s="31"/>
    </row>
    <row r="673" customFormat="false" ht="25.5" hidden="false" customHeight="true" outlineLevel="0" collapsed="false">
      <c r="A673" s="30" t="n">
        <v>672</v>
      </c>
      <c r="B673" s="30" t="n">
        <v>7</v>
      </c>
      <c r="C673" s="30" t="s">
        <v>125</v>
      </c>
      <c r="D673" s="33" t="s">
        <v>1606</v>
      </c>
      <c r="E673" s="30" t="s">
        <v>117</v>
      </c>
      <c r="F673" s="31" t="s">
        <v>1514</v>
      </c>
      <c r="G673" s="30" t="s">
        <v>505</v>
      </c>
      <c r="H673" s="30" t="s">
        <v>1575</v>
      </c>
      <c r="I673" s="31" t="s">
        <v>419</v>
      </c>
      <c r="J673" s="33" t="s">
        <v>1607</v>
      </c>
      <c r="K673" s="32" t="n">
        <f aca="false">ROUND((IF(E673="Transactional",5,IF(E673="Commercial",4,IF(E673="Comparison",3,IF(E673="Informational",2,3))))*LOG10(IF(ISNUMBER(L673),L673,IFERROR(VALUE(LEFT(F673,FIND("-",F673)-1)),100))+1))/IF(IF(ISBLANK(M673),G673,M673)="High",5,IF(IF(ISBLANK(M673),G673,M673)="Medium",3,1)),2)</f>
        <v>8.02</v>
      </c>
      <c r="L673" s="30"/>
      <c r="M673" s="30"/>
      <c r="N673" s="30"/>
      <c r="O673" s="30" t="s">
        <v>123</v>
      </c>
      <c r="P673" s="31"/>
    </row>
    <row r="674" customFormat="false" ht="25.5" hidden="false" customHeight="true" outlineLevel="0" collapsed="false">
      <c r="A674" s="30" t="n">
        <v>673</v>
      </c>
      <c r="B674" s="30" t="n">
        <v>7</v>
      </c>
      <c r="C674" s="30" t="s">
        <v>115</v>
      </c>
      <c r="D674" s="31" t="s">
        <v>1608</v>
      </c>
      <c r="E674" s="30" t="s">
        <v>117</v>
      </c>
      <c r="F674" s="31" t="s">
        <v>994</v>
      </c>
      <c r="G674" s="30" t="s">
        <v>505</v>
      </c>
      <c r="H674" s="30" t="s">
        <v>1575</v>
      </c>
      <c r="I674" s="31" t="s">
        <v>419</v>
      </c>
      <c r="J674" s="31" t="s">
        <v>1609</v>
      </c>
      <c r="K674" s="32" t="n">
        <f aca="false">ROUND((IF(E674="Transactional",5,IF(E674="Commercial",4,IF(E674="Comparison",3,IF(E674="Informational",2,3))))*LOG10(IF(ISNUMBER(L674),L674,IFERROR(VALUE(LEFT(F674,FIND("-",F674)-1)),100))+1))/IF(IF(ISBLANK(M674),G674,M674)="High",5,IF(IF(ISBLANK(M674),G674,M674)="Medium",3,1)),2)</f>
        <v>9.6</v>
      </c>
      <c r="L674" s="30"/>
      <c r="M674" s="30"/>
      <c r="N674" s="30"/>
      <c r="O674" s="30" t="s">
        <v>123</v>
      </c>
      <c r="P674" s="31"/>
    </row>
    <row r="675" customFormat="false" ht="25.5" hidden="false" customHeight="true" outlineLevel="0" collapsed="false">
      <c r="A675" s="30" t="n">
        <v>674</v>
      </c>
      <c r="B675" s="30" t="n">
        <v>7</v>
      </c>
      <c r="C675" s="30" t="s">
        <v>125</v>
      </c>
      <c r="D675" s="33" t="s">
        <v>1610</v>
      </c>
      <c r="E675" s="30" t="s">
        <v>117</v>
      </c>
      <c r="F675" s="31" t="s">
        <v>997</v>
      </c>
      <c r="G675" s="30" t="s">
        <v>505</v>
      </c>
      <c r="H675" s="30" t="s">
        <v>1575</v>
      </c>
      <c r="I675" s="31" t="s">
        <v>419</v>
      </c>
      <c r="J675" s="33" t="s">
        <v>1611</v>
      </c>
      <c r="K675" s="32" t="n">
        <f aca="false">ROUND((IF(E675="Transactional",5,IF(E675="Commercial",4,IF(E675="Comparison",3,IF(E675="Informational",2,3))))*LOG10(IF(ISNUMBER(L675),L675,IFERROR(VALUE(LEFT(F675,FIND("-",F675)-1)),100))+1))/IF(IF(ISBLANK(M675),G675,M675)="High",5,IF(IF(ISBLANK(M675),G675,M675)="Medium",3,1)),2)</f>
        <v>9.21</v>
      </c>
      <c r="L675" s="30"/>
      <c r="M675" s="30"/>
      <c r="N675" s="30"/>
      <c r="O675" s="30" t="s">
        <v>123</v>
      </c>
      <c r="P675" s="31"/>
    </row>
    <row r="676" customFormat="false" ht="25.5" hidden="false" customHeight="true" outlineLevel="0" collapsed="false">
      <c r="A676" s="30" t="n">
        <v>675</v>
      </c>
      <c r="B676" s="30" t="n">
        <v>7</v>
      </c>
      <c r="C676" s="30" t="s">
        <v>115</v>
      </c>
      <c r="D676" s="31" t="s">
        <v>1612</v>
      </c>
      <c r="E676" s="30" t="s">
        <v>117</v>
      </c>
      <c r="F676" s="31" t="s">
        <v>136</v>
      </c>
      <c r="G676" s="30" t="s">
        <v>505</v>
      </c>
      <c r="H676" s="30" t="s">
        <v>1575</v>
      </c>
      <c r="I676" s="31" t="s">
        <v>403</v>
      </c>
      <c r="J676" s="31" t="s">
        <v>1613</v>
      </c>
      <c r="K676" s="32" t="n">
        <f aca="false">ROUND((IF(E676="Transactional",5,IF(E676="Commercial",4,IF(E676="Comparison",3,IF(E676="Informational",2,3))))*LOG10(IF(ISNUMBER(L676),L676,IFERROR(VALUE(LEFT(F676,FIND("-",F676)-1)),100))+1))/IF(IF(ISBLANK(M676),G676,M676)="High",5,IF(IF(ISBLANK(M676),G676,M676)="Medium",3,1)),2)</f>
        <v>10.41</v>
      </c>
      <c r="L676" s="30"/>
      <c r="M676" s="30"/>
      <c r="N676" s="30"/>
      <c r="O676" s="30" t="s">
        <v>123</v>
      </c>
      <c r="P676" s="31"/>
    </row>
    <row r="677" customFormat="false" ht="25.5" hidden="false" customHeight="true" outlineLevel="0" collapsed="false">
      <c r="A677" s="30" t="n">
        <v>676</v>
      </c>
      <c r="B677" s="30" t="n">
        <v>7</v>
      </c>
      <c r="C677" s="30" t="s">
        <v>125</v>
      </c>
      <c r="D677" s="33" t="s">
        <v>1614</v>
      </c>
      <c r="E677" s="30" t="s">
        <v>117</v>
      </c>
      <c r="F677" s="31" t="s">
        <v>141</v>
      </c>
      <c r="G677" s="30" t="s">
        <v>505</v>
      </c>
      <c r="H677" s="30" t="s">
        <v>1575</v>
      </c>
      <c r="I677" s="31" t="s">
        <v>403</v>
      </c>
      <c r="J677" s="33" t="s">
        <v>1615</v>
      </c>
      <c r="K677" s="32" t="n">
        <f aca="false">ROUND((IF(E677="Transactional",5,IF(E677="Commercial",4,IF(E677="Comparison",3,IF(E677="Informational",2,3))))*LOG10(IF(ISNUMBER(L677),L677,IFERROR(VALUE(LEFT(F677,FIND("-",F677)-1)),100))+1))/IF(IF(ISBLANK(M677),G677,M677)="High",5,IF(IF(ISBLANK(M677),G677,M677)="Medium",3,1)),2)</f>
        <v>10.18</v>
      </c>
      <c r="L677" s="30"/>
      <c r="M677" s="30"/>
      <c r="N677" s="30"/>
      <c r="O677" s="30" t="s">
        <v>123</v>
      </c>
      <c r="P677" s="31"/>
    </row>
    <row r="678" customFormat="false" ht="25.5" hidden="false" customHeight="true" outlineLevel="0" collapsed="false">
      <c r="A678" s="30" t="n">
        <v>677</v>
      </c>
      <c r="B678" s="30" t="n">
        <v>7</v>
      </c>
      <c r="C678" s="30" t="s">
        <v>115</v>
      </c>
      <c r="D678" s="31" t="s">
        <v>1616</v>
      </c>
      <c r="E678" s="30" t="s">
        <v>117</v>
      </c>
      <c r="F678" s="31" t="s">
        <v>136</v>
      </c>
      <c r="G678" s="30" t="s">
        <v>505</v>
      </c>
      <c r="H678" s="30" t="s">
        <v>1575</v>
      </c>
      <c r="I678" s="31" t="s">
        <v>403</v>
      </c>
      <c r="J678" s="31" t="s">
        <v>1617</v>
      </c>
      <c r="K678" s="32" t="n">
        <f aca="false">ROUND((IF(E678="Transactional",5,IF(E678="Commercial",4,IF(E678="Comparison",3,IF(E678="Informational",2,3))))*LOG10(IF(ISNUMBER(L678),L678,IFERROR(VALUE(LEFT(F678,FIND("-",F678)-1)),100))+1))/IF(IF(ISBLANK(M678),G678,M678)="High",5,IF(IF(ISBLANK(M678),G678,M678)="Medium",3,1)),2)</f>
        <v>10.41</v>
      </c>
      <c r="L678" s="30"/>
      <c r="M678" s="30"/>
      <c r="N678" s="30"/>
      <c r="O678" s="30" t="s">
        <v>123</v>
      </c>
      <c r="P678" s="31"/>
    </row>
    <row r="679" customFormat="false" ht="25.5" hidden="false" customHeight="true" outlineLevel="0" collapsed="false">
      <c r="A679" s="30" t="n">
        <v>678</v>
      </c>
      <c r="B679" s="30" t="n">
        <v>7</v>
      </c>
      <c r="C679" s="30" t="s">
        <v>125</v>
      </c>
      <c r="D679" s="33" t="s">
        <v>1618</v>
      </c>
      <c r="E679" s="30" t="s">
        <v>117</v>
      </c>
      <c r="F679" s="31" t="s">
        <v>141</v>
      </c>
      <c r="G679" s="30" t="s">
        <v>505</v>
      </c>
      <c r="H679" s="30" t="s">
        <v>1575</v>
      </c>
      <c r="I679" s="31" t="s">
        <v>403</v>
      </c>
      <c r="J679" s="33" t="s">
        <v>1619</v>
      </c>
      <c r="K679" s="32" t="n">
        <f aca="false">ROUND((IF(E679="Transactional",5,IF(E679="Commercial",4,IF(E679="Comparison",3,IF(E679="Informational",2,3))))*LOG10(IF(ISNUMBER(L679),L679,IFERROR(VALUE(LEFT(F679,FIND("-",F679)-1)),100))+1))/IF(IF(ISBLANK(M679),G679,M679)="High",5,IF(IF(ISBLANK(M679),G679,M679)="Medium",3,1)),2)</f>
        <v>10.18</v>
      </c>
      <c r="L679" s="30"/>
      <c r="M679" s="30"/>
      <c r="N679" s="30"/>
      <c r="O679" s="30" t="s">
        <v>123</v>
      </c>
      <c r="P679" s="31"/>
    </row>
    <row r="680" customFormat="false" ht="25.5" hidden="false" customHeight="true" outlineLevel="0" collapsed="false">
      <c r="A680" s="30" t="n">
        <v>679</v>
      </c>
      <c r="B680" s="30" t="n">
        <v>7</v>
      </c>
      <c r="C680" s="30" t="s">
        <v>115</v>
      </c>
      <c r="D680" s="31" t="s">
        <v>1620</v>
      </c>
      <c r="E680" s="30" t="s">
        <v>117</v>
      </c>
      <c r="F680" s="31" t="s">
        <v>994</v>
      </c>
      <c r="G680" s="30" t="s">
        <v>505</v>
      </c>
      <c r="H680" s="30" t="s">
        <v>1575</v>
      </c>
      <c r="I680" s="31" t="s">
        <v>403</v>
      </c>
      <c r="J680" s="31" t="s">
        <v>1621</v>
      </c>
      <c r="K680" s="32" t="n">
        <f aca="false">ROUND((IF(E680="Transactional",5,IF(E680="Commercial",4,IF(E680="Comparison",3,IF(E680="Informational",2,3))))*LOG10(IF(ISNUMBER(L680),L680,IFERROR(VALUE(LEFT(F680,FIND("-",F680)-1)),100))+1))/IF(IF(ISBLANK(M680),G680,M680)="High",5,IF(IF(ISBLANK(M680),G680,M680)="Medium",3,1)),2)</f>
        <v>9.6</v>
      </c>
      <c r="L680" s="30"/>
      <c r="M680" s="30"/>
      <c r="N680" s="30"/>
      <c r="O680" s="30" t="s">
        <v>123</v>
      </c>
      <c r="P680" s="31"/>
    </row>
    <row r="681" customFormat="false" ht="25.5" hidden="false" customHeight="true" outlineLevel="0" collapsed="false">
      <c r="A681" s="30" t="n">
        <v>680</v>
      </c>
      <c r="B681" s="30" t="n">
        <v>7</v>
      </c>
      <c r="C681" s="30" t="s">
        <v>125</v>
      </c>
      <c r="D681" s="33" t="s">
        <v>1622</v>
      </c>
      <c r="E681" s="30" t="s">
        <v>117</v>
      </c>
      <c r="F681" s="31" t="s">
        <v>997</v>
      </c>
      <c r="G681" s="30" t="s">
        <v>505</v>
      </c>
      <c r="H681" s="30" t="s">
        <v>1575</v>
      </c>
      <c r="I681" s="31" t="s">
        <v>403</v>
      </c>
      <c r="J681" s="33" t="s">
        <v>1623</v>
      </c>
      <c r="K681" s="32" t="n">
        <f aca="false">ROUND((IF(E681="Transactional",5,IF(E681="Commercial",4,IF(E681="Comparison",3,IF(E681="Informational",2,3))))*LOG10(IF(ISNUMBER(L681),L681,IFERROR(VALUE(LEFT(F681,FIND("-",F681)-1)),100))+1))/IF(IF(ISBLANK(M681),G681,M681)="High",5,IF(IF(ISBLANK(M681),G681,M681)="Medium",3,1)),2)</f>
        <v>9.21</v>
      </c>
      <c r="L681" s="30"/>
      <c r="M681" s="30"/>
      <c r="N681" s="30"/>
      <c r="O681" s="30" t="s">
        <v>123</v>
      </c>
      <c r="P681" s="31"/>
    </row>
    <row r="682" customFormat="false" ht="25.5" hidden="false" customHeight="true" outlineLevel="0" collapsed="false">
      <c r="A682" s="30" t="n">
        <v>681</v>
      </c>
      <c r="B682" s="30" t="n">
        <v>7</v>
      </c>
      <c r="C682" s="30" t="s">
        <v>115</v>
      </c>
      <c r="D682" s="31" t="s">
        <v>1624</v>
      </c>
      <c r="E682" s="30" t="s">
        <v>1158</v>
      </c>
      <c r="F682" s="31" t="s">
        <v>994</v>
      </c>
      <c r="G682" s="30" t="s">
        <v>505</v>
      </c>
      <c r="H682" s="30" t="s">
        <v>1575</v>
      </c>
      <c r="I682" s="31" t="s">
        <v>403</v>
      </c>
      <c r="J682" s="31" t="s">
        <v>1625</v>
      </c>
      <c r="K682" s="32" t="n">
        <f aca="false">ROUND((IF(E682="Transactional",5,IF(E682="Commercial",4,IF(E682="Comparison",3,IF(E682="Informational",2,3))))*LOG10(IF(ISNUMBER(L682),L682,IFERROR(VALUE(LEFT(F682,FIND("-",F682)-1)),100))+1))/IF(IF(ISBLANK(M682),G682,M682)="High",5,IF(IF(ISBLANK(M682),G682,M682)="Medium",3,1)),2)</f>
        <v>4.8</v>
      </c>
      <c r="L682" s="30"/>
      <c r="M682" s="30"/>
      <c r="N682" s="30"/>
      <c r="O682" s="30" t="s">
        <v>123</v>
      </c>
      <c r="P682" s="31"/>
    </row>
    <row r="683" customFormat="false" ht="25.5" hidden="false" customHeight="true" outlineLevel="0" collapsed="false">
      <c r="A683" s="30" t="n">
        <v>682</v>
      </c>
      <c r="B683" s="30" t="n">
        <v>7</v>
      </c>
      <c r="C683" s="30" t="s">
        <v>125</v>
      </c>
      <c r="D683" s="33" t="s">
        <v>1626</v>
      </c>
      <c r="E683" s="30" t="s">
        <v>1158</v>
      </c>
      <c r="F683" s="31" t="s">
        <v>997</v>
      </c>
      <c r="G683" s="30" t="s">
        <v>505</v>
      </c>
      <c r="H683" s="30" t="s">
        <v>1575</v>
      </c>
      <c r="I683" s="31" t="s">
        <v>403</v>
      </c>
      <c r="J683" s="33" t="s">
        <v>1627</v>
      </c>
      <c r="K683" s="32" t="n">
        <f aca="false">ROUND((IF(E683="Transactional",5,IF(E683="Commercial",4,IF(E683="Comparison",3,IF(E683="Informational",2,3))))*LOG10(IF(ISNUMBER(L683),L683,IFERROR(VALUE(LEFT(F683,FIND("-",F683)-1)),100))+1))/IF(IF(ISBLANK(M683),G683,M683)="High",5,IF(IF(ISBLANK(M683),G683,M683)="Medium",3,1)),2)</f>
        <v>4.61</v>
      </c>
      <c r="L683" s="30"/>
      <c r="M683" s="30"/>
      <c r="N683" s="30"/>
      <c r="O683" s="30" t="s">
        <v>123</v>
      </c>
      <c r="P683" s="31"/>
    </row>
    <row r="684" customFormat="false" ht="25.5" hidden="false" customHeight="true" outlineLevel="0" collapsed="false">
      <c r="A684" s="30" t="n">
        <v>683</v>
      </c>
      <c r="B684" s="30" t="n">
        <v>7</v>
      </c>
      <c r="C684" s="30" t="s">
        <v>115</v>
      </c>
      <c r="D684" s="31" t="s">
        <v>1628</v>
      </c>
      <c r="E684" s="30" t="s">
        <v>1158</v>
      </c>
      <c r="F684" s="31" t="s">
        <v>136</v>
      </c>
      <c r="G684" s="30" t="s">
        <v>505</v>
      </c>
      <c r="H684" s="30" t="s">
        <v>1575</v>
      </c>
      <c r="I684" s="31" t="s">
        <v>403</v>
      </c>
      <c r="J684" s="31" t="s">
        <v>1629</v>
      </c>
      <c r="K684" s="32" t="n">
        <f aca="false">ROUND((IF(E684="Transactional",5,IF(E684="Commercial",4,IF(E684="Comparison",3,IF(E684="Informational",2,3))))*LOG10(IF(ISNUMBER(L684),L684,IFERROR(VALUE(LEFT(F684,FIND("-",F684)-1)),100))+1))/IF(IF(ISBLANK(M684),G684,M684)="High",5,IF(IF(ISBLANK(M684),G684,M684)="Medium",3,1)),2)</f>
        <v>5.21</v>
      </c>
      <c r="L684" s="30"/>
      <c r="M684" s="30"/>
      <c r="N684" s="30"/>
      <c r="O684" s="30" t="s">
        <v>123</v>
      </c>
      <c r="P684" s="31"/>
    </row>
    <row r="685" customFormat="false" ht="25.5" hidden="false" customHeight="true" outlineLevel="0" collapsed="false">
      <c r="A685" s="30" t="n">
        <v>684</v>
      </c>
      <c r="B685" s="30" t="n">
        <v>7</v>
      </c>
      <c r="C685" s="30" t="s">
        <v>125</v>
      </c>
      <c r="D685" s="33" t="s">
        <v>1630</v>
      </c>
      <c r="E685" s="30" t="s">
        <v>1158</v>
      </c>
      <c r="F685" s="31" t="s">
        <v>141</v>
      </c>
      <c r="G685" s="30" t="s">
        <v>505</v>
      </c>
      <c r="H685" s="30" t="s">
        <v>1575</v>
      </c>
      <c r="I685" s="31" t="s">
        <v>403</v>
      </c>
      <c r="J685" s="33" t="s">
        <v>1631</v>
      </c>
      <c r="K685" s="32" t="n">
        <f aca="false">ROUND((IF(E685="Transactional",5,IF(E685="Commercial",4,IF(E685="Comparison",3,IF(E685="Informational",2,3))))*LOG10(IF(ISNUMBER(L685),L685,IFERROR(VALUE(LEFT(F685,FIND("-",F685)-1)),100))+1))/IF(IF(ISBLANK(M685),G685,M685)="High",5,IF(IF(ISBLANK(M685),G685,M685)="Medium",3,1)),2)</f>
        <v>5.09</v>
      </c>
      <c r="L685" s="30"/>
      <c r="M685" s="30"/>
      <c r="N685" s="30"/>
      <c r="O685" s="30" t="s">
        <v>123</v>
      </c>
      <c r="P685" s="31"/>
    </row>
    <row r="686" customFormat="false" ht="25.5" hidden="false" customHeight="true" outlineLevel="0" collapsed="false">
      <c r="A686" s="30" t="n">
        <v>685</v>
      </c>
      <c r="B686" s="30" t="n">
        <v>7</v>
      </c>
      <c r="C686" s="30" t="s">
        <v>115</v>
      </c>
      <c r="D686" s="31" t="s">
        <v>1632</v>
      </c>
      <c r="E686" s="30" t="s">
        <v>117</v>
      </c>
      <c r="F686" s="31" t="s">
        <v>994</v>
      </c>
      <c r="G686" s="30" t="s">
        <v>505</v>
      </c>
      <c r="H686" s="30" t="s">
        <v>1575</v>
      </c>
      <c r="I686" s="31" t="s">
        <v>403</v>
      </c>
      <c r="J686" s="31" t="s">
        <v>1633</v>
      </c>
      <c r="K686" s="32" t="n">
        <f aca="false">ROUND((IF(E686="Transactional",5,IF(E686="Commercial",4,IF(E686="Comparison",3,IF(E686="Informational",2,3))))*LOG10(IF(ISNUMBER(L686),L686,IFERROR(VALUE(LEFT(F686,FIND("-",F686)-1)),100))+1))/IF(IF(ISBLANK(M686),G686,M686)="High",5,IF(IF(ISBLANK(M686),G686,M686)="Medium",3,1)),2)</f>
        <v>9.6</v>
      </c>
      <c r="L686" s="30"/>
      <c r="M686" s="30"/>
      <c r="N686" s="30"/>
      <c r="O686" s="30" t="s">
        <v>123</v>
      </c>
      <c r="P686" s="31"/>
    </row>
    <row r="687" customFormat="false" ht="25.5" hidden="false" customHeight="true" outlineLevel="0" collapsed="false">
      <c r="A687" s="30" t="n">
        <v>686</v>
      </c>
      <c r="B687" s="30" t="n">
        <v>7</v>
      </c>
      <c r="C687" s="30" t="s">
        <v>125</v>
      </c>
      <c r="D687" s="33" t="s">
        <v>1634</v>
      </c>
      <c r="E687" s="30" t="s">
        <v>117</v>
      </c>
      <c r="F687" s="31" t="s">
        <v>997</v>
      </c>
      <c r="G687" s="30" t="s">
        <v>505</v>
      </c>
      <c r="H687" s="30" t="s">
        <v>1575</v>
      </c>
      <c r="I687" s="31" t="s">
        <v>403</v>
      </c>
      <c r="J687" s="33" t="s">
        <v>1635</v>
      </c>
      <c r="K687" s="32" t="n">
        <f aca="false">ROUND((IF(E687="Transactional",5,IF(E687="Commercial",4,IF(E687="Comparison",3,IF(E687="Informational",2,3))))*LOG10(IF(ISNUMBER(L687),L687,IFERROR(VALUE(LEFT(F687,FIND("-",F687)-1)),100))+1))/IF(IF(ISBLANK(M687),G687,M687)="High",5,IF(IF(ISBLANK(M687),G687,M687)="Medium",3,1)),2)</f>
        <v>9.21</v>
      </c>
      <c r="L687" s="30"/>
      <c r="M687" s="30"/>
      <c r="N687" s="30"/>
      <c r="O687" s="30" t="s">
        <v>123</v>
      </c>
      <c r="P687" s="31"/>
    </row>
    <row r="688" customFormat="false" ht="25.5" hidden="false" customHeight="true" outlineLevel="0" collapsed="false">
      <c r="A688" s="30" t="n">
        <v>687</v>
      </c>
      <c r="B688" s="30" t="n">
        <v>7</v>
      </c>
      <c r="C688" s="30" t="s">
        <v>115</v>
      </c>
      <c r="D688" s="31" t="s">
        <v>1636</v>
      </c>
      <c r="E688" s="30" t="s">
        <v>117</v>
      </c>
      <c r="F688" s="31" t="s">
        <v>994</v>
      </c>
      <c r="G688" s="30" t="s">
        <v>505</v>
      </c>
      <c r="H688" s="30" t="s">
        <v>1575</v>
      </c>
      <c r="I688" s="31" t="s">
        <v>403</v>
      </c>
      <c r="J688" s="31" t="s">
        <v>1637</v>
      </c>
      <c r="K688" s="32" t="n">
        <f aca="false">ROUND((IF(E688="Transactional",5,IF(E688="Commercial",4,IF(E688="Comparison",3,IF(E688="Informational",2,3))))*LOG10(IF(ISNUMBER(L688),L688,IFERROR(VALUE(LEFT(F688,FIND("-",F688)-1)),100))+1))/IF(IF(ISBLANK(M688),G688,M688)="High",5,IF(IF(ISBLANK(M688),G688,M688)="Medium",3,1)),2)</f>
        <v>9.6</v>
      </c>
      <c r="L688" s="30"/>
      <c r="M688" s="30"/>
      <c r="N688" s="30"/>
      <c r="O688" s="30" t="s">
        <v>123</v>
      </c>
      <c r="P688" s="31"/>
    </row>
    <row r="689" customFormat="false" ht="25.5" hidden="false" customHeight="true" outlineLevel="0" collapsed="false">
      <c r="A689" s="30" t="n">
        <v>688</v>
      </c>
      <c r="B689" s="30" t="n">
        <v>7</v>
      </c>
      <c r="C689" s="30" t="s">
        <v>125</v>
      </c>
      <c r="D689" s="33" t="s">
        <v>1638</v>
      </c>
      <c r="E689" s="30" t="s">
        <v>117</v>
      </c>
      <c r="F689" s="31" t="s">
        <v>997</v>
      </c>
      <c r="G689" s="30" t="s">
        <v>505</v>
      </c>
      <c r="H689" s="30" t="s">
        <v>1575</v>
      </c>
      <c r="I689" s="31" t="s">
        <v>403</v>
      </c>
      <c r="J689" s="33" t="s">
        <v>1639</v>
      </c>
      <c r="K689" s="32" t="n">
        <f aca="false">ROUND((IF(E689="Transactional",5,IF(E689="Commercial",4,IF(E689="Comparison",3,IF(E689="Informational",2,3))))*LOG10(IF(ISNUMBER(L689),L689,IFERROR(VALUE(LEFT(F689,FIND("-",F689)-1)),100))+1))/IF(IF(ISBLANK(M689),G689,M689)="High",5,IF(IF(ISBLANK(M689),G689,M689)="Medium",3,1)),2)</f>
        <v>9.21</v>
      </c>
      <c r="L689" s="30"/>
      <c r="M689" s="30"/>
      <c r="N689" s="30"/>
      <c r="O689" s="30" t="s">
        <v>123</v>
      </c>
      <c r="P689" s="31"/>
    </row>
    <row r="690" customFormat="false" ht="25.5" hidden="false" customHeight="true" outlineLevel="0" collapsed="false">
      <c r="A690" s="30" t="n">
        <v>689</v>
      </c>
      <c r="B690" s="30" t="n">
        <v>7</v>
      </c>
      <c r="C690" s="30" t="s">
        <v>115</v>
      </c>
      <c r="D690" s="31" t="s">
        <v>1640</v>
      </c>
      <c r="E690" s="30" t="s">
        <v>1158</v>
      </c>
      <c r="F690" s="31" t="s">
        <v>994</v>
      </c>
      <c r="G690" s="30" t="s">
        <v>505</v>
      </c>
      <c r="H690" s="30" t="s">
        <v>1575</v>
      </c>
      <c r="I690" s="31" t="s">
        <v>403</v>
      </c>
      <c r="J690" s="31" t="s">
        <v>1641</v>
      </c>
      <c r="K690" s="32" t="n">
        <f aca="false">ROUND((IF(E690="Transactional",5,IF(E690="Commercial",4,IF(E690="Comparison",3,IF(E690="Informational",2,3))))*LOG10(IF(ISNUMBER(L690),L690,IFERROR(VALUE(LEFT(F690,FIND("-",F690)-1)),100))+1))/IF(IF(ISBLANK(M690),G690,M690)="High",5,IF(IF(ISBLANK(M690),G690,M690)="Medium",3,1)),2)</f>
        <v>4.8</v>
      </c>
      <c r="L690" s="30"/>
      <c r="M690" s="30"/>
      <c r="N690" s="30"/>
      <c r="O690" s="30" t="s">
        <v>123</v>
      </c>
      <c r="P690" s="31"/>
    </row>
    <row r="691" customFormat="false" ht="25.5" hidden="false" customHeight="true" outlineLevel="0" collapsed="false">
      <c r="A691" s="30" t="n">
        <v>690</v>
      </c>
      <c r="B691" s="30" t="n">
        <v>7</v>
      </c>
      <c r="C691" s="30" t="s">
        <v>125</v>
      </c>
      <c r="D691" s="33" t="s">
        <v>1642</v>
      </c>
      <c r="E691" s="30" t="s">
        <v>1158</v>
      </c>
      <c r="F691" s="31" t="s">
        <v>997</v>
      </c>
      <c r="G691" s="30" t="s">
        <v>505</v>
      </c>
      <c r="H691" s="30" t="s">
        <v>1575</v>
      </c>
      <c r="I691" s="31" t="s">
        <v>403</v>
      </c>
      <c r="J691" s="33" t="s">
        <v>1643</v>
      </c>
      <c r="K691" s="32" t="n">
        <f aca="false">ROUND((IF(E691="Transactional",5,IF(E691="Commercial",4,IF(E691="Comparison",3,IF(E691="Informational",2,3))))*LOG10(IF(ISNUMBER(L691),L691,IFERROR(VALUE(LEFT(F691,FIND("-",F691)-1)),100))+1))/IF(IF(ISBLANK(M691),G691,M691)="High",5,IF(IF(ISBLANK(M691),G691,M691)="Medium",3,1)),2)</f>
        <v>4.61</v>
      </c>
      <c r="L691" s="30"/>
      <c r="M691" s="30"/>
      <c r="N691" s="30"/>
      <c r="O691" s="30" t="s">
        <v>123</v>
      </c>
      <c r="P691" s="31"/>
    </row>
    <row r="692" customFormat="false" ht="25.5" hidden="false" customHeight="true" outlineLevel="0" collapsed="false">
      <c r="A692" s="30" t="n">
        <v>691</v>
      </c>
      <c r="B692" s="30" t="n">
        <v>7</v>
      </c>
      <c r="C692" s="30" t="s">
        <v>115</v>
      </c>
      <c r="D692" s="31" t="s">
        <v>1644</v>
      </c>
      <c r="E692" s="30" t="s">
        <v>1158</v>
      </c>
      <c r="F692" s="31" t="s">
        <v>994</v>
      </c>
      <c r="G692" s="30" t="s">
        <v>505</v>
      </c>
      <c r="H692" s="30" t="s">
        <v>1575</v>
      </c>
      <c r="I692" s="31" t="s">
        <v>403</v>
      </c>
      <c r="J692" s="31" t="s">
        <v>1645</v>
      </c>
      <c r="K692" s="32" t="n">
        <f aca="false">ROUND((IF(E692="Transactional",5,IF(E692="Commercial",4,IF(E692="Comparison",3,IF(E692="Informational",2,3))))*LOG10(IF(ISNUMBER(L692),L692,IFERROR(VALUE(LEFT(F692,FIND("-",F692)-1)),100))+1))/IF(IF(ISBLANK(M692),G692,M692)="High",5,IF(IF(ISBLANK(M692),G692,M692)="Medium",3,1)),2)</f>
        <v>4.8</v>
      </c>
      <c r="L692" s="30"/>
      <c r="M692" s="30"/>
      <c r="N692" s="30"/>
      <c r="O692" s="30" t="s">
        <v>123</v>
      </c>
      <c r="P692" s="31"/>
    </row>
    <row r="693" customFormat="false" ht="25.5" hidden="false" customHeight="true" outlineLevel="0" collapsed="false">
      <c r="A693" s="30" t="n">
        <v>692</v>
      </c>
      <c r="B693" s="30" t="n">
        <v>7</v>
      </c>
      <c r="C693" s="30" t="s">
        <v>125</v>
      </c>
      <c r="D693" s="33" t="s">
        <v>1646</v>
      </c>
      <c r="E693" s="30" t="s">
        <v>1158</v>
      </c>
      <c r="F693" s="31" t="s">
        <v>997</v>
      </c>
      <c r="G693" s="30" t="s">
        <v>505</v>
      </c>
      <c r="H693" s="30" t="s">
        <v>1575</v>
      </c>
      <c r="I693" s="31" t="s">
        <v>403</v>
      </c>
      <c r="J693" s="33" t="s">
        <v>1647</v>
      </c>
      <c r="K693" s="32" t="n">
        <f aca="false">ROUND((IF(E693="Transactional",5,IF(E693="Commercial",4,IF(E693="Comparison",3,IF(E693="Informational",2,3))))*LOG10(IF(ISNUMBER(L693),L693,IFERROR(VALUE(LEFT(F693,FIND("-",F693)-1)),100))+1))/IF(IF(ISBLANK(M693),G693,M693)="High",5,IF(IF(ISBLANK(M693),G693,M693)="Medium",3,1)),2)</f>
        <v>4.61</v>
      </c>
      <c r="L693" s="30"/>
      <c r="M693" s="30"/>
      <c r="N693" s="30"/>
      <c r="O693" s="30" t="s">
        <v>123</v>
      </c>
      <c r="P693" s="31"/>
    </row>
    <row r="694" customFormat="false" ht="25.5" hidden="false" customHeight="true" outlineLevel="0" collapsed="false">
      <c r="A694" s="30" t="n">
        <v>693</v>
      </c>
      <c r="B694" s="30" t="n">
        <v>7</v>
      </c>
      <c r="C694" s="30" t="s">
        <v>115</v>
      </c>
      <c r="D694" s="31" t="s">
        <v>1648</v>
      </c>
      <c r="E694" s="30" t="s">
        <v>1158</v>
      </c>
      <c r="F694" s="31" t="s">
        <v>1588</v>
      </c>
      <c r="G694" s="30" t="s">
        <v>505</v>
      </c>
      <c r="H694" s="30" t="s">
        <v>1575</v>
      </c>
      <c r="I694" s="31" t="s">
        <v>403</v>
      </c>
      <c r="J694" s="31" t="s">
        <v>1649</v>
      </c>
      <c r="K694" s="32" t="n">
        <f aca="false">ROUND((IF(E694="Transactional",5,IF(E694="Commercial",4,IF(E694="Comparison",3,IF(E694="Informational",2,3))))*LOG10(IF(ISNUMBER(L694),L694,IFERROR(VALUE(LEFT(F694,FIND("-",F694)-1)),100))+1))/IF(IF(ISBLANK(M694),G694,M694)="High",5,IF(IF(ISBLANK(M694),G694,M694)="Medium",3,1)),2)</f>
        <v>4.17</v>
      </c>
      <c r="L694" s="30"/>
      <c r="M694" s="30"/>
      <c r="N694" s="30"/>
      <c r="O694" s="30" t="s">
        <v>123</v>
      </c>
      <c r="P694" s="31"/>
    </row>
    <row r="695" customFormat="false" ht="25.5" hidden="false" customHeight="true" outlineLevel="0" collapsed="false">
      <c r="A695" s="30" t="n">
        <v>694</v>
      </c>
      <c r="B695" s="30" t="n">
        <v>7</v>
      </c>
      <c r="C695" s="30" t="s">
        <v>125</v>
      </c>
      <c r="D695" s="33" t="s">
        <v>1650</v>
      </c>
      <c r="E695" s="30" t="s">
        <v>1158</v>
      </c>
      <c r="F695" s="31" t="s">
        <v>1514</v>
      </c>
      <c r="G695" s="30" t="s">
        <v>505</v>
      </c>
      <c r="H695" s="30" t="s">
        <v>1575</v>
      </c>
      <c r="I695" s="31" t="s">
        <v>403</v>
      </c>
      <c r="J695" s="33" t="s">
        <v>1651</v>
      </c>
      <c r="K695" s="32" t="n">
        <f aca="false">ROUND((IF(E695="Transactional",5,IF(E695="Commercial",4,IF(E695="Comparison",3,IF(E695="Informational",2,3))))*LOG10(IF(ISNUMBER(L695),L695,IFERROR(VALUE(LEFT(F695,FIND("-",F695)-1)),100))+1))/IF(IF(ISBLANK(M695),G695,M695)="High",5,IF(IF(ISBLANK(M695),G695,M695)="Medium",3,1)),2)</f>
        <v>4.01</v>
      </c>
      <c r="L695" s="30"/>
      <c r="M695" s="30"/>
      <c r="N695" s="30"/>
      <c r="O695" s="30" t="s">
        <v>123</v>
      </c>
      <c r="P695" s="31"/>
    </row>
    <row r="696" customFormat="false" ht="25.5" hidden="false" customHeight="true" outlineLevel="0" collapsed="false">
      <c r="A696" s="30" t="n">
        <v>695</v>
      </c>
      <c r="B696" s="30" t="n">
        <v>7</v>
      </c>
      <c r="C696" s="30" t="s">
        <v>115</v>
      </c>
      <c r="D696" s="31" t="s">
        <v>1652</v>
      </c>
      <c r="E696" s="30" t="s">
        <v>1158</v>
      </c>
      <c r="F696" s="31" t="s">
        <v>994</v>
      </c>
      <c r="G696" s="30" t="s">
        <v>505</v>
      </c>
      <c r="H696" s="30" t="s">
        <v>1575</v>
      </c>
      <c r="I696" s="31" t="s">
        <v>403</v>
      </c>
      <c r="J696" s="31" t="s">
        <v>1653</v>
      </c>
      <c r="K696" s="32" t="n">
        <f aca="false">ROUND((IF(E696="Transactional",5,IF(E696="Commercial",4,IF(E696="Comparison",3,IF(E696="Informational",2,3))))*LOG10(IF(ISNUMBER(L696),L696,IFERROR(VALUE(LEFT(F696,FIND("-",F696)-1)),100))+1))/IF(IF(ISBLANK(M696),G696,M696)="High",5,IF(IF(ISBLANK(M696),G696,M696)="Medium",3,1)),2)</f>
        <v>4.8</v>
      </c>
      <c r="L696" s="30"/>
      <c r="M696" s="30"/>
      <c r="N696" s="30"/>
      <c r="O696" s="30" t="s">
        <v>123</v>
      </c>
      <c r="P696" s="31"/>
    </row>
    <row r="697" customFormat="false" ht="25.5" hidden="false" customHeight="true" outlineLevel="0" collapsed="false">
      <c r="A697" s="30" t="n">
        <v>696</v>
      </c>
      <c r="B697" s="30" t="n">
        <v>7</v>
      </c>
      <c r="C697" s="30" t="s">
        <v>125</v>
      </c>
      <c r="D697" s="33" t="s">
        <v>1654</v>
      </c>
      <c r="E697" s="30" t="s">
        <v>1158</v>
      </c>
      <c r="F697" s="31" t="s">
        <v>997</v>
      </c>
      <c r="G697" s="30" t="s">
        <v>505</v>
      </c>
      <c r="H697" s="30" t="s">
        <v>1575</v>
      </c>
      <c r="I697" s="31" t="s">
        <v>403</v>
      </c>
      <c r="J697" s="33" t="s">
        <v>1655</v>
      </c>
      <c r="K697" s="32" t="n">
        <f aca="false">ROUND((IF(E697="Transactional",5,IF(E697="Commercial",4,IF(E697="Comparison",3,IF(E697="Informational",2,3))))*LOG10(IF(ISNUMBER(L697),L697,IFERROR(VALUE(LEFT(F697,FIND("-",F697)-1)),100))+1))/IF(IF(ISBLANK(M697),G697,M697)="High",5,IF(IF(ISBLANK(M697),G697,M697)="Medium",3,1)),2)</f>
        <v>4.61</v>
      </c>
      <c r="L697" s="30"/>
      <c r="M697" s="30"/>
      <c r="N697" s="30"/>
      <c r="O697" s="30" t="s">
        <v>123</v>
      </c>
      <c r="P697" s="31"/>
    </row>
    <row r="698" customFormat="false" ht="25.5" hidden="false" customHeight="true" outlineLevel="0" collapsed="false">
      <c r="A698" s="30" t="n">
        <v>697</v>
      </c>
      <c r="B698" s="30" t="n">
        <v>7</v>
      </c>
      <c r="C698" s="30" t="s">
        <v>115</v>
      </c>
      <c r="D698" s="31" t="s">
        <v>1656</v>
      </c>
      <c r="E698" s="30" t="s">
        <v>117</v>
      </c>
      <c r="F698" s="31" t="s">
        <v>994</v>
      </c>
      <c r="G698" s="30" t="s">
        <v>505</v>
      </c>
      <c r="H698" s="30" t="s">
        <v>1575</v>
      </c>
      <c r="I698" s="31" t="s">
        <v>1575</v>
      </c>
      <c r="J698" s="31" t="s">
        <v>1657</v>
      </c>
      <c r="K698" s="32" t="n">
        <f aca="false">ROUND((IF(E698="Transactional",5,IF(E698="Commercial",4,IF(E698="Comparison",3,IF(E698="Informational",2,3))))*LOG10(IF(ISNUMBER(L698),L698,IFERROR(VALUE(LEFT(F698,FIND("-",F698)-1)),100))+1))/IF(IF(ISBLANK(M698),G698,M698)="High",5,IF(IF(ISBLANK(M698),G698,M698)="Medium",3,1)),2)</f>
        <v>9.6</v>
      </c>
      <c r="L698" s="30"/>
      <c r="M698" s="30"/>
      <c r="N698" s="30"/>
      <c r="O698" s="30" t="s">
        <v>123</v>
      </c>
      <c r="P698" s="31"/>
    </row>
    <row r="699" customFormat="false" ht="25.5" hidden="false" customHeight="true" outlineLevel="0" collapsed="false">
      <c r="A699" s="30" t="n">
        <v>698</v>
      </c>
      <c r="B699" s="30" t="n">
        <v>7</v>
      </c>
      <c r="C699" s="30" t="s">
        <v>125</v>
      </c>
      <c r="D699" s="33" t="s">
        <v>1658</v>
      </c>
      <c r="E699" s="30" t="s">
        <v>117</v>
      </c>
      <c r="F699" s="31" t="s">
        <v>997</v>
      </c>
      <c r="G699" s="30" t="s">
        <v>505</v>
      </c>
      <c r="H699" s="30" t="s">
        <v>1575</v>
      </c>
      <c r="I699" s="31" t="s">
        <v>1575</v>
      </c>
      <c r="J699" s="33" t="s">
        <v>1659</v>
      </c>
      <c r="K699" s="32" t="n">
        <f aca="false">ROUND((IF(E699="Transactional",5,IF(E699="Commercial",4,IF(E699="Comparison",3,IF(E699="Informational",2,3))))*LOG10(IF(ISNUMBER(L699),L699,IFERROR(VALUE(LEFT(F699,FIND("-",F699)-1)),100))+1))/IF(IF(ISBLANK(M699),G699,M699)="High",5,IF(IF(ISBLANK(M699),G699,M699)="Medium",3,1)),2)</f>
        <v>9.21</v>
      </c>
      <c r="L699" s="30"/>
      <c r="M699" s="30"/>
      <c r="N699" s="30"/>
      <c r="O699" s="30" t="s">
        <v>123</v>
      </c>
      <c r="P699" s="31"/>
    </row>
    <row r="700" customFormat="false" ht="25.5" hidden="false" customHeight="true" outlineLevel="0" collapsed="false">
      <c r="A700" s="30" t="n">
        <v>699</v>
      </c>
      <c r="B700" s="30" t="n">
        <v>7</v>
      </c>
      <c r="C700" s="30" t="s">
        <v>115</v>
      </c>
      <c r="D700" s="31" t="s">
        <v>1660</v>
      </c>
      <c r="E700" s="30" t="s">
        <v>117</v>
      </c>
      <c r="F700" s="31" t="s">
        <v>994</v>
      </c>
      <c r="G700" s="30" t="s">
        <v>505</v>
      </c>
      <c r="H700" s="30" t="s">
        <v>1575</v>
      </c>
      <c r="I700" s="31" t="s">
        <v>1575</v>
      </c>
      <c r="J700" s="31" t="s">
        <v>1661</v>
      </c>
      <c r="K700" s="32" t="n">
        <f aca="false">ROUND((IF(E700="Transactional",5,IF(E700="Commercial",4,IF(E700="Comparison",3,IF(E700="Informational",2,3))))*LOG10(IF(ISNUMBER(L700),L700,IFERROR(VALUE(LEFT(F700,FIND("-",F700)-1)),100))+1))/IF(IF(ISBLANK(M700),G700,M700)="High",5,IF(IF(ISBLANK(M700),G700,M700)="Medium",3,1)),2)</f>
        <v>9.6</v>
      </c>
      <c r="L700" s="30"/>
      <c r="M700" s="30"/>
      <c r="N700" s="30"/>
      <c r="O700" s="30" t="s">
        <v>123</v>
      </c>
      <c r="P700" s="31"/>
    </row>
    <row r="701" customFormat="false" ht="25.5" hidden="false" customHeight="true" outlineLevel="0" collapsed="false">
      <c r="A701" s="30" t="n">
        <v>700</v>
      </c>
      <c r="B701" s="30" t="n">
        <v>7</v>
      </c>
      <c r="C701" s="30" t="s">
        <v>125</v>
      </c>
      <c r="D701" s="33" t="s">
        <v>1662</v>
      </c>
      <c r="E701" s="30" t="s">
        <v>117</v>
      </c>
      <c r="F701" s="31" t="s">
        <v>997</v>
      </c>
      <c r="G701" s="30" t="s">
        <v>505</v>
      </c>
      <c r="H701" s="30" t="s">
        <v>1575</v>
      </c>
      <c r="I701" s="31" t="s">
        <v>1575</v>
      </c>
      <c r="J701" s="33" t="s">
        <v>1663</v>
      </c>
      <c r="K701" s="32" t="n">
        <f aca="false">ROUND((IF(E701="Transactional",5,IF(E701="Commercial",4,IF(E701="Comparison",3,IF(E701="Informational",2,3))))*LOG10(IF(ISNUMBER(L701),L701,IFERROR(VALUE(LEFT(F701,FIND("-",F701)-1)),100))+1))/IF(IF(ISBLANK(M701),G701,M701)="High",5,IF(IF(ISBLANK(M701),G701,M701)="Medium",3,1)),2)</f>
        <v>9.21</v>
      </c>
      <c r="L701" s="30"/>
      <c r="M701" s="30"/>
      <c r="N701" s="30"/>
      <c r="O701" s="30" t="s">
        <v>123</v>
      </c>
      <c r="P701" s="31"/>
    </row>
    <row r="702" customFormat="false" ht="25.5" hidden="false" customHeight="true" outlineLevel="0" collapsed="false">
      <c r="A702" s="30" t="n">
        <v>701</v>
      </c>
      <c r="B702" s="30" t="n">
        <v>7</v>
      </c>
      <c r="C702" s="30" t="s">
        <v>115</v>
      </c>
      <c r="D702" s="31" t="s">
        <v>1664</v>
      </c>
      <c r="E702" s="30" t="s">
        <v>117</v>
      </c>
      <c r="F702" s="31" t="s">
        <v>1588</v>
      </c>
      <c r="G702" s="30" t="s">
        <v>505</v>
      </c>
      <c r="H702" s="30" t="s">
        <v>1575</v>
      </c>
      <c r="I702" s="31" t="s">
        <v>1575</v>
      </c>
      <c r="J702" s="31" t="s">
        <v>1665</v>
      </c>
      <c r="K702" s="32" t="n">
        <f aca="false">ROUND((IF(E702="Transactional",5,IF(E702="Commercial",4,IF(E702="Comparison",3,IF(E702="Informational",2,3))))*LOG10(IF(ISNUMBER(L702),L702,IFERROR(VALUE(LEFT(F702,FIND("-",F702)-1)),100))+1))/IF(IF(ISBLANK(M702),G702,M702)="High",5,IF(IF(ISBLANK(M702),G702,M702)="Medium",3,1)),2)</f>
        <v>8.33</v>
      </c>
      <c r="L702" s="30"/>
      <c r="M702" s="30"/>
      <c r="N702" s="30"/>
      <c r="O702" s="30" t="s">
        <v>123</v>
      </c>
      <c r="P702" s="31"/>
    </row>
    <row r="703" customFormat="false" ht="25.5" hidden="false" customHeight="true" outlineLevel="0" collapsed="false">
      <c r="A703" s="30" t="n">
        <v>702</v>
      </c>
      <c r="B703" s="30" t="n">
        <v>7</v>
      </c>
      <c r="C703" s="30" t="s">
        <v>125</v>
      </c>
      <c r="D703" s="33" t="s">
        <v>1666</v>
      </c>
      <c r="E703" s="30" t="s">
        <v>117</v>
      </c>
      <c r="F703" s="31" t="s">
        <v>1514</v>
      </c>
      <c r="G703" s="30" t="s">
        <v>505</v>
      </c>
      <c r="H703" s="30" t="s">
        <v>1575</v>
      </c>
      <c r="I703" s="31" t="s">
        <v>1575</v>
      </c>
      <c r="J703" s="33" t="s">
        <v>1667</v>
      </c>
      <c r="K703" s="32" t="n">
        <f aca="false">ROUND((IF(E703="Transactional",5,IF(E703="Commercial",4,IF(E703="Comparison",3,IF(E703="Informational",2,3))))*LOG10(IF(ISNUMBER(L703),L703,IFERROR(VALUE(LEFT(F703,FIND("-",F703)-1)),100))+1))/IF(IF(ISBLANK(M703),G703,M703)="High",5,IF(IF(ISBLANK(M703),G703,M703)="Medium",3,1)),2)</f>
        <v>8.02</v>
      </c>
      <c r="L703" s="30"/>
      <c r="M703" s="30"/>
      <c r="N703" s="30"/>
      <c r="O703" s="30" t="s">
        <v>123</v>
      </c>
      <c r="P703" s="31"/>
    </row>
    <row r="704" customFormat="false" ht="25.5" hidden="false" customHeight="true" outlineLevel="0" collapsed="false">
      <c r="A704" s="30" t="n">
        <v>703</v>
      </c>
      <c r="B704" s="30" t="n">
        <v>7</v>
      </c>
      <c r="C704" s="30" t="s">
        <v>115</v>
      </c>
      <c r="D704" s="31" t="s">
        <v>1668</v>
      </c>
      <c r="E704" s="30" t="s">
        <v>117</v>
      </c>
      <c r="F704" s="31" t="s">
        <v>1588</v>
      </c>
      <c r="G704" s="30" t="s">
        <v>505</v>
      </c>
      <c r="H704" s="30" t="s">
        <v>1575</v>
      </c>
      <c r="I704" s="31" t="s">
        <v>1575</v>
      </c>
      <c r="J704" s="31" t="s">
        <v>1669</v>
      </c>
      <c r="K704" s="32" t="n">
        <f aca="false">ROUND((IF(E704="Transactional",5,IF(E704="Commercial",4,IF(E704="Comparison",3,IF(E704="Informational",2,3))))*LOG10(IF(ISNUMBER(L704),L704,IFERROR(VALUE(LEFT(F704,FIND("-",F704)-1)),100))+1))/IF(IF(ISBLANK(M704),G704,M704)="High",5,IF(IF(ISBLANK(M704),G704,M704)="Medium",3,1)),2)</f>
        <v>8.33</v>
      </c>
      <c r="L704" s="30"/>
      <c r="M704" s="30"/>
      <c r="N704" s="30"/>
      <c r="O704" s="30" t="s">
        <v>123</v>
      </c>
      <c r="P704" s="31"/>
    </row>
    <row r="705" customFormat="false" ht="25.5" hidden="false" customHeight="true" outlineLevel="0" collapsed="false">
      <c r="A705" s="30" t="n">
        <v>704</v>
      </c>
      <c r="B705" s="30" t="n">
        <v>7</v>
      </c>
      <c r="C705" s="30" t="s">
        <v>125</v>
      </c>
      <c r="D705" s="33" t="s">
        <v>1670</v>
      </c>
      <c r="E705" s="30" t="s">
        <v>117</v>
      </c>
      <c r="F705" s="31" t="s">
        <v>1514</v>
      </c>
      <c r="G705" s="30" t="s">
        <v>505</v>
      </c>
      <c r="H705" s="30" t="s">
        <v>1575</v>
      </c>
      <c r="I705" s="31" t="s">
        <v>1575</v>
      </c>
      <c r="J705" s="33" t="s">
        <v>1671</v>
      </c>
      <c r="K705" s="32" t="n">
        <f aca="false">ROUND((IF(E705="Transactional",5,IF(E705="Commercial",4,IF(E705="Comparison",3,IF(E705="Informational",2,3))))*LOG10(IF(ISNUMBER(L705),L705,IFERROR(VALUE(LEFT(F705,FIND("-",F705)-1)),100))+1))/IF(IF(ISBLANK(M705),G705,M705)="High",5,IF(IF(ISBLANK(M705),G705,M705)="Medium",3,1)),2)</f>
        <v>8.02</v>
      </c>
      <c r="L705" s="30"/>
      <c r="M705" s="30"/>
      <c r="N705" s="30"/>
      <c r="O705" s="30" t="s">
        <v>123</v>
      </c>
      <c r="P705" s="31"/>
    </row>
    <row r="706" customFormat="false" ht="25.5" hidden="false" customHeight="true" outlineLevel="0" collapsed="false">
      <c r="A706" s="30" t="n">
        <v>705</v>
      </c>
      <c r="B706" s="30" t="n">
        <v>7</v>
      </c>
      <c r="C706" s="30" t="s">
        <v>115</v>
      </c>
      <c r="D706" s="31" t="s">
        <v>1672</v>
      </c>
      <c r="E706" s="30" t="s">
        <v>117</v>
      </c>
      <c r="F706" s="31" t="s">
        <v>1588</v>
      </c>
      <c r="G706" s="30" t="s">
        <v>505</v>
      </c>
      <c r="H706" s="30" t="s">
        <v>1575</v>
      </c>
      <c r="I706" s="31" t="s">
        <v>1575</v>
      </c>
      <c r="J706" s="31" t="s">
        <v>1673</v>
      </c>
      <c r="K706" s="32" t="n">
        <f aca="false">ROUND((IF(E706="Transactional",5,IF(E706="Commercial",4,IF(E706="Comparison",3,IF(E706="Informational",2,3))))*LOG10(IF(ISNUMBER(L706),L706,IFERROR(VALUE(LEFT(F706,FIND("-",F706)-1)),100))+1))/IF(IF(ISBLANK(M706),G706,M706)="High",5,IF(IF(ISBLANK(M706),G706,M706)="Medium",3,1)),2)</f>
        <v>8.33</v>
      </c>
      <c r="L706" s="30"/>
      <c r="M706" s="30"/>
      <c r="N706" s="30"/>
      <c r="O706" s="30" t="s">
        <v>123</v>
      </c>
      <c r="P706" s="31"/>
    </row>
    <row r="707" customFormat="false" ht="25.5" hidden="false" customHeight="true" outlineLevel="0" collapsed="false">
      <c r="A707" s="30" t="n">
        <v>706</v>
      </c>
      <c r="B707" s="30" t="n">
        <v>7</v>
      </c>
      <c r="C707" s="30" t="s">
        <v>125</v>
      </c>
      <c r="D707" s="33" t="s">
        <v>1674</v>
      </c>
      <c r="E707" s="30" t="s">
        <v>117</v>
      </c>
      <c r="F707" s="31" t="s">
        <v>1514</v>
      </c>
      <c r="G707" s="30" t="s">
        <v>505</v>
      </c>
      <c r="H707" s="30" t="s">
        <v>1575</v>
      </c>
      <c r="I707" s="31" t="s">
        <v>1575</v>
      </c>
      <c r="J707" s="33" t="s">
        <v>1675</v>
      </c>
      <c r="K707" s="32" t="n">
        <f aca="false">ROUND((IF(E707="Transactional",5,IF(E707="Commercial",4,IF(E707="Comparison",3,IF(E707="Informational",2,3))))*LOG10(IF(ISNUMBER(L707),L707,IFERROR(VALUE(LEFT(F707,FIND("-",F707)-1)),100))+1))/IF(IF(ISBLANK(M707),G707,M707)="High",5,IF(IF(ISBLANK(M707),G707,M707)="Medium",3,1)),2)</f>
        <v>8.02</v>
      </c>
      <c r="L707" s="30"/>
      <c r="M707" s="30"/>
      <c r="N707" s="30"/>
      <c r="O707" s="30" t="s">
        <v>123</v>
      </c>
      <c r="P707" s="31"/>
    </row>
    <row r="708" customFormat="false" ht="25.5" hidden="false" customHeight="true" outlineLevel="0" collapsed="false">
      <c r="A708" s="34" t="n">
        <v>707</v>
      </c>
      <c r="B708" s="34" t="n">
        <v>8</v>
      </c>
      <c r="C708" s="34" t="s">
        <v>115</v>
      </c>
      <c r="D708" s="35" t="s">
        <v>1676</v>
      </c>
      <c r="E708" s="34" t="s">
        <v>1101</v>
      </c>
      <c r="F708" s="35" t="s">
        <v>989</v>
      </c>
      <c r="G708" s="34" t="s">
        <v>505</v>
      </c>
      <c r="H708" s="34" t="s">
        <v>1677</v>
      </c>
      <c r="I708" s="35" t="s">
        <v>1678</v>
      </c>
      <c r="J708" s="35" t="s">
        <v>1679</v>
      </c>
      <c r="K708" s="36" t="n">
        <f aca="false">ROUND((IF(E708="Transactional",5,IF(E708="Commercial",4,IF(E708="Comparison",3,IF(E708="Informational",2,3))))*LOG10(IF(ISNUMBER(L708),L708,IFERROR(VALUE(LEFT(F708,FIND("-",F708)-1)),100))+1))/IF(IF(ISBLANK(M708),G708,M708)="High",5,IF(IF(ISBLANK(M708),G708,M708)="Medium",3,1)),2)</f>
        <v>12.39</v>
      </c>
      <c r="L708" s="34"/>
      <c r="M708" s="34"/>
      <c r="N708" s="34"/>
      <c r="O708" s="34" t="s">
        <v>123</v>
      </c>
      <c r="P708" s="35"/>
    </row>
    <row r="709" customFormat="false" ht="25.5" hidden="false" customHeight="true" outlineLevel="0" collapsed="false">
      <c r="A709" s="34" t="n">
        <v>708</v>
      </c>
      <c r="B709" s="34" t="n">
        <v>8</v>
      </c>
      <c r="C709" s="34" t="s">
        <v>125</v>
      </c>
      <c r="D709" s="37" t="s">
        <v>1680</v>
      </c>
      <c r="E709" s="34" t="s">
        <v>1101</v>
      </c>
      <c r="F709" s="35" t="s">
        <v>994</v>
      </c>
      <c r="G709" s="34" t="s">
        <v>505</v>
      </c>
      <c r="H709" s="34" t="s">
        <v>1677</v>
      </c>
      <c r="I709" s="35" t="s">
        <v>1678</v>
      </c>
      <c r="J709" s="37" t="s">
        <v>1681</v>
      </c>
      <c r="K709" s="36" t="n">
        <f aca="false">ROUND((IF(E709="Transactional",5,IF(E709="Commercial",4,IF(E709="Comparison",3,IF(E709="Informational",2,3))))*LOG10(IF(ISNUMBER(L709),L709,IFERROR(VALUE(LEFT(F709,FIND("-",F709)-1)),100))+1))/IF(IF(ISBLANK(M709),G709,M709)="High",5,IF(IF(ISBLANK(M709),G709,M709)="Medium",3,1)),2)</f>
        <v>12</v>
      </c>
      <c r="L709" s="34"/>
      <c r="M709" s="34"/>
      <c r="N709" s="34"/>
      <c r="O709" s="34" t="s">
        <v>123</v>
      </c>
      <c r="P709" s="35"/>
    </row>
    <row r="710" customFormat="false" ht="25.5" hidden="false" customHeight="true" outlineLevel="0" collapsed="false">
      <c r="A710" s="34" t="n">
        <v>709</v>
      </c>
      <c r="B710" s="34" t="n">
        <v>8</v>
      </c>
      <c r="C710" s="34" t="s">
        <v>115</v>
      </c>
      <c r="D710" s="35" t="s">
        <v>1682</v>
      </c>
      <c r="E710" s="34" t="s">
        <v>1101</v>
      </c>
      <c r="F710" s="35" t="s">
        <v>989</v>
      </c>
      <c r="G710" s="34" t="s">
        <v>505</v>
      </c>
      <c r="H710" s="34" t="s">
        <v>1677</v>
      </c>
      <c r="I710" s="35" t="s">
        <v>1678</v>
      </c>
      <c r="J710" s="35" t="s">
        <v>1683</v>
      </c>
      <c r="K710" s="36" t="n">
        <f aca="false">ROUND((IF(E710="Transactional",5,IF(E710="Commercial",4,IF(E710="Comparison",3,IF(E710="Informational",2,3))))*LOG10(IF(ISNUMBER(L710),L710,IFERROR(VALUE(LEFT(F710,FIND("-",F710)-1)),100))+1))/IF(IF(ISBLANK(M710),G710,M710)="High",5,IF(IF(ISBLANK(M710),G710,M710)="Medium",3,1)),2)</f>
        <v>12.39</v>
      </c>
      <c r="L710" s="34"/>
      <c r="M710" s="34"/>
      <c r="N710" s="34"/>
      <c r="O710" s="34" t="s">
        <v>123</v>
      </c>
      <c r="P710" s="35"/>
    </row>
    <row r="711" customFormat="false" ht="25.5" hidden="false" customHeight="true" outlineLevel="0" collapsed="false">
      <c r="A711" s="34" t="n">
        <v>710</v>
      </c>
      <c r="B711" s="34" t="n">
        <v>8</v>
      </c>
      <c r="C711" s="34" t="s">
        <v>125</v>
      </c>
      <c r="D711" s="37" t="s">
        <v>1684</v>
      </c>
      <c r="E711" s="34" t="s">
        <v>1101</v>
      </c>
      <c r="F711" s="35" t="s">
        <v>994</v>
      </c>
      <c r="G711" s="34" t="s">
        <v>505</v>
      </c>
      <c r="H711" s="34" t="s">
        <v>1677</v>
      </c>
      <c r="I711" s="35" t="s">
        <v>1678</v>
      </c>
      <c r="J711" s="37" t="s">
        <v>1685</v>
      </c>
      <c r="K711" s="36" t="n">
        <f aca="false">ROUND((IF(E711="Transactional",5,IF(E711="Commercial",4,IF(E711="Comparison",3,IF(E711="Informational",2,3))))*LOG10(IF(ISNUMBER(L711),L711,IFERROR(VALUE(LEFT(F711,FIND("-",F711)-1)),100))+1))/IF(IF(ISBLANK(M711),G711,M711)="High",5,IF(IF(ISBLANK(M711),G711,M711)="Medium",3,1)),2)</f>
        <v>12</v>
      </c>
      <c r="L711" s="34"/>
      <c r="M711" s="34"/>
      <c r="N711" s="34"/>
      <c r="O711" s="34" t="s">
        <v>123</v>
      </c>
      <c r="P711" s="35"/>
    </row>
    <row r="712" customFormat="false" ht="25.5" hidden="false" customHeight="true" outlineLevel="0" collapsed="false">
      <c r="A712" s="34" t="n">
        <v>711</v>
      </c>
      <c r="B712" s="34" t="n">
        <v>8</v>
      </c>
      <c r="C712" s="34" t="s">
        <v>115</v>
      </c>
      <c r="D712" s="35" t="s">
        <v>1686</v>
      </c>
      <c r="E712" s="34" t="s">
        <v>1101</v>
      </c>
      <c r="F712" s="35" t="s">
        <v>1000</v>
      </c>
      <c r="G712" s="34" t="s">
        <v>505</v>
      </c>
      <c r="H712" s="34" t="s">
        <v>1677</v>
      </c>
      <c r="I712" s="35" t="s">
        <v>1678</v>
      </c>
      <c r="J712" s="35" t="s">
        <v>1687</v>
      </c>
      <c r="K712" s="36" t="n">
        <f aca="false">ROUND((IF(E712="Transactional",5,IF(E712="Commercial",4,IF(E712="Comparison",3,IF(E712="Informational",2,3))))*LOG10(IF(ISNUMBER(L712),L712,IFERROR(VALUE(LEFT(F712,FIND("-",F712)-1)),100))+1))/IF(IF(ISBLANK(M712),G712,M712)="High",5,IF(IF(ISBLANK(M712),G712,M712)="Medium",3,1)),2)</f>
        <v>10.89</v>
      </c>
      <c r="L712" s="34"/>
      <c r="M712" s="34"/>
      <c r="N712" s="34"/>
      <c r="O712" s="34" t="s">
        <v>123</v>
      </c>
      <c r="P712" s="35"/>
    </row>
    <row r="713" customFormat="false" ht="25.5" hidden="false" customHeight="true" outlineLevel="0" collapsed="false">
      <c r="A713" s="34" t="n">
        <v>712</v>
      </c>
      <c r="B713" s="34" t="n">
        <v>8</v>
      </c>
      <c r="C713" s="34" t="s">
        <v>125</v>
      </c>
      <c r="D713" s="37" t="s">
        <v>1688</v>
      </c>
      <c r="E713" s="34" t="s">
        <v>1101</v>
      </c>
      <c r="F713" s="35" t="s">
        <v>1000</v>
      </c>
      <c r="G713" s="34" t="s">
        <v>505</v>
      </c>
      <c r="H713" s="34" t="s">
        <v>1677</v>
      </c>
      <c r="I713" s="35" t="s">
        <v>1678</v>
      </c>
      <c r="J713" s="37" t="s">
        <v>1689</v>
      </c>
      <c r="K713" s="36" t="n">
        <f aca="false">ROUND((IF(E713="Transactional",5,IF(E713="Commercial",4,IF(E713="Comparison",3,IF(E713="Informational",2,3))))*LOG10(IF(ISNUMBER(L713),L713,IFERROR(VALUE(LEFT(F713,FIND("-",F713)-1)),100))+1))/IF(IF(ISBLANK(M713),G713,M713)="High",5,IF(IF(ISBLANK(M713),G713,M713)="Medium",3,1)),2)</f>
        <v>10.89</v>
      </c>
      <c r="L713" s="34"/>
      <c r="M713" s="34"/>
      <c r="N713" s="34"/>
      <c r="O713" s="34" t="s">
        <v>123</v>
      </c>
      <c r="P713" s="35"/>
    </row>
    <row r="714" customFormat="false" ht="25.5" hidden="false" customHeight="true" outlineLevel="0" collapsed="false">
      <c r="A714" s="34" t="n">
        <v>713</v>
      </c>
      <c r="B714" s="34" t="n">
        <v>8</v>
      </c>
      <c r="C714" s="34" t="s">
        <v>115</v>
      </c>
      <c r="D714" s="35" t="s">
        <v>1690</v>
      </c>
      <c r="E714" s="34" t="s">
        <v>1101</v>
      </c>
      <c r="F714" s="35" t="s">
        <v>1000</v>
      </c>
      <c r="G714" s="34" t="s">
        <v>505</v>
      </c>
      <c r="H714" s="34" t="s">
        <v>1677</v>
      </c>
      <c r="I714" s="35" t="s">
        <v>1678</v>
      </c>
      <c r="J714" s="35" t="s">
        <v>1691</v>
      </c>
      <c r="K714" s="36" t="n">
        <f aca="false">ROUND((IF(E714="Transactional",5,IF(E714="Commercial",4,IF(E714="Comparison",3,IF(E714="Informational",2,3))))*LOG10(IF(ISNUMBER(L714),L714,IFERROR(VALUE(LEFT(F714,FIND("-",F714)-1)),100))+1))/IF(IF(ISBLANK(M714),G714,M714)="High",5,IF(IF(ISBLANK(M714),G714,M714)="Medium",3,1)),2)</f>
        <v>10.89</v>
      </c>
      <c r="L714" s="34"/>
      <c r="M714" s="34"/>
      <c r="N714" s="34"/>
      <c r="O714" s="34" t="s">
        <v>123</v>
      </c>
      <c r="P714" s="35"/>
    </row>
    <row r="715" customFormat="false" ht="25.5" hidden="false" customHeight="true" outlineLevel="0" collapsed="false">
      <c r="A715" s="34" t="n">
        <v>714</v>
      </c>
      <c r="B715" s="34" t="n">
        <v>8</v>
      </c>
      <c r="C715" s="34" t="s">
        <v>125</v>
      </c>
      <c r="D715" s="37" t="s">
        <v>1692</v>
      </c>
      <c r="E715" s="34" t="s">
        <v>1101</v>
      </c>
      <c r="F715" s="35" t="s">
        <v>1000</v>
      </c>
      <c r="G715" s="34" t="s">
        <v>505</v>
      </c>
      <c r="H715" s="34" t="s">
        <v>1677</v>
      </c>
      <c r="I715" s="35" t="s">
        <v>1678</v>
      </c>
      <c r="J715" s="37" t="s">
        <v>1693</v>
      </c>
      <c r="K715" s="36" t="n">
        <f aca="false">ROUND((IF(E715="Transactional",5,IF(E715="Commercial",4,IF(E715="Comparison",3,IF(E715="Informational",2,3))))*LOG10(IF(ISNUMBER(L715),L715,IFERROR(VALUE(LEFT(F715,FIND("-",F715)-1)),100))+1))/IF(IF(ISBLANK(M715),G715,M715)="High",5,IF(IF(ISBLANK(M715),G715,M715)="Medium",3,1)),2)</f>
        <v>10.89</v>
      </c>
      <c r="L715" s="34"/>
      <c r="M715" s="34"/>
      <c r="N715" s="34"/>
      <c r="O715" s="34" t="s">
        <v>123</v>
      </c>
      <c r="P715" s="35"/>
    </row>
    <row r="716" customFormat="false" ht="25.5" hidden="false" customHeight="true" outlineLevel="0" collapsed="false">
      <c r="A716" s="34" t="n">
        <v>715</v>
      </c>
      <c r="B716" s="34" t="n">
        <v>8</v>
      </c>
      <c r="C716" s="34" t="s">
        <v>115</v>
      </c>
      <c r="D716" s="35" t="s">
        <v>1694</v>
      </c>
      <c r="E716" s="34" t="s">
        <v>1101</v>
      </c>
      <c r="F716" s="35" t="s">
        <v>1000</v>
      </c>
      <c r="G716" s="34" t="s">
        <v>505</v>
      </c>
      <c r="H716" s="34" t="s">
        <v>1677</v>
      </c>
      <c r="I716" s="35" t="s">
        <v>1678</v>
      </c>
      <c r="J716" s="35" t="s">
        <v>1695</v>
      </c>
      <c r="K716" s="36" t="n">
        <f aca="false">ROUND((IF(E716="Transactional",5,IF(E716="Commercial",4,IF(E716="Comparison",3,IF(E716="Informational",2,3))))*LOG10(IF(ISNUMBER(L716),L716,IFERROR(VALUE(LEFT(F716,FIND("-",F716)-1)),100))+1))/IF(IF(ISBLANK(M716),G716,M716)="High",5,IF(IF(ISBLANK(M716),G716,M716)="Medium",3,1)),2)</f>
        <v>10.89</v>
      </c>
      <c r="L716" s="34"/>
      <c r="M716" s="34"/>
      <c r="N716" s="34"/>
      <c r="O716" s="34" t="s">
        <v>123</v>
      </c>
      <c r="P716" s="35"/>
    </row>
    <row r="717" customFormat="false" ht="25.5" hidden="false" customHeight="true" outlineLevel="0" collapsed="false">
      <c r="A717" s="34" t="n">
        <v>716</v>
      </c>
      <c r="B717" s="34" t="n">
        <v>8</v>
      </c>
      <c r="C717" s="34" t="s">
        <v>125</v>
      </c>
      <c r="D717" s="37" t="s">
        <v>1696</v>
      </c>
      <c r="E717" s="34" t="s">
        <v>1101</v>
      </c>
      <c r="F717" s="35" t="s">
        <v>1000</v>
      </c>
      <c r="G717" s="34" t="s">
        <v>505</v>
      </c>
      <c r="H717" s="34" t="s">
        <v>1677</v>
      </c>
      <c r="I717" s="35" t="s">
        <v>1678</v>
      </c>
      <c r="J717" s="37" t="s">
        <v>1697</v>
      </c>
      <c r="K717" s="36" t="n">
        <f aca="false">ROUND((IF(E717="Transactional",5,IF(E717="Commercial",4,IF(E717="Comparison",3,IF(E717="Informational",2,3))))*LOG10(IF(ISNUMBER(L717),L717,IFERROR(VALUE(LEFT(F717,FIND("-",F717)-1)),100))+1))/IF(IF(ISBLANK(M717),G717,M717)="High",5,IF(IF(ISBLANK(M717),G717,M717)="Medium",3,1)),2)</f>
        <v>10.89</v>
      </c>
      <c r="L717" s="34"/>
      <c r="M717" s="34"/>
      <c r="N717" s="34"/>
      <c r="O717" s="34" t="s">
        <v>123</v>
      </c>
      <c r="P717" s="35"/>
    </row>
    <row r="718" customFormat="false" ht="25.5" hidden="false" customHeight="true" outlineLevel="0" collapsed="false">
      <c r="A718" s="34" t="n">
        <v>717</v>
      </c>
      <c r="B718" s="34" t="n">
        <v>8</v>
      </c>
      <c r="C718" s="34" t="s">
        <v>115</v>
      </c>
      <c r="D718" s="35" t="s">
        <v>1698</v>
      </c>
      <c r="E718" s="34" t="s">
        <v>1101</v>
      </c>
      <c r="F718" s="35" t="s">
        <v>1699</v>
      </c>
      <c r="G718" s="34" t="s">
        <v>505</v>
      </c>
      <c r="H718" s="34" t="s">
        <v>1677</v>
      </c>
      <c r="I718" s="35" t="s">
        <v>1678</v>
      </c>
      <c r="J718" s="35" t="s">
        <v>1700</v>
      </c>
      <c r="K718" s="36" t="n">
        <f aca="false">ROUND((IF(E718="Transactional",5,IF(E718="Commercial",4,IF(E718="Comparison",3,IF(E718="Informational",2,3))))*LOG10(IF(ISNUMBER(L718),L718,IFERROR(VALUE(LEFT(F718,FIND("-",F718)-1)),100))+1))/IF(IF(ISBLANK(M718),G718,M718)="High",5,IF(IF(ISBLANK(M718),G718,M718)="Medium",3,1)),2)</f>
        <v>9.54</v>
      </c>
      <c r="L718" s="34"/>
      <c r="M718" s="34"/>
      <c r="N718" s="34"/>
      <c r="O718" s="34" t="s">
        <v>123</v>
      </c>
      <c r="P718" s="35"/>
    </row>
    <row r="719" customFormat="false" ht="25.5" hidden="false" customHeight="true" outlineLevel="0" collapsed="false">
      <c r="A719" s="34" t="n">
        <v>718</v>
      </c>
      <c r="B719" s="34" t="n">
        <v>8</v>
      </c>
      <c r="C719" s="34" t="s">
        <v>125</v>
      </c>
      <c r="D719" s="37" t="s">
        <v>1701</v>
      </c>
      <c r="E719" s="34" t="s">
        <v>1101</v>
      </c>
      <c r="F719" s="35" t="s">
        <v>1699</v>
      </c>
      <c r="G719" s="34" t="s">
        <v>505</v>
      </c>
      <c r="H719" s="34" t="s">
        <v>1677</v>
      </c>
      <c r="I719" s="35" t="s">
        <v>1678</v>
      </c>
      <c r="J719" s="37" t="s">
        <v>1702</v>
      </c>
      <c r="K719" s="36" t="n">
        <f aca="false">ROUND((IF(E719="Transactional",5,IF(E719="Commercial",4,IF(E719="Comparison",3,IF(E719="Informational",2,3))))*LOG10(IF(ISNUMBER(L719),L719,IFERROR(VALUE(LEFT(F719,FIND("-",F719)-1)),100))+1))/IF(IF(ISBLANK(M719),G719,M719)="High",5,IF(IF(ISBLANK(M719),G719,M719)="Medium",3,1)),2)</f>
        <v>9.54</v>
      </c>
      <c r="L719" s="34"/>
      <c r="M719" s="34"/>
      <c r="N719" s="34"/>
      <c r="O719" s="34" t="s">
        <v>123</v>
      </c>
      <c r="P719" s="35"/>
    </row>
    <row r="720" customFormat="false" ht="25.5" hidden="false" customHeight="true" outlineLevel="0" collapsed="false">
      <c r="A720" s="34" t="n">
        <v>719</v>
      </c>
      <c r="B720" s="34" t="n">
        <v>8</v>
      </c>
      <c r="C720" s="34" t="s">
        <v>115</v>
      </c>
      <c r="D720" s="35" t="s">
        <v>1703</v>
      </c>
      <c r="E720" s="34" t="s">
        <v>1101</v>
      </c>
      <c r="F720" s="35" t="s">
        <v>1000</v>
      </c>
      <c r="G720" s="34" t="s">
        <v>505</v>
      </c>
      <c r="H720" s="34" t="s">
        <v>1677</v>
      </c>
      <c r="I720" s="35" t="s">
        <v>1704</v>
      </c>
      <c r="J720" s="35" t="s">
        <v>1705</v>
      </c>
      <c r="K720" s="36" t="n">
        <f aca="false">ROUND((IF(E720="Transactional",5,IF(E720="Commercial",4,IF(E720="Comparison",3,IF(E720="Informational",2,3))))*LOG10(IF(ISNUMBER(L720),L720,IFERROR(VALUE(LEFT(F720,FIND("-",F720)-1)),100))+1))/IF(IF(ISBLANK(M720),G720,M720)="High",5,IF(IF(ISBLANK(M720),G720,M720)="Medium",3,1)),2)</f>
        <v>10.89</v>
      </c>
      <c r="L720" s="34"/>
      <c r="M720" s="34"/>
      <c r="N720" s="34"/>
      <c r="O720" s="34" t="s">
        <v>123</v>
      </c>
      <c r="P720" s="35"/>
    </row>
    <row r="721" customFormat="false" ht="25.5" hidden="false" customHeight="true" outlineLevel="0" collapsed="false">
      <c r="A721" s="34" t="n">
        <v>720</v>
      </c>
      <c r="B721" s="34" t="n">
        <v>8</v>
      </c>
      <c r="C721" s="34" t="s">
        <v>125</v>
      </c>
      <c r="D721" s="37" t="s">
        <v>1706</v>
      </c>
      <c r="E721" s="34" t="s">
        <v>1101</v>
      </c>
      <c r="F721" s="35" t="s">
        <v>1000</v>
      </c>
      <c r="G721" s="34" t="s">
        <v>505</v>
      </c>
      <c r="H721" s="34" t="s">
        <v>1677</v>
      </c>
      <c r="I721" s="35" t="s">
        <v>1704</v>
      </c>
      <c r="J721" s="37" t="s">
        <v>1707</v>
      </c>
      <c r="K721" s="36" t="n">
        <f aca="false">ROUND((IF(E721="Transactional",5,IF(E721="Commercial",4,IF(E721="Comparison",3,IF(E721="Informational",2,3))))*LOG10(IF(ISNUMBER(L721),L721,IFERROR(VALUE(LEFT(F721,FIND("-",F721)-1)),100))+1))/IF(IF(ISBLANK(M721),G721,M721)="High",5,IF(IF(ISBLANK(M721),G721,M721)="Medium",3,1)),2)</f>
        <v>10.89</v>
      </c>
      <c r="L721" s="34"/>
      <c r="M721" s="34"/>
      <c r="N721" s="34"/>
      <c r="O721" s="34" t="s">
        <v>123</v>
      </c>
      <c r="P721" s="35"/>
    </row>
    <row r="722" customFormat="false" ht="25.5" hidden="false" customHeight="true" outlineLevel="0" collapsed="false">
      <c r="A722" s="34" t="n">
        <v>721</v>
      </c>
      <c r="B722" s="34" t="n">
        <v>8</v>
      </c>
      <c r="C722" s="34" t="s">
        <v>115</v>
      </c>
      <c r="D722" s="35" t="s">
        <v>1708</v>
      </c>
      <c r="E722" s="34" t="s">
        <v>1101</v>
      </c>
      <c r="F722" s="35" t="s">
        <v>1000</v>
      </c>
      <c r="G722" s="34" t="s">
        <v>505</v>
      </c>
      <c r="H722" s="34" t="s">
        <v>1677</v>
      </c>
      <c r="I722" s="35" t="s">
        <v>1709</v>
      </c>
      <c r="J722" s="35" t="s">
        <v>1710</v>
      </c>
      <c r="K722" s="36" t="n">
        <f aca="false">ROUND((IF(E722="Transactional",5,IF(E722="Commercial",4,IF(E722="Comparison",3,IF(E722="Informational",2,3))))*LOG10(IF(ISNUMBER(L722),L722,IFERROR(VALUE(LEFT(F722,FIND("-",F722)-1)),100))+1))/IF(IF(ISBLANK(M722),G722,M722)="High",5,IF(IF(ISBLANK(M722),G722,M722)="Medium",3,1)),2)</f>
        <v>10.89</v>
      </c>
      <c r="L722" s="34"/>
      <c r="M722" s="34"/>
      <c r="N722" s="34"/>
      <c r="O722" s="34" t="s">
        <v>123</v>
      </c>
      <c r="P722" s="35"/>
    </row>
    <row r="723" customFormat="false" ht="25.5" hidden="false" customHeight="true" outlineLevel="0" collapsed="false">
      <c r="A723" s="34" t="n">
        <v>722</v>
      </c>
      <c r="B723" s="34" t="n">
        <v>8</v>
      </c>
      <c r="C723" s="34" t="s">
        <v>125</v>
      </c>
      <c r="D723" s="37" t="s">
        <v>1711</v>
      </c>
      <c r="E723" s="34" t="s">
        <v>1101</v>
      </c>
      <c r="F723" s="35" t="s">
        <v>1000</v>
      </c>
      <c r="G723" s="34" t="s">
        <v>505</v>
      </c>
      <c r="H723" s="34" t="s">
        <v>1677</v>
      </c>
      <c r="I723" s="35" t="s">
        <v>1709</v>
      </c>
      <c r="J723" s="37" t="s">
        <v>1712</v>
      </c>
      <c r="K723" s="36" t="n">
        <f aca="false">ROUND((IF(E723="Transactional",5,IF(E723="Commercial",4,IF(E723="Comparison",3,IF(E723="Informational",2,3))))*LOG10(IF(ISNUMBER(L723),L723,IFERROR(VALUE(LEFT(F723,FIND("-",F723)-1)),100))+1))/IF(IF(ISBLANK(M723),G723,M723)="High",5,IF(IF(ISBLANK(M723),G723,M723)="Medium",3,1)),2)</f>
        <v>10.89</v>
      </c>
      <c r="L723" s="34"/>
      <c r="M723" s="34"/>
      <c r="N723" s="34"/>
      <c r="O723" s="34" t="s">
        <v>123</v>
      </c>
      <c r="P723" s="35"/>
    </row>
    <row r="724" customFormat="false" ht="25.5" hidden="false" customHeight="true" outlineLevel="0" collapsed="false">
      <c r="A724" s="34" t="n">
        <v>723</v>
      </c>
      <c r="B724" s="34" t="n">
        <v>8</v>
      </c>
      <c r="C724" s="34" t="s">
        <v>115</v>
      </c>
      <c r="D724" s="35" t="s">
        <v>1713</v>
      </c>
      <c r="E724" s="34" t="s">
        <v>1101</v>
      </c>
      <c r="F724" s="35" t="s">
        <v>1699</v>
      </c>
      <c r="G724" s="34" t="s">
        <v>505</v>
      </c>
      <c r="H724" s="34" t="s">
        <v>1677</v>
      </c>
      <c r="I724" s="35" t="s">
        <v>1709</v>
      </c>
      <c r="J724" s="35" t="s">
        <v>1714</v>
      </c>
      <c r="K724" s="36" t="n">
        <f aca="false">ROUND((IF(E724="Transactional",5,IF(E724="Commercial",4,IF(E724="Comparison",3,IF(E724="Informational",2,3))))*LOG10(IF(ISNUMBER(L724),L724,IFERROR(VALUE(LEFT(F724,FIND("-",F724)-1)),100))+1))/IF(IF(ISBLANK(M724),G724,M724)="High",5,IF(IF(ISBLANK(M724),G724,M724)="Medium",3,1)),2)</f>
        <v>9.54</v>
      </c>
      <c r="L724" s="34"/>
      <c r="M724" s="34"/>
      <c r="N724" s="34"/>
      <c r="O724" s="34" t="s">
        <v>123</v>
      </c>
      <c r="P724" s="35"/>
    </row>
    <row r="725" customFormat="false" ht="25.5" hidden="false" customHeight="true" outlineLevel="0" collapsed="false">
      <c r="A725" s="34" t="n">
        <v>724</v>
      </c>
      <c r="B725" s="34" t="n">
        <v>8</v>
      </c>
      <c r="C725" s="34" t="s">
        <v>125</v>
      </c>
      <c r="D725" s="37" t="s">
        <v>1715</v>
      </c>
      <c r="E725" s="34" t="s">
        <v>1101</v>
      </c>
      <c r="F725" s="35" t="s">
        <v>1699</v>
      </c>
      <c r="G725" s="34" t="s">
        <v>505</v>
      </c>
      <c r="H725" s="34" t="s">
        <v>1677</v>
      </c>
      <c r="I725" s="35" t="s">
        <v>1709</v>
      </c>
      <c r="J725" s="37" t="s">
        <v>1716</v>
      </c>
      <c r="K725" s="36" t="n">
        <f aca="false">ROUND((IF(E725="Transactional",5,IF(E725="Commercial",4,IF(E725="Comparison",3,IF(E725="Informational",2,3))))*LOG10(IF(ISNUMBER(L725),L725,IFERROR(VALUE(LEFT(F725,FIND("-",F725)-1)),100))+1))/IF(IF(ISBLANK(M725),G725,M725)="High",5,IF(IF(ISBLANK(M725),G725,M725)="Medium",3,1)),2)</f>
        <v>9.54</v>
      </c>
      <c r="L725" s="34"/>
      <c r="M725" s="34"/>
      <c r="N725" s="34"/>
      <c r="O725" s="34" t="s">
        <v>123</v>
      </c>
      <c r="P725" s="35"/>
    </row>
    <row r="726" customFormat="false" ht="25.5" hidden="false" customHeight="true" outlineLevel="0" collapsed="false">
      <c r="A726" s="34" t="n">
        <v>725</v>
      </c>
      <c r="B726" s="34" t="n">
        <v>8</v>
      </c>
      <c r="C726" s="34" t="s">
        <v>115</v>
      </c>
      <c r="D726" s="35" t="s">
        <v>1717</v>
      </c>
      <c r="E726" s="34" t="s">
        <v>1101</v>
      </c>
      <c r="F726" s="35" t="s">
        <v>1699</v>
      </c>
      <c r="G726" s="34" t="s">
        <v>505</v>
      </c>
      <c r="H726" s="34" t="s">
        <v>1677</v>
      </c>
      <c r="I726" s="35" t="s">
        <v>1709</v>
      </c>
      <c r="J726" s="35" t="s">
        <v>1718</v>
      </c>
      <c r="K726" s="36" t="n">
        <f aca="false">ROUND((IF(E726="Transactional",5,IF(E726="Commercial",4,IF(E726="Comparison",3,IF(E726="Informational",2,3))))*LOG10(IF(ISNUMBER(L726),L726,IFERROR(VALUE(LEFT(F726,FIND("-",F726)-1)),100))+1))/IF(IF(ISBLANK(M726),G726,M726)="High",5,IF(IF(ISBLANK(M726),G726,M726)="Medium",3,1)),2)</f>
        <v>9.54</v>
      </c>
      <c r="L726" s="34"/>
      <c r="M726" s="34"/>
      <c r="N726" s="34"/>
      <c r="O726" s="34" t="s">
        <v>123</v>
      </c>
      <c r="P726" s="35"/>
    </row>
    <row r="727" customFormat="false" ht="25.5" hidden="false" customHeight="true" outlineLevel="0" collapsed="false">
      <c r="A727" s="34" t="n">
        <v>726</v>
      </c>
      <c r="B727" s="34" t="n">
        <v>8</v>
      </c>
      <c r="C727" s="34" t="s">
        <v>125</v>
      </c>
      <c r="D727" s="37" t="s">
        <v>1719</v>
      </c>
      <c r="E727" s="34" t="s">
        <v>1101</v>
      </c>
      <c r="F727" s="35" t="s">
        <v>1699</v>
      </c>
      <c r="G727" s="34" t="s">
        <v>505</v>
      </c>
      <c r="H727" s="34" t="s">
        <v>1677</v>
      </c>
      <c r="I727" s="35" t="s">
        <v>1709</v>
      </c>
      <c r="J727" s="37" t="s">
        <v>1720</v>
      </c>
      <c r="K727" s="36" t="n">
        <f aca="false">ROUND((IF(E727="Transactional",5,IF(E727="Commercial",4,IF(E727="Comparison",3,IF(E727="Informational",2,3))))*LOG10(IF(ISNUMBER(L727),L727,IFERROR(VALUE(LEFT(F727,FIND("-",F727)-1)),100))+1))/IF(IF(ISBLANK(M727),G727,M727)="High",5,IF(IF(ISBLANK(M727),G727,M727)="Medium",3,1)),2)</f>
        <v>9.54</v>
      </c>
      <c r="L727" s="34"/>
      <c r="M727" s="34"/>
      <c r="N727" s="34"/>
      <c r="O727" s="34" t="s">
        <v>123</v>
      </c>
      <c r="P727" s="35"/>
    </row>
    <row r="728" customFormat="false" ht="25.5" hidden="false" customHeight="true" outlineLevel="0" collapsed="false">
      <c r="A728" s="34" t="n">
        <v>727</v>
      </c>
      <c r="B728" s="34" t="n">
        <v>8</v>
      </c>
      <c r="C728" s="34" t="s">
        <v>115</v>
      </c>
      <c r="D728" s="35" t="s">
        <v>1721</v>
      </c>
      <c r="E728" s="34" t="s">
        <v>1101</v>
      </c>
      <c r="F728" s="35" t="s">
        <v>1000</v>
      </c>
      <c r="G728" s="34" t="s">
        <v>505</v>
      </c>
      <c r="H728" s="34" t="s">
        <v>1677</v>
      </c>
      <c r="I728" s="35" t="s">
        <v>1722</v>
      </c>
      <c r="J728" s="35" t="s">
        <v>1723</v>
      </c>
      <c r="K728" s="36" t="n">
        <f aca="false">ROUND((IF(E728="Transactional",5,IF(E728="Commercial",4,IF(E728="Comparison",3,IF(E728="Informational",2,3))))*LOG10(IF(ISNUMBER(L728),L728,IFERROR(VALUE(LEFT(F728,FIND("-",F728)-1)),100))+1))/IF(IF(ISBLANK(M728),G728,M728)="High",5,IF(IF(ISBLANK(M728),G728,M728)="Medium",3,1)),2)</f>
        <v>10.89</v>
      </c>
      <c r="L728" s="34"/>
      <c r="M728" s="34"/>
      <c r="N728" s="34"/>
      <c r="O728" s="34" t="s">
        <v>123</v>
      </c>
      <c r="P728" s="35"/>
    </row>
    <row r="729" customFormat="false" ht="25.5" hidden="false" customHeight="true" outlineLevel="0" collapsed="false">
      <c r="A729" s="34" t="n">
        <v>728</v>
      </c>
      <c r="B729" s="34" t="n">
        <v>8</v>
      </c>
      <c r="C729" s="34" t="s">
        <v>125</v>
      </c>
      <c r="D729" s="37" t="s">
        <v>1724</v>
      </c>
      <c r="E729" s="34" t="s">
        <v>1101</v>
      </c>
      <c r="F729" s="35" t="s">
        <v>1000</v>
      </c>
      <c r="G729" s="34" t="s">
        <v>505</v>
      </c>
      <c r="H729" s="34" t="s">
        <v>1677</v>
      </c>
      <c r="I729" s="35" t="s">
        <v>1722</v>
      </c>
      <c r="J729" s="37" t="s">
        <v>1725</v>
      </c>
      <c r="K729" s="36" t="n">
        <f aca="false">ROUND((IF(E729="Transactional",5,IF(E729="Commercial",4,IF(E729="Comparison",3,IF(E729="Informational",2,3))))*LOG10(IF(ISNUMBER(L729),L729,IFERROR(VALUE(LEFT(F729,FIND("-",F729)-1)),100))+1))/IF(IF(ISBLANK(M729),G729,M729)="High",5,IF(IF(ISBLANK(M729),G729,M729)="Medium",3,1)),2)</f>
        <v>10.89</v>
      </c>
      <c r="L729" s="34"/>
      <c r="M729" s="34"/>
      <c r="N729" s="34"/>
      <c r="O729" s="34" t="s">
        <v>123</v>
      </c>
      <c r="P729" s="35"/>
    </row>
    <row r="730" customFormat="false" ht="25.5" hidden="false" customHeight="true" outlineLevel="0" collapsed="false">
      <c r="A730" s="34" t="n">
        <v>729</v>
      </c>
      <c r="B730" s="34" t="n">
        <v>8</v>
      </c>
      <c r="C730" s="34" t="s">
        <v>115</v>
      </c>
      <c r="D730" s="35" t="s">
        <v>1726</v>
      </c>
      <c r="E730" s="34" t="s">
        <v>1101</v>
      </c>
      <c r="F730" s="35" t="s">
        <v>1000</v>
      </c>
      <c r="G730" s="34" t="s">
        <v>505</v>
      </c>
      <c r="H730" s="34" t="s">
        <v>1677</v>
      </c>
      <c r="I730" s="35" t="s">
        <v>1722</v>
      </c>
      <c r="J730" s="35" t="s">
        <v>1727</v>
      </c>
      <c r="K730" s="36" t="n">
        <f aca="false">ROUND((IF(E730="Transactional",5,IF(E730="Commercial",4,IF(E730="Comparison",3,IF(E730="Informational",2,3))))*LOG10(IF(ISNUMBER(L730),L730,IFERROR(VALUE(LEFT(F730,FIND("-",F730)-1)),100))+1))/IF(IF(ISBLANK(M730),G730,M730)="High",5,IF(IF(ISBLANK(M730),G730,M730)="Medium",3,1)),2)</f>
        <v>10.89</v>
      </c>
      <c r="L730" s="34"/>
      <c r="M730" s="34"/>
      <c r="N730" s="34"/>
      <c r="O730" s="34" t="s">
        <v>123</v>
      </c>
      <c r="P730" s="35"/>
    </row>
    <row r="731" customFormat="false" ht="25.5" hidden="false" customHeight="true" outlineLevel="0" collapsed="false">
      <c r="A731" s="34" t="n">
        <v>730</v>
      </c>
      <c r="B731" s="34" t="n">
        <v>8</v>
      </c>
      <c r="C731" s="34" t="s">
        <v>125</v>
      </c>
      <c r="D731" s="37" t="s">
        <v>1728</v>
      </c>
      <c r="E731" s="34" t="s">
        <v>1101</v>
      </c>
      <c r="F731" s="35" t="s">
        <v>1000</v>
      </c>
      <c r="G731" s="34" t="s">
        <v>505</v>
      </c>
      <c r="H731" s="34" t="s">
        <v>1677</v>
      </c>
      <c r="I731" s="35" t="s">
        <v>1722</v>
      </c>
      <c r="J731" s="37" t="s">
        <v>1729</v>
      </c>
      <c r="K731" s="36" t="n">
        <f aca="false">ROUND((IF(E731="Transactional",5,IF(E731="Commercial",4,IF(E731="Comparison",3,IF(E731="Informational",2,3))))*LOG10(IF(ISNUMBER(L731),L731,IFERROR(VALUE(LEFT(F731,FIND("-",F731)-1)),100))+1))/IF(IF(ISBLANK(M731),G731,M731)="High",5,IF(IF(ISBLANK(M731),G731,M731)="Medium",3,1)),2)</f>
        <v>10.89</v>
      </c>
      <c r="L731" s="34"/>
      <c r="M731" s="34"/>
      <c r="N731" s="34"/>
      <c r="O731" s="34" t="s">
        <v>123</v>
      </c>
      <c r="P731" s="35"/>
    </row>
    <row r="732" customFormat="false" ht="25.5" hidden="false" customHeight="true" outlineLevel="0" collapsed="false">
      <c r="A732" s="34" t="n">
        <v>731</v>
      </c>
      <c r="B732" s="34" t="n">
        <v>8</v>
      </c>
      <c r="C732" s="34" t="s">
        <v>115</v>
      </c>
      <c r="D732" s="35" t="s">
        <v>1730</v>
      </c>
      <c r="E732" s="34" t="s">
        <v>1101</v>
      </c>
      <c r="F732" s="35" t="s">
        <v>1000</v>
      </c>
      <c r="G732" s="34" t="s">
        <v>505</v>
      </c>
      <c r="H732" s="34" t="s">
        <v>1677</v>
      </c>
      <c r="I732" s="35" t="s">
        <v>1722</v>
      </c>
      <c r="J732" s="35" t="s">
        <v>1731</v>
      </c>
      <c r="K732" s="36" t="n">
        <f aca="false">ROUND((IF(E732="Transactional",5,IF(E732="Commercial",4,IF(E732="Comparison",3,IF(E732="Informational",2,3))))*LOG10(IF(ISNUMBER(L732),L732,IFERROR(VALUE(LEFT(F732,FIND("-",F732)-1)),100))+1))/IF(IF(ISBLANK(M732),G732,M732)="High",5,IF(IF(ISBLANK(M732),G732,M732)="Medium",3,1)),2)</f>
        <v>10.89</v>
      </c>
      <c r="L732" s="34"/>
      <c r="M732" s="34"/>
      <c r="N732" s="34"/>
      <c r="O732" s="34" t="s">
        <v>123</v>
      </c>
      <c r="P732" s="35"/>
    </row>
    <row r="733" customFormat="false" ht="25.5" hidden="false" customHeight="true" outlineLevel="0" collapsed="false">
      <c r="A733" s="34" t="n">
        <v>732</v>
      </c>
      <c r="B733" s="34" t="n">
        <v>8</v>
      </c>
      <c r="C733" s="34" t="s">
        <v>125</v>
      </c>
      <c r="D733" s="37" t="s">
        <v>1732</v>
      </c>
      <c r="E733" s="34" t="s">
        <v>1101</v>
      </c>
      <c r="F733" s="35" t="s">
        <v>1000</v>
      </c>
      <c r="G733" s="34" t="s">
        <v>505</v>
      </c>
      <c r="H733" s="34" t="s">
        <v>1677</v>
      </c>
      <c r="I733" s="35" t="s">
        <v>1722</v>
      </c>
      <c r="J733" s="37" t="s">
        <v>1733</v>
      </c>
      <c r="K733" s="36" t="n">
        <f aca="false">ROUND((IF(E733="Transactional",5,IF(E733="Commercial",4,IF(E733="Comparison",3,IF(E733="Informational",2,3))))*LOG10(IF(ISNUMBER(L733),L733,IFERROR(VALUE(LEFT(F733,FIND("-",F733)-1)),100))+1))/IF(IF(ISBLANK(M733),G733,M733)="High",5,IF(IF(ISBLANK(M733),G733,M733)="Medium",3,1)),2)</f>
        <v>10.89</v>
      </c>
      <c r="L733" s="34"/>
      <c r="M733" s="34"/>
      <c r="N733" s="34"/>
      <c r="O733" s="34" t="s">
        <v>123</v>
      </c>
      <c r="P733" s="35"/>
    </row>
    <row r="734" customFormat="false" ht="25.5" hidden="false" customHeight="true" outlineLevel="0" collapsed="false">
      <c r="A734" s="34" t="n">
        <v>733</v>
      </c>
      <c r="B734" s="34" t="n">
        <v>8</v>
      </c>
      <c r="C734" s="34" t="s">
        <v>115</v>
      </c>
      <c r="D734" s="35" t="s">
        <v>1734</v>
      </c>
      <c r="E734" s="34" t="s">
        <v>1101</v>
      </c>
      <c r="F734" s="35" t="s">
        <v>1000</v>
      </c>
      <c r="G734" s="34" t="s">
        <v>505</v>
      </c>
      <c r="H734" s="34" t="s">
        <v>1677</v>
      </c>
      <c r="I734" s="35" t="s">
        <v>1722</v>
      </c>
      <c r="J734" s="35" t="s">
        <v>1735</v>
      </c>
      <c r="K734" s="36" t="n">
        <f aca="false">ROUND((IF(E734="Transactional",5,IF(E734="Commercial",4,IF(E734="Comparison",3,IF(E734="Informational",2,3))))*LOG10(IF(ISNUMBER(L734),L734,IFERROR(VALUE(LEFT(F734,FIND("-",F734)-1)),100))+1))/IF(IF(ISBLANK(M734),G734,M734)="High",5,IF(IF(ISBLANK(M734),G734,M734)="Medium",3,1)),2)</f>
        <v>10.89</v>
      </c>
      <c r="L734" s="34"/>
      <c r="M734" s="34"/>
      <c r="N734" s="34"/>
      <c r="O734" s="34" t="s">
        <v>123</v>
      </c>
      <c r="P734" s="35"/>
    </row>
    <row r="735" customFormat="false" ht="25.5" hidden="false" customHeight="true" outlineLevel="0" collapsed="false">
      <c r="A735" s="34" t="n">
        <v>734</v>
      </c>
      <c r="B735" s="34" t="n">
        <v>8</v>
      </c>
      <c r="C735" s="34" t="s">
        <v>125</v>
      </c>
      <c r="D735" s="37" t="s">
        <v>1736</v>
      </c>
      <c r="E735" s="34" t="s">
        <v>1101</v>
      </c>
      <c r="F735" s="35" t="s">
        <v>1000</v>
      </c>
      <c r="G735" s="34" t="s">
        <v>505</v>
      </c>
      <c r="H735" s="34" t="s">
        <v>1677</v>
      </c>
      <c r="I735" s="35" t="s">
        <v>1722</v>
      </c>
      <c r="J735" s="37" t="s">
        <v>1737</v>
      </c>
      <c r="K735" s="36" t="n">
        <f aca="false">ROUND((IF(E735="Transactional",5,IF(E735="Commercial",4,IF(E735="Comparison",3,IF(E735="Informational",2,3))))*LOG10(IF(ISNUMBER(L735),L735,IFERROR(VALUE(LEFT(F735,FIND("-",F735)-1)),100))+1))/IF(IF(ISBLANK(M735),G735,M735)="High",5,IF(IF(ISBLANK(M735),G735,M735)="Medium",3,1)),2)</f>
        <v>10.89</v>
      </c>
      <c r="L735" s="34"/>
      <c r="M735" s="34"/>
      <c r="N735" s="34"/>
      <c r="O735" s="34" t="s">
        <v>123</v>
      </c>
      <c r="P735" s="35"/>
    </row>
    <row r="736" customFormat="false" ht="25.5" hidden="false" customHeight="true" outlineLevel="0" collapsed="false">
      <c r="A736" s="34" t="n">
        <v>735</v>
      </c>
      <c r="B736" s="34" t="n">
        <v>8</v>
      </c>
      <c r="C736" s="34" t="s">
        <v>115</v>
      </c>
      <c r="D736" s="35" t="s">
        <v>1738</v>
      </c>
      <c r="E736" s="34" t="s">
        <v>1101</v>
      </c>
      <c r="F736" s="35" t="s">
        <v>1000</v>
      </c>
      <c r="G736" s="34" t="s">
        <v>505</v>
      </c>
      <c r="H736" s="34" t="s">
        <v>1677</v>
      </c>
      <c r="I736" s="35" t="s">
        <v>1739</v>
      </c>
      <c r="J736" s="35" t="s">
        <v>1740</v>
      </c>
      <c r="K736" s="36" t="n">
        <f aca="false">ROUND((IF(E736="Transactional",5,IF(E736="Commercial",4,IF(E736="Comparison",3,IF(E736="Informational",2,3))))*LOG10(IF(ISNUMBER(L736),L736,IFERROR(VALUE(LEFT(F736,FIND("-",F736)-1)),100))+1))/IF(IF(ISBLANK(M736),G736,M736)="High",5,IF(IF(ISBLANK(M736),G736,M736)="Medium",3,1)),2)</f>
        <v>10.89</v>
      </c>
      <c r="L736" s="34"/>
      <c r="M736" s="34"/>
      <c r="N736" s="34"/>
      <c r="O736" s="34" t="s">
        <v>123</v>
      </c>
      <c r="P736" s="35"/>
    </row>
    <row r="737" customFormat="false" ht="25.5" hidden="false" customHeight="true" outlineLevel="0" collapsed="false">
      <c r="A737" s="34" t="n">
        <v>736</v>
      </c>
      <c r="B737" s="34" t="n">
        <v>8</v>
      </c>
      <c r="C737" s="34" t="s">
        <v>125</v>
      </c>
      <c r="D737" s="37" t="s">
        <v>1741</v>
      </c>
      <c r="E737" s="34" t="s">
        <v>1101</v>
      </c>
      <c r="F737" s="35" t="s">
        <v>1000</v>
      </c>
      <c r="G737" s="34" t="s">
        <v>505</v>
      </c>
      <c r="H737" s="34" t="s">
        <v>1677</v>
      </c>
      <c r="I737" s="35" t="s">
        <v>1739</v>
      </c>
      <c r="J737" s="37" t="s">
        <v>1742</v>
      </c>
      <c r="K737" s="36" t="n">
        <f aca="false">ROUND((IF(E737="Transactional",5,IF(E737="Commercial",4,IF(E737="Comparison",3,IF(E737="Informational",2,3))))*LOG10(IF(ISNUMBER(L737),L737,IFERROR(VALUE(LEFT(F737,FIND("-",F737)-1)),100))+1))/IF(IF(ISBLANK(M737),G737,M737)="High",5,IF(IF(ISBLANK(M737),G737,M737)="Medium",3,1)),2)</f>
        <v>10.89</v>
      </c>
      <c r="L737" s="34"/>
      <c r="M737" s="34"/>
      <c r="N737" s="34"/>
      <c r="O737" s="34" t="s">
        <v>123</v>
      </c>
      <c r="P737" s="35"/>
    </row>
    <row r="738" customFormat="false" ht="25.5" hidden="false" customHeight="true" outlineLevel="0" collapsed="false">
      <c r="A738" s="34" t="n">
        <v>737</v>
      </c>
      <c r="B738" s="34" t="n">
        <v>8</v>
      </c>
      <c r="C738" s="34" t="s">
        <v>115</v>
      </c>
      <c r="D738" s="35" t="s">
        <v>1743</v>
      </c>
      <c r="E738" s="34" t="s">
        <v>1101</v>
      </c>
      <c r="F738" s="35" t="s">
        <v>1000</v>
      </c>
      <c r="G738" s="34" t="s">
        <v>505</v>
      </c>
      <c r="H738" s="34" t="s">
        <v>1677</v>
      </c>
      <c r="I738" s="35" t="s">
        <v>1739</v>
      </c>
      <c r="J738" s="35" t="s">
        <v>1744</v>
      </c>
      <c r="K738" s="36" t="n">
        <f aca="false">ROUND((IF(E738="Transactional",5,IF(E738="Commercial",4,IF(E738="Comparison",3,IF(E738="Informational",2,3))))*LOG10(IF(ISNUMBER(L738),L738,IFERROR(VALUE(LEFT(F738,FIND("-",F738)-1)),100))+1))/IF(IF(ISBLANK(M738),G738,M738)="High",5,IF(IF(ISBLANK(M738),G738,M738)="Medium",3,1)),2)</f>
        <v>10.89</v>
      </c>
      <c r="L738" s="34"/>
      <c r="M738" s="34"/>
      <c r="N738" s="34"/>
      <c r="O738" s="34" t="s">
        <v>123</v>
      </c>
      <c r="P738" s="35"/>
    </row>
    <row r="739" customFormat="false" ht="25.5" hidden="false" customHeight="true" outlineLevel="0" collapsed="false">
      <c r="A739" s="34" t="n">
        <v>738</v>
      </c>
      <c r="B739" s="34" t="n">
        <v>8</v>
      </c>
      <c r="C739" s="34" t="s">
        <v>125</v>
      </c>
      <c r="D739" s="37" t="s">
        <v>1745</v>
      </c>
      <c r="E739" s="34" t="s">
        <v>1101</v>
      </c>
      <c r="F739" s="35" t="s">
        <v>1000</v>
      </c>
      <c r="G739" s="34" t="s">
        <v>505</v>
      </c>
      <c r="H739" s="34" t="s">
        <v>1677</v>
      </c>
      <c r="I739" s="35" t="s">
        <v>1739</v>
      </c>
      <c r="J739" s="37" t="s">
        <v>1746</v>
      </c>
      <c r="K739" s="36" t="n">
        <f aca="false">ROUND((IF(E739="Transactional",5,IF(E739="Commercial",4,IF(E739="Comparison",3,IF(E739="Informational",2,3))))*LOG10(IF(ISNUMBER(L739),L739,IFERROR(VALUE(LEFT(F739,FIND("-",F739)-1)),100))+1))/IF(IF(ISBLANK(M739),G739,M739)="High",5,IF(IF(ISBLANK(M739),G739,M739)="Medium",3,1)),2)</f>
        <v>10.89</v>
      </c>
      <c r="L739" s="34"/>
      <c r="M739" s="34"/>
      <c r="N739" s="34"/>
      <c r="O739" s="34" t="s">
        <v>123</v>
      </c>
      <c r="P739" s="35"/>
    </row>
    <row r="740" customFormat="false" ht="25.5" hidden="false" customHeight="true" outlineLevel="0" collapsed="false">
      <c r="A740" s="38" t="n">
        <v>739</v>
      </c>
      <c r="B740" s="38" t="n">
        <v>9</v>
      </c>
      <c r="C740" s="38" t="s">
        <v>115</v>
      </c>
      <c r="D740" s="39" t="s">
        <v>1747</v>
      </c>
      <c r="E740" s="38" t="s">
        <v>117</v>
      </c>
      <c r="F740" s="39" t="s">
        <v>136</v>
      </c>
      <c r="G740" s="38" t="s">
        <v>137</v>
      </c>
      <c r="H740" s="38" t="s">
        <v>1748</v>
      </c>
      <c r="I740" s="39" t="s">
        <v>1748</v>
      </c>
      <c r="J740" s="39" t="s">
        <v>1749</v>
      </c>
      <c r="K740" s="40" t="n">
        <f aca="false">ROUND((IF(E740="Transactional",5,IF(E740="Commercial",4,IF(E740="Comparison",3,IF(E740="Informational",2,3))))*LOG10(IF(ISNUMBER(L740),L740,IFERROR(VALUE(LEFT(F740,FIND("-",F740)-1)),100))+1))/IF(IF(ISBLANK(M740),G740,M740)="High",5,IF(IF(ISBLANK(M740),G740,M740)="Medium",3,1)),2)</f>
        <v>3.47</v>
      </c>
      <c r="L740" s="38"/>
      <c r="M740" s="38"/>
      <c r="N740" s="38"/>
      <c r="O740" s="38" t="s">
        <v>123</v>
      </c>
      <c r="P740" s="39"/>
    </row>
    <row r="741" customFormat="false" ht="25.5" hidden="false" customHeight="true" outlineLevel="0" collapsed="false">
      <c r="A741" s="38" t="n">
        <v>740</v>
      </c>
      <c r="B741" s="38" t="n">
        <v>9</v>
      </c>
      <c r="C741" s="38" t="s">
        <v>125</v>
      </c>
      <c r="D741" s="41" t="s">
        <v>1750</v>
      </c>
      <c r="E741" s="38" t="s">
        <v>117</v>
      </c>
      <c r="F741" s="39" t="s">
        <v>1751</v>
      </c>
      <c r="G741" s="38" t="s">
        <v>505</v>
      </c>
      <c r="H741" s="38" t="s">
        <v>1748</v>
      </c>
      <c r="I741" s="39" t="s">
        <v>1748</v>
      </c>
      <c r="J741" s="41" t="s">
        <v>1752</v>
      </c>
      <c r="K741" s="40" t="n">
        <f aca="false">ROUND((IF(E741="Transactional",5,IF(E741="Commercial",4,IF(E741="Comparison",3,IF(E741="Informational",2,3))))*LOG10(IF(ISNUMBER(L741),L741,IFERROR(VALUE(LEFT(F741,FIND("-",F741)-1)),100))+1))/IF(IF(ISBLANK(M741),G741,M741)="High",5,IF(IF(ISBLANK(M741),G741,M741)="Medium",3,1)),2)</f>
        <v>9.91</v>
      </c>
      <c r="L741" s="38"/>
      <c r="M741" s="38"/>
      <c r="N741" s="38"/>
      <c r="O741" s="38" t="s">
        <v>123</v>
      </c>
      <c r="P741" s="39"/>
    </row>
    <row r="742" customFormat="false" ht="25.5" hidden="false" customHeight="true" outlineLevel="0" collapsed="false">
      <c r="A742" s="38" t="n">
        <v>741</v>
      </c>
      <c r="B742" s="38" t="n">
        <v>9</v>
      </c>
      <c r="C742" s="38" t="s">
        <v>115</v>
      </c>
      <c r="D742" s="39" t="s">
        <v>1753</v>
      </c>
      <c r="E742" s="38" t="s">
        <v>117</v>
      </c>
      <c r="F742" s="39" t="s">
        <v>997</v>
      </c>
      <c r="G742" s="38" t="s">
        <v>137</v>
      </c>
      <c r="H742" s="38" t="s">
        <v>1748</v>
      </c>
      <c r="I742" s="39" t="s">
        <v>1748</v>
      </c>
      <c r="J742" s="39" t="s">
        <v>1754</v>
      </c>
      <c r="K742" s="40" t="n">
        <f aca="false">ROUND((IF(E742="Transactional",5,IF(E742="Commercial",4,IF(E742="Comparison",3,IF(E742="Informational",2,3))))*LOG10(IF(ISNUMBER(L742),L742,IFERROR(VALUE(LEFT(F742,FIND("-",F742)-1)),100))+1))/IF(IF(ISBLANK(M742),G742,M742)="High",5,IF(IF(ISBLANK(M742),G742,M742)="Medium",3,1)),2)</f>
        <v>3.07</v>
      </c>
      <c r="L742" s="38"/>
      <c r="M742" s="38"/>
      <c r="N742" s="38"/>
      <c r="O742" s="38" t="s">
        <v>123</v>
      </c>
      <c r="P742" s="39"/>
    </row>
    <row r="743" customFormat="false" ht="25.5" hidden="false" customHeight="true" outlineLevel="0" collapsed="false">
      <c r="A743" s="38" t="n">
        <v>742</v>
      </c>
      <c r="B743" s="38" t="n">
        <v>9</v>
      </c>
      <c r="C743" s="38" t="s">
        <v>125</v>
      </c>
      <c r="D743" s="41" t="s">
        <v>1755</v>
      </c>
      <c r="E743" s="38" t="s">
        <v>117</v>
      </c>
      <c r="F743" s="39" t="s">
        <v>1000</v>
      </c>
      <c r="G743" s="38" t="s">
        <v>505</v>
      </c>
      <c r="H743" s="38" t="s">
        <v>1748</v>
      </c>
      <c r="I743" s="39" t="s">
        <v>1748</v>
      </c>
      <c r="J743" s="41" t="s">
        <v>1756</v>
      </c>
      <c r="K743" s="40" t="n">
        <f aca="false">ROUND((IF(E743="Transactional",5,IF(E743="Commercial",4,IF(E743="Comparison",3,IF(E743="Informational",2,3))))*LOG10(IF(ISNUMBER(L743),L743,IFERROR(VALUE(LEFT(F743,FIND("-",F743)-1)),100))+1))/IF(IF(ISBLANK(M743),G743,M743)="High",5,IF(IF(ISBLANK(M743),G743,M743)="Medium",3,1)),2)</f>
        <v>8.72</v>
      </c>
      <c r="L743" s="38"/>
      <c r="M743" s="38"/>
      <c r="N743" s="38"/>
      <c r="O743" s="38" t="s">
        <v>123</v>
      </c>
      <c r="P743" s="39"/>
    </row>
    <row r="744" customFormat="false" ht="25.5" hidden="false" customHeight="true" outlineLevel="0" collapsed="false">
      <c r="A744" s="38" t="n">
        <v>743</v>
      </c>
      <c r="B744" s="38" t="n">
        <v>9</v>
      </c>
      <c r="C744" s="38" t="s">
        <v>115</v>
      </c>
      <c r="D744" s="39" t="s">
        <v>1757</v>
      </c>
      <c r="E744" s="38" t="s">
        <v>117</v>
      </c>
      <c r="F744" s="39" t="s">
        <v>997</v>
      </c>
      <c r="G744" s="38" t="s">
        <v>137</v>
      </c>
      <c r="H744" s="38" t="s">
        <v>1748</v>
      </c>
      <c r="I744" s="39" t="s">
        <v>1748</v>
      </c>
      <c r="J744" s="39" t="s">
        <v>1758</v>
      </c>
      <c r="K744" s="40" t="n">
        <f aca="false">ROUND((IF(E744="Transactional",5,IF(E744="Commercial",4,IF(E744="Comparison",3,IF(E744="Informational",2,3))))*LOG10(IF(ISNUMBER(L744),L744,IFERROR(VALUE(LEFT(F744,FIND("-",F744)-1)),100))+1))/IF(IF(ISBLANK(M744),G744,M744)="High",5,IF(IF(ISBLANK(M744),G744,M744)="Medium",3,1)),2)</f>
        <v>3.07</v>
      </c>
      <c r="L744" s="38"/>
      <c r="M744" s="38"/>
      <c r="N744" s="38"/>
      <c r="O744" s="38" t="s">
        <v>123</v>
      </c>
      <c r="P744" s="39"/>
    </row>
    <row r="745" customFormat="false" ht="25.5" hidden="false" customHeight="true" outlineLevel="0" collapsed="false">
      <c r="A745" s="38" t="n">
        <v>744</v>
      </c>
      <c r="B745" s="38" t="n">
        <v>9</v>
      </c>
      <c r="C745" s="38" t="s">
        <v>125</v>
      </c>
      <c r="D745" s="41" t="s">
        <v>1759</v>
      </c>
      <c r="E745" s="38" t="s">
        <v>117</v>
      </c>
      <c r="F745" s="39" t="s">
        <v>1000</v>
      </c>
      <c r="G745" s="38" t="s">
        <v>505</v>
      </c>
      <c r="H745" s="38" t="s">
        <v>1748</v>
      </c>
      <c r="I745" s="39" t="s">
        <v>1748</v>
      </c>
      <c r="J745" s="41" t="s">
        <v>1760</v>
      </c>
      <c r="K745" s="40" t="n">
        <f aca="false">ROUND((IF(E745="Transactional",5,IF(E745="Commercial",4,IF(E745="Comparison",3,IF(E745="Informational",2,3))))*LOG10(IF(ISNUMBER(L745),L745,IFERROR(VALUE(LEFT(F745,FIND("-",F745)-1)),100))+1))/IF(IF(ISBLANK(M745),G745,M745)="High",5,IF(IF(ISBLANK(M745),G745,M745)="Medium",3,1)),2)</f>
        <v>8.72</v>
      </c>
      <c r="L745" s="38"/>
      <c r="M745" s="38"/>
      <c r="N745" s="38"/>
      <c r="O745" s="38" t="s">
        <v>123</v>
      </c>
      <c r="P745" s="39"/>
    </row>
    <row r="746" customFormat="false" ht="25.5" hidden="false" customHeight="true" outlineLevel="0" collapsed="false">
      <c r="A746" s="38" t="n">
        <v>745</v>
      </c>
      <c r="B746" s="38" t="n">
        <v>9</v>
      </c>
      <c r="C746" s="38" t="s">
        <v>115</v>
      </c>
      <c r="D746" s="39" t="s">
        <v>1761</v>
      </c>
      <c r="E746" s="38" t="s">
        <v>117</v>
      </c>
      <c r="F746" s="39" t="s">
        <v>997</v>
      </c>
      <c r="G746" s="38" t="s">
        <v>137</v>
      </c>
      <c r="H746" s="38" t="s">
        <v>1748</v>
      </c>
      <c r="I746" s="39" t="s">
        <v>1748</v>
      </c>
      <c r="J746" s="39" t="s">
        <v>1762</v>
      </c>
      <c r="K746" s="40" t="n">
        <f aca="false">ROUND((IF(E746="Transactional",5,IF(E746="Commercial",4,IF(E746="Comparison",3,IF(E746="Informational",2,3))))*LOG10(IF(ISNUMBER(L746),L746,IFERROR(VALUE(LEFT(F746,FIND("-",F746)-1)),100))+1))/IF(IF(ISBLANK(M746),G746,M746)="High",5,IF(IF(ISBLANK(M746),G746,M746)="Medium",3,1)),2)</f>
        <v>3.07</v>
      </c>
      <c r="L746" s="38"/>
      <c r="M746" s="38"/>
      <c r="N746" s="38"/>
      <c r="O746" s="38" t="s">
        <v>123</v>
      </c>
      <c r="P746" s="39"/>
    </row>
    <row r="747" customFormat="false" ht="25.5" hidden="false" customHeight="true" outlineLevel="0" collapsed="false">
      <c r="A747" s="38" t="n">
        <v>746</v>
      </c>
      <c r="B747" s="38" t="n">
        <v>9</v>
      </c>
      <c r="C747" s="38" t="s">
        <v>125</v>
      </c>
      <c r="D747" s="41" t="s">
        <v>1763</v>
      </c>
      <c r="E747" s="38" t="s">
        <v>117</v>
      </c>
      <c r="F747" s="39" t="s">
        <v>1000</v>
      </c>
      <c r="G747" s="38" t="s">
        <v>505</v>
      </c>
      <c r="H747" s="38" t="s">
        <v>1748</v>
      </c>
      <c r="I747" s="39" t="s">
        <v>1748</v>
      </c>
      <c r="J747" s="41" t="s">
        <v>1764</v>
      </c>
      <c r="K747" s="40" t="n">
        <f aca="false">ROUND((IF(E747="Transactional",5,IF(E747="Commercial",4,IF(E747="Comparison",3,IF(E747="Informational",2,3))))*LOG10(IF(ISNUMBER(L747),L747,IFERROR(VALUE(LEFT(F747,FIND("-",F747)-1)),100))+1))/IF(IF(ISBLANK(M747),G747,M747)="High",5,IF(IF(ISBLANK(M747),G747,M747)="Medium",3,1)),2)</f>
        <v>8.72</v>
      </c>
      <c r="L747" s="38"/>
      <c r="M747" s="38"/>
      <c r="N747" s="38"/>
      <c r="O747" s="38" t="s">
        <v>123</v>
      </c>
      <c r="P747" s="39"/>
    </row>
    <row r="748" customFormat="false" ht="25.5" hidden="false" customHeight="true" outlineLevel="0" collapsed="false">
      <c r="A748" s="38" t="n">
        <v>747</v>
      </c>
      <c r="B748" s="38" t="n">
        <v>9</v>
      </c>
      <c r="C748" s="38" t="s">
        <v>115</v>
      </c>
      <c r="D748" s="39" t="s">
        <v>1765</v>
      </c>
      <c r="E748" s="38" t="s">
        <v>117</v>
      </c>
      <c r="F748" s="39" t="s">
        <v>997</v>
      </c>
      <c r="G748" s="38" t="s">
        <v>137</v>
      </c>
      <c r="H748" s="38" t="s">
        <v>1748</v>
      </c>
      <c r="I748" s="39" t="s">
        <v>1748</v>
      </c>
      <c r="J748" s="39" t="s">
        <v>1766</v>
      </c>
      <c r="K748" s="40" t="n">
        <f aca="false">ROUND((IF(E748="Transactional",5,IF(E748="Commercial",4,IF(E748="Comparison",3,IF(E748="Informational",2,3))))*LOG10(IF(ISNUMBER(L748),L748,IFERROR(VALUE(LEFT(F748,FIND("-",F748)-1)),100))+1))/IF(IF(ISBLANK(M748),G748,M748)="High",5,IF(IF(ISBLANK(M748),G748,M748)="Medium",3,1)),2)</f>
        <v>3.07</v>
      </c>
      <c r="L748" s="38"/>
      <c r="M748" s="38"/>
      <c r="N748" s="38"/>
      <c r="O748" s="38" t="s">
        <v>123</v>
      </c>
      <c r="P748" s="39"/>
    </row>
    <row r="749" customFormat="false" ht="25.5" hidden="false" customHeight="true" outlineLevel="0" collapsed="false">
      <c r="A749" s="38" t="n">
        <v>748</v>
      </c>
      <c r="B749" s="38" t="n">
        <v>9</v>
      </c>
      <c r="C749" s="38" t="s">
        <v>125</v>
      </c>
      <c r="D749" s="41" t="s">
        <v>1767</v>
      </c>
      <c r="E749" s="38" t="s">
        <v>117</v>
      </c>
      <c r="F749" s="39" t="s">
        <v>1000</v>
      </c>
      <c r="G749" s="38" t="s">
        <v>505</v>
      </c>
      <c r="H749" s="38" t="s">
        <v>1748</v>
      </c>
      <c r="I749" s="39" t="s">
        <v>1748</v>
      </c>
      <c r="J749" s="41" t="s">
        <v>1768</v>
      </c>
      <c r="K749" s="40" t="n">
        <f aca="false">ROUND((IF(E749="Transactional",5,IF(E749="Commercial",4,IF(E749="Comparison",3,IF(E749="Informational",2,3))))*LOG10(IF(ISNUMBER(L749),L749,IFERROR(VALUE(LEFT(F749,FIND("-",F749)-1)),100))+1))/IF(IF(ISBLANK(M749),G749,M749)="High",5,IF(IF(ISBLANK(M749),G749,M749)="Medium",3,1)),2)</f>
        <v>8.72</v>
      </c>
      <c r="L749" s="38"/>
      <c r="M749" s="38"/>
      <c r="N749" s="38"/>
      <c r="O749" s="38" t="s">
        <v>123</v>
      </c>
      <c r="P749" s="39"/>
    </row>
    <row r="750" customFormat="false" ht="25.5" hidden="false" customHeight="true" outlineLevel="0" collapsed="false">
      <c r="A750" s="38" t="n">
        <v>749</v>
      </c>
      <c r="B750" s="38" t="n">
        <v>9</v>
      </c>
      <c r="C750" s="38" t="s">
        <v>115</v>
      </c>
      <c r="D750" s="39" t="s">
        <v>1769</v>
      </c>
      <c r="E750" s="38" t="s">
        <v>117</v>
      </c>
      <c r="F750" s="39" t="s">
        <v>1514</v>
      </c>
      <c r="G750" s="38" t="s">
        <v>137</v>
      </c>
      <c r="H750" s="38" t="s">
        <v>1748</v>
      </c>
      <c r="I750" s="39" t="s">
        <v>1748</v>
      </c>
      <c r="J750" s="39" t="s">
        <v>1770</v>
      </c>
      <c r="K750" s="40" t="n">
        <f aca="false">ROUND((IF(E750="Transactional",5,IF(E750="Commercial",4,IF(E750="Comparison",3,IF(E750="Informational",2,3))))*LOG10(IF(ISNUMBER(L750),L750,IFERROR(VALUE(LEFT(F750,FIND("-",F750)-1)),100))+1))/IF(IF(ISBLANK(M750),G750,M750)="High",5,IF(IF(ISBLANK(M750),G750,M750)="Medium",3,1)),2)</f>
        <v>2.67</v>
      </c>
      <c r="L750" s="38"/>
      <c r="M750" s="38"/>
      <c r="N750" s="38"/>
      <c r="O750" s="38" t="s">
        <v>123</v>
      </c>
      <c r="P750" s="39"/>
    </row>
    <row r="751" customFormat="false" ht="25.5" hidden="false" customHeight="true" outlineLevel="0" collapsed="false">
      <c r="A751" s="38" t="n">
        <v>750</v>
      </c>
      <c r="B751" s="38" t="n">
        <v>9</v>
      </c>
      <c r="C751" s="38" t="s">
        <v>125</v>
      </c>
      <c r="D751" s="41" t="s">
        <v>1771</v>
      </c>
      <c r="E751" s="38" t="s">
        <v>117</v>
      </c>
      <c r="F751" s="39" t="s">
        <v>1699</v>
      </c>
      <c r="G751" s="38" t="s">
        <v>505</v>
      </c>
      <c r="H751" s="38" t="s">
        <v>1748</v>
      </c>
      <c r="I751" s="39" t="s">
        <v>1748</v>
      </c>
      <c r="J751" s="41" t="s">
        <v>1772</v>
      </c>
      <c r="K751" s="40" t="n">
        <f aca="false">ROUND((IF(E751="Transactional",5,IF(E751="Commercial",4,IF(E751="Comparison",3,IF(E751="Informational",2,3))))*LOG10(IF(ISNUMBER(L751),L751,IFERROR(VALUE(LEFT(F751,FIND("-",F751)-1)),100))+1))/IF(IF(ISBLANK(M751),G751,M751)="High",5,IF(IF(ISBLANK(M751),G751,M751)="Medium",3,1)),2)</f>
        <v>7.63</v>
      </c>
      <c r="L751" s="38"/>
      <c r="M751" s="38"/>
      <c r="N751" s="38"/>
      <c r="O751" s="38" t="s">
        <v>123</v>
      </c>
      <c r="P751" s="39"/>
    </row>
    <row r="752" customFormat="false" ht="25.5" hidden="false" customHeight="true" outlineLevel="0" collapsed="false">
      <c r="A752" s="38" t="n">
        <v>751</v>
      </c>
      <c r="B752" s="38" t="n">
        <v>9</v>
      </c>
      <c r="C752" s="38" t="s">
        <v>115</v>
      </c>
      <c r="D752" s="39" t="s">
        <v>1773</v>
      </c>
      <c r="E752" s="38" t="s">
        <v>117</v>
      </c>
      <c r="F752" s="39" t="s">
        <v>136</v>
      </c>
      <c r="G752" s="38" t="s">
        <v>137</v>
      </c>
      <c r="H752" s="38" t="s">
        <v>1748</v>
      </c>
      <c r="I752" s="39" t="s">
        <v>1748</v>
      </c>
      <c r="J752" s="39" t="s">
        <v>1774</v>
      </c>
      <c r="K752" s="40" t="n">
        <f aca="false">ROUND((IF(E752="Transactional",5,IF(E752="Commercial",4,IF(E752="Comparison",3,IF(E752="Informational",2,3))))*LOG10(IF(ISNUMBER(L752),L752,IFERROR(VALUE(LEFT(F752,FIND("-",F752)-1)),100))+1))/IF(IF(ISBLANK(M752),G752,M752)="High",5,IF(IF(ISBLANK(M752),G752,M752)="Medium",3,1)),2)</f>
        <v>3.47</v>
      </c>
      <c r="L752" s="38"/>
      <c r="M752" s="38"/>
      <c r="N752" s="38"/>
      <c r="O752" s="38" t="s">
        <v>123</v>
      </c>
      <c r="P752" s="39"/>
    </row>
    <row r="753" customFormat="false" ht="25.5" hidden="false" customHeight="true" outlineLevel="0" collapsed="false">
      <c r="A753" s="38" t="n">
        <v>752</v>
      </c>
      <c r="B753" s="38" t="n">
        <v>9</v>
      </c>
      <c r="C753" s="38" t="s">
        <v>125</v>
      </c>
      <c r="D753" s="41" t="s">
        <v>1775</v>
      </c>
      <c r="E753" s="38" t="s">
        <v>117</v>
      </c>
      <c r="F753" s="39" t="s">
        <v>1751</v>
      </c>
      <c r="G753" s="38" t="s">
        <v>505</v>
      </c>
      <c r="H753" s="38" t="s">
        <v>1748</v>
      </c>
      <c r="I753" s="39" t="s">
        <v>1748</v>
      </c>
      <c r="J753" s="41" t="s">
        <v>1776</v>
      </c>
      <c r="K753" s="40" t="n">
        <f aca="false">ROUND((IF(E753="Transactional",5,IF(E753="Commercial",4,IF(E753="Comparison",3,IF(E753="Informational",2,3))))*LOG10(IF(ISNUMBER(L753),L753,IFERROR(VALUE(LEFT(F753,FIND("-",F753)-1)),100))+1))/IF(IF(ISBLANK(M753),G753,M753)="High",5,IF(IF(ISBLANK(M753),G753,M753)="Medium",3,1)),2)</f>
        <v>9.91</v>
      </c>
      <c r="L753" s="38"/>
      <c r="M753" s="38"/>
      <c r="N753" s="38"/>
      <c r="O753" s="38" t="s">
        <v>123</v>
      </c>
      <c r="P753" s="39"/>
    </row>
    <row r="754" customFormat="false" ht="25.5" hidden="false" customHeight="true" outlineLevel="0" collapsed="false">
      <c r="A754" s="38" t="n">
        <v>753</v>
      </c>
      <c r="B754" s="38" t="n">
        <v>9</v>
      </c>
      <c r="C754" s="38" t="s">
        <v>115</v>
      </c>
      <c r="D754" s="39" t="s">
        <v>1777</v>
      </c>
      <c r="E754" s="38" t="s">
        <v>117</v>
      </c>
      <c r="F754" s="39" t="s">
        <v>997</v>
      </c>
      <c r="G754" s="38" t="s">
        <v>137</v>
      </c>
      <c r="H754" s="38" t="s">
        <v>1748</v>
      </c>
      <c r="I754" s="39" t="s">
        <v>1748</v>
      </c>
      <c r="J754" s="39" t="s">
        <v>1778</v>
      </c>
      <c r="K754" s="40" t="n">
        <f aca="false">ROUND((IF(E754="Transactional",5,IF(E754="Commercial",4,IF(E754="Comparison",3,IF(E754="Informational",2,3))))*LOG10(IF(ISNUMBER(L754),L754,IFERROR(VALUE(LEFT(F754,FIND("-",F754)-1)),100))+1))/IF(IF(ISBLANK(M754),G754,M754)="High",5,IF(IF(ISBLANK(M754),G754,M754)="Medium",3,1)),2)</f>
        <v>3.07</v>
      </c>
      <c r="L754" s="38"/>
      <c r="M754" s="38"/>
      <c r="N754" s="38"/>
      <c r="O754" s="38" t="s">
        <v>123</v>
      </c>
      <c r="P754" s="39"/>
    </row>
    <row r="755" customFormat="false" ht="25.5" hidden="false" customHeight="true" outlineLevel="0" collapsed="false">
      <c r="A755" s="38" t="n">
        <v>754</v>
      </c>
      <c r="B755" s="38" t="n">
        <v>9</v>
      </c>
      <c r="C755" s="38" t="s">
        <v>125</v>
      </c>
      <c r="D755" s="41" t="s">
        <v>1779</v>
      </c>
      <c r="E755" s="38" t="s">
        <v>117</v>
      </c>
      <c r="F755" s="39" t="s">
        <v>1000</v>
      </c>
      <c r="G755" s="38" t="s">
        <v>505</v>
      </c>
      <c r="H755" s="38" t="s">
        <v>1748</v>
      </c>
      <c r="I755" s="39" t="s">
        <v>1748</v>
      </c>
      <c r="J755" s="41" t="s">
        <v>1780</v>
      </c>
      <c r="K755" s="40" t="n">
        <f aca="false">ROUND((IF(E755="Transactional",5,IF(E755="Commercial",4,IF(E755="Comparison",3,IF(E755="Informational",2,3))))*LOG10(IF(ISNUMBER(L755),L755,IFERROR(VALUE(LEFT(F755,FIND("-",F755)-1)),100))+1))/IF(IF(ISBLANK(M755),G755,M755)="High",5,IF(IF(ISBLANK(M755),G755,M755)="Medium",3,1)),2)</f>
        <v>8.72</v>
      </c>
      <c r="L755" s="38"/>
      <c r="M755" s="38"/>
      <c r="N755" s="38"/>
      <c r="O755" s="38" t="s">
        <v>123</v>
      </c>
      <c r="P755" s="39"/>
    </row>
    <row r="756" customFormat="false" ht="25.5" hidden="false" customHeight="true" outlineLevel="0" collapsed="false">
      <c r="A756" s="38" t="n">
        <v>755</v>
      </c>
      <c r="B756" s="38" t="n">
        <v>9</v>
      </c>
      <c r="C756" s="38" t="s">
        <v>115</v>
      </c>
      <c r="D756" s="39" t="s">
        <v>1781</v>
      </c>
      <c r="E756" s="38" t="s">
        <v>117</v>
      </c>
      <c r="F756" s="39" t="s">
        <v>997</v>
      </c>
      <c r="G756" s="38" t="s">
        <v>137</v>
      </c>
      <c r="H756" s="38" t="s">
        <v>1748</v>
      </c>
      <c r="I756" s="39" t="s">
        <v>1748</v>
      </c>
      <c r="J756" s="39" t="s">
        <v>1782</v>
      </c>
      <c r="K756" s="40" t="n">
        <f aca="false">ROUND((IF(E756="Transactional",5,IF(E756="Commercial",4,IF(E756="Comparison",3,IF(E756="Informational",2,3))))*LOG10(IF(ISNUMBER(L756),L756,IFERROR(VALUE(LEFT(F756,FIND("-",F756)-1)),100))+1))/IF(IF(ISBLANK(M756),G756,M756)="High",5,IF(IF(ISBLANK(M756),G756,M756)="Medium",3,1)),2)</f>
        <v>3.07</v>
      </c>
      <c r="L756" s="38"/>
      <c r="M756" s="38"/>
      <c r="N756" s="38"/>
      <c r="O756" s="38" t="s">
        <v>123</v>
      </c>
      <c r="P756" s="39"/>
    </row>
    <row r="757" customFormat="false" ht="25.5" hidden="false" customHeight="true" outlineLevel="0" collapsed="false">
      <c r="A757" s="38" t="n">
        <v>756</v>
      </c>
      <c r="B757" s="38" t="n">
        <v>9</v>
      </c>
      <c r="C757" s="38" t="s">
        <v>125</v>
      </c>
      <c r="D757" s="41" t="s">
        <v>1783</v>
      </c>
      <c r="E757" s="38" t="s">
        <v>117</v>
      </c>
      <c r="F757" s="39" t="s">
        <v>1000</v>
      </c>
      <c r="G757" s="38" t="s">
        <v>505</v>
      </c>
      <c r="H757" s="38" t="s">
        <v>1748</v>
      </c>
      <c r="I757" s="39" t="s">
        <v>1748</v>
      </c>
      <c r="J757" s="41" t="s">
        <v>1784</v>
      </c>
      <c r="K757" s="40" t="n">
        <f aca="false">ROUND((IF(E757="Transactional",5,IF(E757="Commercial",4,IF(E757="Comparison",3,IF(E757="Informational",2,3))))*LOG10(IF(ISNUMBER(L757),L757,IFERROR(VALUE(LEFT(F757,FIND("-",F757)-1)),100))+1))/IF(IF(ISBLANK(M757),G757,M757)="High",5,IF(IF(ISBLANK(M757),G757,M757)="Medium",3,1)),2)</f>
        <v>8.72</v>
      </c>
      <c r="L757" s="38"/>
      <c r="M757" s="38"/>
      <c r="N757" s="38"/>
      <c r="O757" s="38" t="s">
        <v>123</v>
      </c>
      <c r="P757" s="39"/>
    </row>
    <row r="758" customFormat="false" ht="25.5" hidden="false" customHeight="true" outlineLevel="0" collapsed="false">
      <c r="A758" s="38" t="n">
        <v>757</v>
      </c>
      <c r="B758" s="38" t="n">
        <v>9</v>
      </c>
      <c r="C758" s="38" t="s">
        <v>115</v>
      </c>
      <c r="D758" s="39" t="s">
        <v>1785</v>
      </c>
      <c r="E758" s="38" t="s">
        <v>117</v>
      </c>
      <c r="F758" s="39" t="s">
        <v>997</v>
      </c>
      <c r="G758" s="38" t="s">
        <v>137</v>
      </c>
      <c r="H758" s="38" t="s">
        <v>1748</v>
      </c>
      <c r="I758" s="39" t="s">
        <v>1748</v>
      </c>
      <c r="J758" s="39" t="s">
        <v>1786</v>
      </c>
      <c r="K758" s="40" t="n">
        <f aca="false">ROUND((IF(E758="Transactional",5,IF(E758="Commercial",4,IF(E758="Comparison",3,IF(E758="Informational",2,3))))*LOG10(IF(ISNUMBER(L758),L758,IFERROR(VALUE(LEFT(F758,FIND("-",F758)-1)),100))+1))/IF(IF(ISBLANK(M758),G758,M758)="High",5,IF(IF(ISBLANK(M758),G758,M758)="Medium",3,1)),2)</f>
        <v>3.07</v>
      </c>
      <c r="L758" s="38"/>
      <c r="M758" s="38"/>
      <c r="N758" s="38"/>
      <c r="O758" s="38" t="s">
        <v>123</v>
      </c>
      <c r="P758" s="39"/>
    </row>
    <row r="759" customFormat="false" ht="25.5" hidden="false" customHeight="true" outlineLevel="0" collapsed="false">
      <c r="A759" s="38" t="n">
        <v>758</v>
      </c>
      <c r="B759" s="38" t="n">
        <v>9</v>
      </c>
      <c r="C759" s="38" t="s">
        <v>125</v>
      </c>
      <c r="D759" s="41" t="s">
        <v>1787</v>
      </c>
      <c r="E759" s="38" t="s">
        <v>117</v>
      </c>
      <c r="F759" s="39" t="s">
        <v>1000</v>
      </c>
      <c r="G759" s="38" t="s">
        <v>505</v>
      </c>
      <c r="H759" s="38" t="s">
        <v>1748</v>
      </c>
      <c r="I759" s="39" t="s">
        <v>1748</v>
      </c>
      <c r="J759" s="41" t="s">
        <v>1788</v>
      </c>
      <c r="K759" s="40" t="n">
        <f aca="false">ROUND((IF(E759="Transactional",5,IF(E759="Commercial",4,IF(E759="Comparison",3,IF(E759="Informational",2,3))))*LOG10(IF(ISNUMBER(L759),L759,IFERROR(VALUE(LEFT(F759,FIND("-",F759)-1)),100))+1))/IF(IF(ISBLANK(M759),G759,M759)="High",5,IF(IF(ISBLANK(M759),G759,M759)="Medium",3,1)),2)</f>
        <v>8.72</v>
      </c>
      <c r="L759" s="38"/>
      <c r="M759" s="38"/>
      <c r="N759" s="38"/>
      <c r="O759" s="38" t="s">
        <v>123</v>
      </c>
      <c r="P759" s="39"/>
    </row>
    <row r="760" customFormat="false" ht="25.5" hidden="false" customHeight="true" outlineLevel="0" collapsed="false">
      <c r="A760" s="38" t="n">
        <v>759</v>
      </c>
      <c r="B760" s="38" t="n">
        <v>9</v>
      </c>
      <c r="C760" s="38" t="s">
        <v>115</v>
      </c>
      <c r="D760" s="39" t="s">
        <v>1789</v>
      </c>
      <c r="E760" s="38" t="s">
        <v>117</v>
      </c>
      <c r="F760" s="39" t="s">
        <v>997</v>
      </c>
      <c r="G760" s="38" t="s">
        <v>137</v>
      </c>
      <c r="H760" s="38" t="s">
        <v>1748</v>
      </c>
      <c r="I760" s="39" t="s">
        <v>1748</v>
      </c>
      <c r="J760" s="39" t="s">
        <v>1790</v>
      </c>
      <c r="K760" s="40" t="n">
        <f aca="false">ROUND((IF(E760="Transactional",5,IF(E760="Commercial",4,IF(E760="Comparison",3,IF(E760="Informational",2,3))))*LOG10(IF(ISNUMBER(L760),L760,IFERROR(VALUE(LEFT(F760,FIND("-",F760)-1)),100))+1))/IF(IF(ISBLANK(M760),G760,M760)="High",5,IF(IF(ISBLANK(M760),G760,M760)="Medium",3,1)),2)</f>
        <v>3.07</v>
      </c>
      <c r="L760" s="38"/>
      <c r="M760" s="38"/>
      <c r="N760" s="38"/>
      <c r="O760" s="38" t="s">
        <v>123</v>
      </c>
      <c r="P760" s="39"/>
    </row>
    <row r="761" customFormat="false" ht="25.5" hidden="false" customHeight="true" outlineLevel="0" collapsed="false">
      <c r="A761" s="38" t="n">
        <v>760</v>
      </c>
      <c r="B761" s="38" t="n">
        <v>9</v>
      </c>
      <c r="C761" s="38" t="s">
        <v>125</v>
      </c>
      <c r="D761" s="41" t="s">
        <v>1791</v>
      </c>
      <c r="E761" s="38" t="s">
        <v>117</v>
      </c>
      <c r="F761" s="39" t="s">
        <v>1000</v>
      </c>
      <c r="G761" s="38" t="s">
        <v>505</v>
      </c>
      <c r="H761" s="38" t="s">
        <v>1748</v>
      </c>
      <c r="I761" s="39" t="s">
        <v>1748</v>
      </c>
      <c r="J761" s="41" t="s">
        <v>1792</v>
      </c>
      <c r="K761" s="40" t="n">
        <f aca="false">ROUND((IF(E761="Transactional",5,IF(E761="Commercial",4,IF(E761="Comparison",3,IF(E761="Informational",2,3))))*LOG10(IF(ISNUMBER(L761),L761,IFERROR(VALUE(LEFT(F761,FIND("-",F761)-1)),100))+1))/IF(IF(ISBLANK(M761),G761,M761)="High",5,IF(IF(ISBLANK(M761),G761,M761)="Medium",3,1)),2)</f>
        <v>8.72</v>
      </c>
      <c r="L761" s="38"/>
      <c r="M761" s="38"/>
      <c r="N761" s="38"/>
      <c r="O761" s="38" t="s">
        <v>123</v>
      </c>
      <c r="P761" s="39"/>
    </row>
    <row r="762" customFormat="false" ht="25.5" hidden="false" customHeight="true" outlineLevel="0" collapsed="false">
      <c r="A762" s="42" t="n">
        <v>761</v>
      </c>
      <c r="B762" s="42" t="n">
        <v>10</v>
      </c>
      <c r="C762" s="42" t="s">
        <v>115</v>
      </c>
      <c r="D762" s="43" t="s">
        <v>1793</v>
      </c>
      <c r="E762" s="42" t="s">
        <v>1158</v>
      </c>
      <c r="F762" s="43" t="s">
        <v>1102</v>
      </c>
      <c r="G762" s="42" t="s">
        <v>505</v>
      </c>
      <c r="H762" s="42" t="s">
        <v>1794</v>
      </c>
      <c r="I762" s="43" t="s">
        <v>1795</v>
      </c>
      <c r="J762" s="43" t="s">
        <v>1796</v>
      </c>
      <c r="K762" s="44" t="n">
        <f aca="false">ROUND((IF(E762="Transactional",5,IF(E762="Commercial",4,IF(E762="Comparison",3,IF(E762="Informational",2,3))))*LOG10(IF(ISNUMBER(L762),L762,IFERROR(VALUE(LEFT(F762,FIND("-",F762)-1)),100))+1))/IF(IF(ISBLANK(M762),G762,M762)="High",5,IF(IF(ISBLANK(M762),G762,M762)="Medium",3,1)),2)</f>
        <v>5.4</v>
      </c>
      <c r="L762" s="42"/>
      <c r="M762" s="42"/>
      <c r="N762" s="42"/>
      <c r="O762" s="42" t="s">
        <v>123</v>
      </c>
      <c r="P762" s="43"/>
    </row>
    <row r="763" customFormat="false" ht="25.5" hidden="false" customHeight="true" outlineLevel="0" collapsed="false">
      <c r="A763" s="42" t="n">
        <v>762</v>
      </c>
      <c r="B763" s="42" t="n">
        <v>10</v>
      </c>
      <c r="C763" s="42" t="s">
        <v>125</v>
      </c>
      <c r="D763" s="45" t="s">
        <v>1797</v>
      </c>
      <c r="E763" s="42" t="s">
        <v>1158</v>
      </c>
      <c r="F763" s="43" t="s">
        <v>136</v>
      </c>
      <c r="G763" s="42" t="s">
        <v>505</v>
      </c>
      <c r="H763" s="42" t="s">
        <v>1794</v>
      </c>
      <c r="I763" s="43" t="s">
        <v>1795</v>
      </c>
      <c r="J763" s="45" t="s">
        <v>1798</v>
      </c>
      <c r="K763" s="44" t="n">
        <f aca="false">ROUND((IF(E763="Transactional",5,IF(E763="Commercial",4,IF(E763="Comparison",3,IF(E763="Informational",2,3))))*LOG10(IF(ISNUMBER(L763),L763,IFERROR(VALUE(LEFT(F763,FIND("-",F763)-1)),100))+1))/IF(IF(ISBLANK(M763),G763,M763)="High",5,IF(IF(ISBLANK(M763),G763,M763)="Medium",3,1)),2)</f>
        <v>5.21</v>
      </c>
      <c r="L763" s="42"/>
      <c r="M763" s="42"/>
      <c r="N763" s="42"/>
      <c r="O763" s="42" t="s">
        <v>123</v>
      </c>
      <c r="P763" s="43"/>
    </row>
    <row r="764" customFormat="false" ht="25.5" hidden="false" customHeight="true" outlineLevel="0" collapsed="false">
      <c r="A764" s="42" t="n">
        <v>763</v>
      </c>
      <c r="B764" s="42" t="n">
        <v>10</v>
      </c>
      <c r="C764" s="42" t="s">
        <v>115</v>
      </c>
      <c r="D764" s="43" t="s">
        <v>1799</v>
      </c>
      <c r="E764" s="42" t="s">
        <v>1158</v>
      </c>
      <c r="F764" s="43" t="s">
        <v>989</v>
      </c>
      <c r="G764" s="42" t="s">
        <v>505</v>
      </c>
      <c r="H764" s="42" t="s">
        <v>1794</v>
      </c>
      <c r="I764" s="43" t="s">
        <v>1795</v>
      </c>
      <c r="J764" s="43" t="s">
        <v>1800</v>
      </c>
      <c r="K764" s="44" t="n">
        <f aca="false">ROUND((IF(E764="Transactional",5,IF(E764="Commercial",4,IF(E764="Comparison",3,IF(E764="Informational",2,3))))*LOG10(IF(ISNUMBER(L764),L764,IFERROR(VALUE(LEFT(F764,FIND("-",F764)-1)),100))+1))/IF(IF(ISBLANK(M764),G764,M764)="High",5,IF(IF(ISBLANK(M764),G764,M764)="Medium",3,1)),2)</f>
        <v>4.96</v>
      </c>
      <c r="L764" s="42"/>
      <c r="M764" s="42"/>
      <c r="N764" s="42"/>
      <c r="O764" s="42" t="s">
        <v>123</v>
      </c>
      <c r="P764" s="43"/>
    </row>
    <row r="765" customFormat="false" ht="25.5" hidden="false" customHeight="true" outlineLevel="0" collapsed="false">
      <c r="A765" s="42" t="n">
        <v>764</v>
      </c>
      <c r="B765" s="42" t="n">
        <v>10</v>
      </c>
      <c r="C765" s="42" t="s">
        <v>125</v>
      </c>
      <c r="D765" s="45" t="s">
        <v>1801</v>
      </c>
      <c r="E765" s="42" t="s">
        <v>1158</v>
      </c>
      <c r="F765" s="43" t="s">
        <v>994</v>
      </c>
      <c r="G765" s="42" t="s">
        <v>505</v>
      </c>
      <c r="H765" s="42" t="s">
        <v>1794</v>
      </c>
      <c r="I765" s="43" t="s">
        <v>1795</v>
      </c>
      <c r="J765" s="45" t="s">
        <v>1802</v>
      </c>
      <c r="K765" s="44" t="n">
        <f aca="false">ROUND((IF(E765="Transactional",5,IF(E765="Commercial",4,IF(E765="Comparison",3,IF(E765="Informational",2,3))))*LOG10(IF(ISNUMBER(L765),L765,IFERROR(VALUE(LEFT(F765,FIND("-",F765)-1)),100))+1))/IF(IF(ISBLANK(M765),G765,M765)="High",5,IF(IF(ISBLANK(M765),G765,M765)="Medium",3,1)),2)</f>
        <v>4.8</v>
      </c>
      <c r="L765" s="42"/>
      <c r="M765" s="42"/>
      <c r="N765" s="42"/>
      <c r="O765" s="42" t="s">
        <v>123</v>
      </c>
      <c r="P765" s="43"/>
    </row>
    <row r="766" customFormat="false" ht="25.5" hidden="false" customHeight="true" outlineLevel="0" collapsed="false">
      <c r="A766" s="42" t="n">
        <v>765</v>
      </c>
      <c r="B766" s="42" t="n">
        <v>10</v>
      </c>
      <c r="C766" s="42" t="s">
        <v>115</v>
      </c>
      <c r="D766" s="43" t="s">
        <v>1803</v>
      </c>
      <c r="E766" s="42" t="s">
        <v>1158</v>
      </c>
      <c r="F766" s="43" t="s">
        <v>989</v>
      </c>
      <c r="G766" s="42" t="s">
        <v>505</v>
      </c>
      <c r="H766" s="42" t="s">
        <v>1794</v>
      </c>
      <c r="I766" s="43" t="s">
        <v>1795</v>
      </c>
      <c r="J766" s="43" t="s">
        <v>1804</v>
      </c>
      <c r="K766" s="44" t="n">
        <f aca="false">ROUND((IF(E766="Transactional",5,IF(E766="Commercial",4,IF(E766="Comparison",3,IF(E766="Informational",2,3))))*LOG10(IF(ISNUMBER(L766),L766,IFERROR(VALUE(LEFT(F766,FIND("-",F766)-1)),100))+1))/IF(IF(ISBLANK(M766),G766,M766)="High",5,IF(IF(ISBLANK(M766),G766,M766)="Medium",3,1)),2)</f>
        <v>4.96</v>
      </c>
      <c r="L766" s="42"/>
      <c r="M766" s="42"/>
      <c r="N766" s="42"/>
      <c r="O766" s="42" t="s">
        <v>123</v>
      </c>
      <c r="P766" s="43"/>
    </row>
    <row r="767" customFormat="false" ht="25.5" hidden="false" customHeight="true" outlineLevel="0" collapsed="false">
      <c r="A767" s="42" t="n">
        <v>766</v>
      </c>
      <c r="B767" s="42" t="n">
        <v>10</v>
      </c>
      <c r="C767" s="42" t="s">
        <v>125</v>
      </c>
      <c r="D767" s="45" t="s">
        <v>1805</v>
      </c>
      <c r="E767" s="42" t="s">
        <v>1158</v>
      </c>
      <c r="F767" s="43" t="s">
        <v>994</v>
      </c>
      <c r="G767" s="42" t="s">
        <v>505</v>
      </c>
      <c r="H767" s="42" t="s">
        <v>1794</v>
      </c>
      <c r="I767" s="43" t="s">
        <v>1795</v>
      </c>
      <c r="J767" s="45" t="s">
        <v>1806</v>
      </c>
      <c r="K767" s="44" t="n">
        <f aca="false">ROUND((IF(E767="Transactional",5,IF(E767="Commercial",4,IF(E767="Comparison",3,IF(E767="Informational",2,3))))*LOG10(IF(ISNUMBER(L767),L767,IFERROR(VALUE(LEFT(F767,FIND("-",F767)-1)),100))+1))/IF(IF(ISBLANK(M767),G767,M767)="High",5,IF(IF(ISBLANK(M767),G767,M767)="Medium",3,1)),2)</f>
        <v>4.8</v>
      </c>
      <c r="L767" s="42"/>
      <c r="M767" s="42"/>
      <c r="N767" s="42"/>
      <c r="O767" s="42" t="s">
        <v>123</v>
      </c>
      <c r="P767" s="43"/>
    </row>
    <row r="768" customFormat="false" ht="25.5" hidden="false" customHeight="true" outlineLevel="0" collapsed="false">
      <c r="A768" s="42" t="n">
        <v>767</v>
      </c>
      <c r="B768" s="42" t="n">
        <v>10</v>
      </c>
      <c r="C768" s="42" t="s">
        <v>115</v>
      </c>
      <c r="D768" s="43" t="s">
        <v>1807</v>
      </c>
      <c r="E768" s="42" t="s">
        <v>117</v>
      </c>
      <c r="F768" s="43" t="s">
        <v>989</v>
      </c>
      <c r="G768" s="42" t="s">
        <v>505</v>
      </c>
      <c r="H768" s="42" t="s">
        <v>1794</v>
      </c>
      <c r="I768" s="43" t="s">
        <v>1795</v>
      </c>
      <c r="J768" s="43" t="s">
        <v>1808</v>
      </c>
      <c r="K768" s="44" t="n">
        <f aca="false">ROUND((IF(E768="Transactional",5,IF(E768="Commercial",4,IF(E768="Comparison",3,IF(E768="Informational",2,3))))*LOG10(IF(ISNUMBER(L768),L768,IFERROR(VALUE(LEFT(F768,FIND("-",F768)-1)),100))+1))/IF(IF(ISBLANK(M768),G768,M768)="High",5,IF(IF(ISBLANK(M768),G768,M768)="Medium",3,1)),2)</f>
        <v>9.91</v>
      </c>
      <c r="L768" s="42"/>
      <c r="M768" s="42"/>
      <c r="N768" s="42"/>
      <c r="O768" s="42" t="s">
        <v>123</v>
      </c>
      <c r="P768" s="43"/>
    </row>
    <row r="769" customFormat="false" ht="25.5" hidden="false" customHeight="true" outlineLevel="0" collapsed="false">
      <c r="A769" s="42" t="n">
        <v>768</v>
      </c>
      <c r="B769" s="42" t="n">
        <v>10</v>
      </c>
      <c r="C769" s="42" t="s">
        <v>125</v>
      </c>
      <c r="D769" s="45" t="s">
        <v>1809</v>
      </c>
      <c r="E769" s="42" t="s">
        <v>117</v>
      </c>
      <c r="F769" s="43" t="s">
        <v>994</v>
      </c>
      <c r="G769" s="42" t="s">
        <v>505</v>
      </c>
      <c r="H769" s="42" t="s">
        <v>1794</v>
      </c>
      <c r="I769" s="43" t="s">
        <v>1795</v>
      </c>
      <c r="J769" s="45" t="s">
        <v>1810</v>
      </c>
      <c r="K769" s="44" t="n">
        <f aca="false">ROUND((IF(E769="Transactional",5,IF(E769="Commercial",4,IF(E769="Comparison",3,IF(E769="Informational",2,3))))*LOG10(IF(ISNUMBER(L769),L769,IFERROR(VALUE(LEFT(F769,FIND("-",F769)-1)),100))+1))/IF(IF(ISBLANK(M769),G769,M769)="High",5,IF(IF(ISBLANK(M769),G769,M769)="Medium",3,1)),2)</f>
        <v>9.6</v>
      </c>
      <c r="L769" s="42"/>
      <c r="M769" s="42"/>
      <c r="N769" s="42"/>
      <c r="O769" s="42" t="s">
        <v>123</v>
      </c>
      <c r="P769" s="43"/>
    </row>
    <row r="770" customFormat="false" ht="25.5" hidden="false" customHeight="true" outlineLevel="0" collapsed="false">
      <c r="A770" s="42" t="n">
        <v>769</v>
      </c>
      <c r="B770" s="42" t="n">
        <v>10</v>
      </c>
      <c r="C770" s="42" t="s">
        <v>115</v>
      </c>
      <c r="D770" s="43" t="s">
        <v>1811</v>
      </c>
      <c r="E770" s="42" t="s">
        <v>1158</v>
      </c>
      <c r="F770" s="43" t="s">
        <v>1102</v>
      </c>
      <c r="G770" s="42" t="s">
        <v>505</v>
      </c>
      <c r="H770" s="42" t="s">
        <v>1794</v>
      </c>
      <c r="I770" s="43" t="s">
        <v>1795</v>
      </c>
      <c r="J770" s="43" t="s">
        <v>1812</v>
      </c>
      <c r="K770" s="44" t="n">
        <f aca="false">ROUND((IF(E770="Transactional",5,IF(E770="Commercial",4,IF(E770="Comparison",3,IF(E770="Informational",2,3))))*LOG10(IF(ISNUMBER(L770),L770,IFERROR(VALUE(LEFT(F770,FIND("-",F770)-1)),100))+1))/IF(IF(ISBLANK(M770),G770,M770)="High",5,IF(IF(ISBLANK(M770),G770,M770)="Medium",3,1)),2)</f>
        <v>5.4</v>
      </c>
      <c r="L770" s="42"/>
      <c r="M770" s="42"/>
      <c r="N770" s="42"/>
      <c r="O770" s="42" t="s">
        <v>123</v>
      </c>
      <c r="P770" s="43"/>
    </row>
    <row r="771" customFormat="false" ht="25.5" hidden="false" customHeight="true" outlineLevel="0" collapsed="false">
      <c r="A771" s="42" t="n">
        <v>770</v>
      </c>
      <c r="B771" s="42" t="n">
        <v>10</v>
      </c>
      <c r="C771" s="42" t="s">
        <v>125</v>
      </c>
      <c r="D771" s="45" t="s">
        <v>1813</v>
      </c>
      <c r="E771" s="42" t="s">
        <v>1158</v>
      </c>
      <c r="F771" s="43" t="s">
        <v>136</v>
      </c>
      <c r="G771" s="42" t="s">
        <v>505</v>
      </c>
      <c r="H771" s="42" t="s">
        <v>1794</v>
      </c>
      <c r="I771" s="43" t="s">
        <v>1795</v>
      </c>
      <c r="J771" s="45" t="s">
        <v>1814</v>
      </c>
      <c r="K771" s="44" t="n">
        <f aca="false">ROUND((IF(E771="Transactional",5,IF(E771="Commercial",4,IF(E771="Comparison",3,IF(E771="Informational",2,3))))*LOG10(IF(ISNUMBER(L771),L771,IFERROR(VALUE(LEFT(F771,FIND("-",F771)-1)),100))+1))/IF(IF(ISBLANK(M771),G771,M771)="High",5,IF(IF(ISBLANK(M771),G771,M771)="Medium",3,1)),2)</f>
        <v>5.21</v>
      </c>
      <c r="L771" s="42"/>
      <c r="M771" s="42"/>
      <c r="N771" s="42"/>
      <c r="O771" s="42" t="s">
        <v>123</v>
      </c>
      <c r="P771" s="43"/>
    </row>
    <row r="772" customFormat="false" ht="25.5" hidden="false" customHeight="true" outlineLevel="0" collapsed="false">
      <c r="A772" s="42" t="n">
        <v>771</v>
      </c>
      <c r="B772" s="42" t="n">
        <v>10</v>
      </c>
      <c r="C772" s="42" t="s">
        <v>115</v>
      </c>
      <c r="D772" s="43" t="s">
        <v>1815</v>
      </c>
      <c r="E772" s="42" t="s">
        <v>1158</v>
      </c>
      <c r="F772" s="43" t="s">
        <v>989</v>
      </c>
      <c r="G772" s="42" t="s">
        <v>505</v>
      </c>
      <c r="H772" s="42" t="s">
        <v>1794</v>
      </c>
      <c r="I772" s="43" t="s">
        <v>1795</v>
      </c>
      <c r="J772" s="43" t="s">
        <v>1816</v>
      </c>
      <c r="K772" s="44" t="n">
        <f aca="false">ROUND((IF(E772="Transactional",5,IF(E772="Commercial",4,IF(E772="Comparison",3,IF(E772="Informational",2,3))))*LOG10(IF(ISNUMBER(L772),L772,IFERROR(VALUE(LEFT(F772,FIND("-",F772)-1)),100))+1))/IF(IF(ISBLANK(M772),G772,M772)="High",5,IF(IF(ISBLANK(M772),G772,M772)="Medium",3,1)),2)</f>
        <v>4.96</v>
      </c>
      <c r="L772" s="42"/>
      <c r="M772" s="42"/>
      <c r="N772" s="42"/>
      <c r="O772" s="42" t="s">
        <v>123</v>
      </c>
      <c r="P772" s="43"/>
    </row>
    <row r="773" customFormat="false" ht="25.5" hidden="false" customHeight="true" outlineLevel="0" collapsed="false">
      <c r="A773" s="42" t="n">
        <v>772</v>
      </c>
      <c r="B773" s="42" t="n">
        <v>10</v>
      </c>
      <c r="C773" s="42" t="s">
        <v>125</v>
      </c>
      <c r="D773" s="45" t="s">
        <v>1817</v>
      </c>
      <c r="E773" s="42" t="s">
        <v>1158</v>
      </c>
      <c r="F773" s="43" t="s">
        <v>994</v>
      </c>
      <c r="G773" s="42" t="s">
        <v>505</v>
      </c>
      <c r="H773" s="42" t="s">
        <v>1794</v>
      </c>
      <c r="I773" s="43" t="s">
        <v>1795</v>
      </c>
      <c r="J773" s="45" t="s">
        <v>1818</v>
      </c>
      <c r="K773" s="44" t="n">
        <f aca="false">ROUND((IF(E773="Transactional",5,IF(E773="Commercial",4,IF(E773="Comparison",3,IF(E773="Informational",2,3))))*LOG10(IF(ISNUMBER(L773),L773,IFERROR(VALUE(LEFT(F773,FIND("-",F773)-1)),100))+1))/IF(IF(ISBLANK(M773),G773,M773)="High",5,IF(IF(ISBLANK(M773),G773,M773)="Medium",3,1)),2)</f>
        <v>4.8</v>
      </c>
      <c r="L773" s="42"/>
      <c r="M773" s="42"/>
      <c r="N773" s="42"/>
      <c r="O773" s="42" t="s">
        <v>123</v>
      </c>
      <c r="P773" s="43"/>
    </row>
    <row r="774" customFormat="false" ht="25.5" hidden="false" customHeight="true" outlineLevel="0" collapsed="false">
      <c r="A774" s="42" t="n">
        <v>773</v>
      </c>
      <c r="B774" s="42" t="n">
        <v>10</v>
      </c>
      <c r="C774" s="42" t="s">
        <v>115</v>
      </c>
      <c r="D774" s="43" t="s">
        <v>1819</v>
      </c>
      <c r="E774" s="42" t="s">
        <v>1158</v>
      </c>
      <c r="F774" s="43" t="s">
        <v>989</v>
      </c>
      <c r="G774" s="42" t="s">
        <v>505</v>
      </c>
      <c r="H774" s="42" t="s">
        <v>1794</v>
      </c>
      <c r="I774" s="43" t="s">
        <v>1795</v>
      </c>
      <c r="J774" s="43" t="s">
        <v>1820</v>
      </c>
      <c r="K774" s="44" t="n">
        <f aca="false">ROUND((IF(E774="Transactional",5,IF(E774="Commercial",4,IF(E774="Comparison",3,IF(E774="Informational",2,3))))*LOG10(IF(ISNUMBER(L774),L774,IFERROR(VALUE(LEFT(F774,FIND("-",F774)-1)),100))+1))/IF(IF(ISBLANK(M774),G774,M774)="High",5,IF(IF(ISBLANK(M774),G774,M774)="Medium",3,1)),2)</f>
        <v>4.96</v>
      </c>
      <c r="L774" s="42"/>
      <c r="M774" s="42"/>
      <c r="N774" s="42"/>
      <c r="O774" s="42" t="s">
        <v>123</v>
      </c>
      <c r="P774" s="43"/>
    </row>
    <row r="775" customFormat="false" ht="25.5" hidden="false" customHeight="true" outlineLevel="0" collapsed="false">
      <c r="A775" s="42" t="n">
        <v>774</v>
      </c>
      <c r="B775" s="42" t="n">
        <v>10</v>
      </c>
      <c r="C775" s="42" t="s">
        <v>125</v>
      </c>
      <c r="D775" s="45" t="s">
        <v>1821</v>
      </c>
      <c r="E775" s="42" t="s">
        <v>1158</v>
      </c>
      <c r="F775" s="43" t="s">
        <v>994</v>
      </c>
      <c r="G775" s="42" t="s">
        <v>505</v>
      </c>
      <c r="H775" s="42" t="s">
        <v>1794</v>
      </c>
      <c r="I775" s="43" t="s">
        <v>1795</v>
      </c>
      <c r="J775" s="45" t="s">
        <v>1822</v>
      </c>
      <c r="K775" s="44" t="n">
        <f aca="false">ROUND((IF(E775="Transactional",5,IF(E775="Commercial",4,IF(E775="Comparison",3,IF(E775="Informational",2,3))))*LOG10(IF(ISNUMBER(L775),L775,IFERROR(VALUE(LEFT(F775,FIND("-",F775)-1)),100))+1))/IF(IF(ISBLANK(M775),G775,M775)="High",5,IF(IF(ISBLANK(M775),G775,M775)="Medium",3,1)),2)</f>
        <v>4.8</v>
      </c>
      <c r="L775" s="42"/>
      <c r="M775" s="42"/>
      <c r="N775" s="42"/>
      <c r="O775" s="42" t="s">
        <v>123</v>
      </c>
      <c r="P775" s="43"/>
    </row>
    <row r="776" customFormat="false" ht="25.5" hidden="false" customHeight="true" outlineLevel="0" collapsed="false">
      <c r="A776" s="42" t="n">
        <v>775</v>
      </c>
      <c r="B776" s="42" t="n">
        <v>10</v>
      </c>
      <c r="C776" s="42" t="s">
        <v>115</v>
      </c>
      <c r="D776" s="43" t="s">
        <v>1823</v>
      </c>
      <c r="E776" s="42" t="s">
        <v>1158</v>
      </c>
      <c r="F776" s="43" t="s">
        <v>989</v>
      </c>
      <c r="G776" s="42" t="s">
        <v>505</v>
      </c>
      <c r="H776" s="42" t="s">
        <v>1794</v>
      </c>
      <c r="I776" s="43" t="s">
        <v>1795</v>
      </c>
      <c r="J776" s="43" t="s">
        <v>1824</v>
      </c>
      <c r="K776" s="44" t="n">
        <f aca="false">ROUND((IF(E776="Transactional",5,IF(E776="Commercial",4,IF(E776="Comparison",3,IF(E776="Informational",2,3))))*LOG10(IF(ISNUMBER(L776),L776,IFERROR(VALUE(LEFT(F776,FIND("-",F776)-1)),100))+1))/IF(IF(ISBLANK(M776),G776,M776)="High",5,IF(IF(ISBLANK(M776),G776,M776)="Medium",3,1)),2)</f>
        <v>4.96</v>
      </c>
      <c r="L776" s="42"/>
      <c r="M776" s="42"/>
      <c r="N776" s="42"/>
      <c r="O776" s="42" t="s">
        <v>123</v>
      </c>
      <c r="P776" s="43"/>
    </row>
    <row r="777" customFormat="false" ht="25.5" hidden="false" customHeight="true" outlineLevel="0" collapsed="false">
      <c r="A777" s="42" t="n">
        <v>776</v>
      </c>
      <c r="B777" s="42" t="n">
        <v>10</v>
      </c>
      <c r="C777" s="42" t="s">
        <v>125</v>
      </c>
      <c r="D777" s="45" t="s">
        <v>1825</v>
      </c>
      <c r="E777" s="42" t="s">
        <v>1158</v>
      </c>
      <c r="F777" s="43" t="s">
        <v>994</v>
      </c>
      <c r="G777" s="42" t="s">
        <v>505</v>
      </c>
      <c r="H777" s="42" t="s">
        <v>1794</v>
      </c>
      <c r="I777" s="43" t="s">
        <v>1795</v>
      </c>
      <c r="J777" s="45" t="s">
        <v>1826</v>
      </c>
      <c r="K777" s="44" t="n">
        <f aca="false">ROUND((IF(E777="Transactional",5,IF(E777="Commercial",4,IF(E777="Comparison",3,IF(E777="Informational",2,3))))*LOG10(IF(ISNUMBER(L777),L777,IFERROR(VALUE(LEFT(F777,FIND("-",F777)-1)),100))+1))/IF(IF(ISBLANK(M777),G777,M777)="High",5,IF(IF(ISBLANK(M777),G777,M777)="Medium",3,1)),2)</f>
        <v>4.8</v>
      </c>
      <c r="L777" s="42"/>
      <c r="M777" s="42"/>
      <c r="N777" s="42"/>
      <c r="O777" s="42" t="s">
        <v>123</v>
      </c>
      <c r="P777" s="43"/>
    </row>
    <row r="778" customFormat="false" ht="25.5" hidden="false" customHeight="true" outlineLevel="0" collapsed="false">
      <c r="A778" s="42" t="n">
        <v>777</v>
      </c>
      <c r="B778" s="42" t="n">
        <v>10</v>
      </c>
      <c r="C778" s="42" t="s">
        <v>115</v>
      </c>
      <c r="D778" s="43" t="s">
        <v>1827</v>
      </c>
      <c r="E778" s="42" t="s">
        <v>1158</v>
      </c>
      <c r="F778" s="43" t="s">
        <v>1102</v>
      </c>
      <c r="G778" s="42" t="s">
        <v>505</v>
      </c>
      <c r="H778" s="42" t="s">
        <v>1794</v>
      </c>
      <c r="I778" s="43" t="s">
        <v>1794</v>
      </c>
      <c r="J778" s="43" t="s">
        <v>1828</v>
      </c>
      <c r="K778" s="44" t="n">
        <f aca="false">ROUND((IF(E778="Transactional",5,IF(E778="Commercial",4,IF(E778="Comparison",3,IF(E778="Informational",2,3))))*LOG10(IF(ISNUMBER(L778),L778,IFERROR(VALUE(LEFT(F778,FIND("-",F778)-1)),100))+1))/IF(IF(ISBLANK(M778),G778,M778)="High",5,IF(IF(ISBLANK(M778),G778,M778)="Medium",3,1)),2)</f>
        <v>5.4</v>
      </c>
      <c r="L778" s="42"/>
      <c r="M778" s="42"/>
      <c r="N778" s="42"/>
      <c r="O778" s="42" t="s">
        <v>123</v>
      </c>
      <c r="P778" s="43"/>
    </row>
    <row r="779" customFormat="false" ht="25.5" hidden="false" customHeight="true" outlineLevel="0" collapsed="false">
      <c r="A779" s="42" t="n">
        <v>778</v>
      </c>
      <c r="B779" s="42" t="n">
        <v>10</v>
      </c>
      <c r="C779" s="42" t="s">
        <v>125</v>
      </c>
      <c r="D779" s="45" t="s">
        <v>1829</v>
      </c>
      <c r="E779" s="42" t="s">
        <v>1158</v>
      </c>
      <c r="F779" s="43" t="s">
        <v>136</v>
      </c>
      <c r="G779" s="42" t="s">
        <v>505</v>
      </c>
      <c r="H779" s="42" t="s">
        <v>1794</v>
      </c>
      <c r="I779" s="43" t="s">
        <v>1794</v>
      </c>
      <c r="J779" s="45" t="s">
        <v>1830</v>
      </c>
      <c r="K779" s="44" t="n">
        <f aca="false">ROUND((IF(E779="Transactional",5,IF(E779="Commercial",4,IF(E779="Comparison",3,IF(E779="Informational",2,3))))*LOG10(IF(ISNUMBER(L779),L779,IFERROR(VALUE(LEFT(F779,FIND("-",F779)-1)),100))+1))/IF(IF(ISBLANK(M779),G779,M779)="High",5,IF(IF(ISBLANK(M779),G779,M779)="Medium",3,1)),2)</f>
        <v>5.21</v>
      </c>
      <c r="L779" s="42"/>
      <c r="M779" s="42"/>
      <c r="N779" s="42"/>
      <c r="O779" s="42" t="s">
        <v>123</v>
      </c>
      <c r="P779" s="43"/>
    </row>
    <row r="780" customFormat="false" ht="25.5" hidden="false" customHeight="true" outlineLevel="0" collapsed="false">
      <c r="A780" s="42" t="n">
        <v>779</v>
      </c>
      <c r="B780" s="42" t="n">
        <v>10</v>
      </c>
      <c r="C780" s="42" t="s">
        <v>115</v>
      </c>
      <c r="D780" s="43" t="s">
        <v>1831</v>
      </c>
      <c r="E780" s="42" t="s">
        <v>1158</v>
      </c>
      <c r="F780" s="43" t="s">
        <v>989</v>
      </c>
      <c r="G780" s="42" t="s">
        <v>505</v>
      </c>
      <c r="H780" s="42" t="s">
        <v>1794</v>
      </c>
      <c r="I780" s="43" t="s">
        <v>1794</v>
      </c>
      <c r="J780" s="43" t="s">
        <v>1832</v>
      </c>
      <c r="K780" s="44" t="n">
        <f aca="false">ROUND((IF(E780="Transactional",5,IF(E780="Commercial",4,IF(E780="Comparison",3,IF(E780="Informational",2,3))))*LOG10(IF(ISNUMBER(L780),L780,IFERROR(VALUE(LEFT(F780,FIND("-",F780)-1)),100))+1))/IF(IF(ISBLANK(M780),G780,M780)="High",5,IF(IF(ISBLANK(M780),G780,M780)="Medium",3,1)),2)</f>
        <v>4.96</v>
      </c>
      <c r="L780" s="42"/>
      <c r="M780" s="42"/>
      <c r="N780" s="42"/>
      <c r="O780" s="42" t="s">
        <v>123</v>
      </c>
      <c r="P780" s="43"/>
    </row>
    <row r="781" customFormat="false" ht="25.5" hidden="false" customHeight="true" outlineLevel="0" collapsed="false">
      <c r="A781" s="42" t="n">
        <v>780</v>
      </c>
      <c r="B781" s="42" t="n">
        <v>10</v>
      </c>
      <c r="C781" s="42" t="s">
        <v>125</v>
      </c>
      <c r="D781" s="45" t="s">
        <v>1833</v>
      </c>
      <c r="E781" s="42" t="s">
        <v>1158</v>
      </c>
      <c r="F781" s="43" t="s">
        <v>994</v>
      </c>
      <c r="G781" s="42" t="s">
        <v>505</v>
      </c>
      <c r="H781" s="42" t="s">
        <v>1794</v>
      </c>
      <c r="I781" s="43" t="s">
        <v>1794</v>
      </c>
      <c r="J781" s="45" t="s">
        <v>1834</v>
      </c>
      <c r="K781" s="44" t="n">
        <f aca="false">ROUND((IF(E781="Transactional",5,IF(E781="Commercial",4,IF(E781="Comparison",3,IF(E781="Informational",2,3))))*LOG10(IF(ISNUMBER(L781),L781,IFERROR(VALUE(LEFT(F781,FIND("-",F781)-1)),100))+1))/IF(IF(ISBLANK(M781),G781,M781)="High",5,IF(IF(ISBLANK(M781),G781,M781)="Medium",3,1)),2)</f>
        <v>4.8</v>
      </c>
      <c r="L781" s="42"/>
      <c r="M781" s="42"/>
      <c r="N781" s="42"/>
      <c r="O781" s="42" t="s">
        <v>123</v>
      </c>
      <c r="P781" s="43"/>
    </row>
    <row r="782" customFormat="false" ht="25.5" hidden="false" customHeight="true" outlineLevel="0" collapsed="false">
      <c r="A782" s="42" t="n">
        <v>781</v>
      </c>
      <c r="B782" s="42" t="n">
        <v>10</v>
      </c>
      <c r="C782" s="42" t="s">
        <v>115</v>
      </c>
      <c r="D782" s="43" t="s">
        <v>1835</v>
      </c>
      <c r="E782" s="42" t="s">
        <v>1158</v>
      </c>
      <c r="F782" s="43" t="s">
        <v>989</v>
      </c>
      <c r="G782" s="42" t="s">
        <v>505</v>
      </c>
      <c r="H782" s="42" t="s">
        <v>1794</v>
      </c>
      <c r="I782" s="43" t="s">
        <v>1794</v>
      </c>
      <c r="J782" s="43" t="s">
        <v>1836</v>
      </c>
      <c r="K782" s="44" t="n">
        <f aca="false">ROUND((IF(E782="Transactional",5,IF(E782="Commercial",4,IF(E782="Comparison",3,IF(E782="Informational",2,3))))*LOG10(IF(ISNUMBER(L782),L782,IFERROR(VALUE(LEFT(F782,FIND("-",F782)-1)),100))+1))/IF(IF(ISBLANK(M782),G782,M782)="High",5,IF(IF(ISBLANK(M782),G782,M782)="Medium",3,1)),2)</f>
        <v>4.96</v>
      </c>
      <c r="L782" s="42"/>
      <c r="M782" s="42"/>
      <c r="N782" s="42"/>
      <c r="O782" s="42" t="s">
        <v>123</v>
      </c>
      <c r="P782" s="43"/>
    </row>
    <row r="783" customFormat="false" ht="25.5" hidden="false" customHeight="true" outlineLevel="0" collapsed="false">
      <c r="A783" s="42" t="n">
        <v>782</v>
      </c>
      <c r="B783" s="42" t="n">
        <v>10</v>
      </c>
      <c r="C783" s="42" t="s">
        <v>125</v>
      </c>
      <c r="D783" s="45" t="s">
        <v>1837</v>
      </c>
      <c r="E783" s="42" t="s">
        <v>1158</v>
      </c>
      <c r="F783" s="43" t="s">
        <v>994</v>
      </c>
      <c r="G783" s="42" t="s">
        <v>505</v>
      </c>
      <c r="H783" s="42" t="s">
        <v>1794</v>
      </c>
      <c r="I783" s="43" t="s">
        <v>1794</v>
      </c>
      <c r="J783" s="45" t="s">
        <v>1838</v>
      </c>
      <c r="K783" s="44" t="n">
        <f aca="false">ROUND((IF(E783="Transactional",5,IF(E783="Commercial",4,IF(E783="Comparison",3,IF(E783="Informational",2,3))))*LOG10(IF(ISNUMBER(L783),L783,IFERROR(VALUE(LEFT(F783,FIND("-",F783)-1)),100))+1))/IF(IF(ISBLANK(M783),G783,M783)="High",5,IF(IF(ISBLANK(M783),G783,M783)="Medium",3,1)),2)</f>
        <v>4.8</v>
      </c>
      <c r="L783" s="42"/>
      <c r="M783" s="42"/>
      <c r="N783" s="42"/>
      <c r="O783" s="42" t="s">
        <v>123</v>
      </c>
      <c r="P783" s="43"/>
    </row>
    <row r="784" customFormat="false" ht="25.5" hidden="false" customHeight="true" outlineLevel="0" collapsed="false">
      <c r="A784" s="42" t="n">
        <v>783</v>
      </c>
      <c r="B784" s="42" t="n">
        <v>10</v>
      </c>
      <c r="C784" s="42" t="s">
        <v>115</v>
      </c>
      <c r="D784" s="43" t="s">
        <v>1839</v>
      </c>
      <c r="E784" s="42" t="s">
        <v>1158</v>
      </c>
      <c r="F784" s="43" t="s">
        <v>989</v>
      </c>
      <c r="G784" s="42" t="s">
        <v>505</v>
      </c>
      <c r="H784" s="42" t="s">
        <v>1794</v>
      </c>
      <c r="I784" s="43" t="s">
        <v>1794</v>
      </c>
      <c r="J784" s="43" t="s">
        <v>1840</v>
      </c>
      <c r="K784" s="44" t="n">
        <f aca="false">ROUND((IF(E784="Transactional",5,IF(E784="Commercial",4,IF(E784="Comparison",3,IF(E784="Informational",2,3))))*LOG10(IF(ISNUMBER(L784),L784,IFERROR(VALUE(LEFT(F784,FIND("-",F784)-1)),100))+1))/IF(IF(ISBLANK(M784),G784,M784)="High",5,IF(IF(ISBLANK(M784),G784,M784)="Medium",3,1)),2)</f>
        <v>4.96</v>
      </c>
      <c r="L784" s="42"/>
      <c r="M784" s="42"/>
      <c r="N784" s="42"/>
      <c r="O784" s="42" t="s">
        <v>123</v>
      </c>
      <c r="P784" s="43"/>
    </row>
    <row r="785" customFormat="false" ht="25.5" hidden="false" customHeight="true" outlineLevel="0" collapsed="false">
      <c r="A785" s="42" t="n">
        <v>784</v>
      </c>
      <c r="B785" s="42" t="n">
        <v>10</v>
      </c>
      <c r="C785" s="42" t="s">
        <v>125</v>
      </c>
      <c r="D785" s="45" t="s">
        <v>1841</v>
      </c>
      <c r="E785" s="42" t="s">
        <v>1158</v>
      </c>
      <c r="F785" s="43" t="s">
        <v>994</v>
      </c>
      <c r="G785" s="42" t="s">
        <v>505</v>
      </c>
      <c r="H785" s="42" t="s">
        <v>1794</v>
      </c>
      <c r="I785" s="43" t="s">
        <v>1794</v>
      </c>
      <c r="J785" s="45" t="s">
        <v>1842</v>
      </c>
      <c r="K785" s="44" t="n">
        <f aca="false">ROUND((IF(E785="Transactional",5,IF(E785="Commercial",4,IF(E785="Comparison",3,IF(E785="Informational",2,3))))*LOG10(IF(ISNUMBER(L785),L785,IFERROR(VALUE(LEFT(F785,FIND("-",F785)-1)),100))+1))/IF(IF(ISBLANK(M785),G785,M785)="High",5,IF(IF(ISBLANK(M785),G785,M785)="Medium",3,1)),2)</f>
        <v>4.8</v>
      </c>
      <c r="L785" s="42"/>
      <c r="M785" s="42"/>
      <c r="N785" s="42"/>
      <c r="O785" s="42" t="s">
        <v>123</v>
      </c>
      <c r="P785" s="43"/>
    </row>
    <row r="786" customFormat="false" ht="25.5" hidden="false" customHeight="true" outlineLevel="0" collapsed="false">
      <c r="A786" s="42" t="n">
        <v>785</v>
      </c>
      <c r="B786" s="42" t="n">
        <v>10</v>
      </c>
      <c r="C786" s="42" t="s">
        <v>115</v>
      </c>
      <c r="D786" s="43" t="s">
        <v>1843</v>
      </c>
      <c r="E786" s="42" t="s">
        <v>1158</v>
      </c>
      <c r="F786" s="43" t="s">
        <v>989</v>
      </c>
      <c r="G786" s="42" t="s">
        <v>505</v>
      </c>
      <c r="H786" s="42" t="s">
        <v>1794</v>
      </c>
      <c r="I786" s="43" t="s">
        <v>1794</v>
      </c>
      <c r="J786" s="43" t="s">
        <v>1844</v>
      </c>
      <c r="K786" s="44" t="n">
        <f aca="false">ROUND((IF(E786="Transactional",5,IF(E786="Commercial",4,IF(E786="Comparison",3,IF(E786="Informational",2,3))))*LOG10(IF(ISNUMBER(L786),L786,IFERROR(VALUE(LEFT(F786,FIND("-",F786)-1)),100))+1))/IF(IF(ISBLANK(M786),G786,M786)="High",5,IF(IF(ISBLANK(M786),G786,M786)="Medium",3,1)),2)</f>
        <v>4.96</v>
      </c>
      <c r="L786" s="42"/>
      <c r="M786" s="42"/>
      <c r="N786" s="42"/>
      <c r="O786" s="42" t="s">
        <v>123</v>
      </c>
      <c r="P786" s="43"/>
    </row>
    <row r="787" customFormat="false" ht="25.5" hidden="false" customHeight="true" outlineLevel="0" collapsed="false">
      <c r="A787" s="42" t="n">
        <v>786</v>
      </c>
      <c r="B787" s="42" t="n">
        <v>10</v>
      </c>
      <c r="C787" s="42" t="s">
        <v>125</v>
      </c>
      <c r="D787" s="45" t="s">
        <v>1845</v>
      </c>
      <c r="E787" s="42" t="s">
        <v>1158</v>
      </c>
      <c r="F787" s="43" t="s">
        <v>994</v>
      </c>
      <c r="G787" s="42" t="s">
        <v>505</v>
      </c>
      <c r="H787" s="42" t="s">
        <v>1794</v>
      </c>
      <c r="I787" s="43" t="s">
        <v>1794</v>
      </c>
      <c r="J787" s="45" t="s">
        <v>1846</v>
      </c>
      <c r="K787" s="44" t="n">
        <f aca="false">ROUND((IF(E787="Transactional",5,IF(E787="Commercial",4,IF(E787="Comparison",3,IF(E787="Informational",2,3))))*LOG10(IF(ISNUMBER(L787),L787,IFERROR(VALUE(LEFT(F787,FIND("-",F787)-1)),100))+1))/IF(IF(ISBLANK(M787),G787,M787)="High",5,IF(IF(ISBLANK(M787),G787,M787)="Medium",3,1)),2)</f>
        <v>4.8</v>
      </c>
      <c r="L787" s="42"/>
      <c r="M787" s="42"/>
      <c r="N787" s="42"/>
      <c r="O787" s="42" t="s">
        <v>123</v>
      </c>
      <c r="P787" s="43"/>
    </row>
    <row r="788" customFormat="false" ht="25.5" hidden="false" customHeight="true" outlineLevel="0" collapsed="false">
      <c r="A788" s="42" t="n">
        <v>787</v>
      </c>
      <c r="B788" s="42" t="n">
        <v>10</v>
      </c>
      <c r="C788" s="42" t="s">
        <v>115</v>
      </c>
      <c r="D788" s="43" t="s">
        <v>1847</v>
      </c>
      <c r="E788" s="42" t="s">
        <v>1158</v>
      </c>
      <c r="F788" s="43" t="s">
        <v>989</v>
      </c>
      <c r="G788" s="42" t="s">
        <v>505</v>
      </c>
      <c r="H788" s="42" t="s">
        <v>1794</v>
      </c>
      <c r="I788" s="43" t="s">
        <v>1794</v>
      </c>
      <c r="J788" s="43" t="s">
        <v>1848</v>
      </c>
      <c r="K788" s="44" t="n">
        <f aca="false">ROUND((IF(E788="Transactional",5,IF(E788="Commercial",4,IF(E788="Comparison",3,IF(E788="Informational",2,3))))*LOG10(IF(ISNUMBER(L788),L788,IFERROR(VALUE(LEFT(F788,FIND("-",F788)-1)),100))+1))/IF(IF(ISBLANK(M788),G788,M788)="High",5,IF(IF(ISBLANK(M788),G788,M788)="Medium",3,1)),2)</f>
        <v>4.96</v>
      </c>
      <c r="L788" s="42"/>
      <c r="M788" s="42"/>
      <c r="N788" s="42"/>
      <c r="O788" s="42" t="s">
        <v>123</v>
      </c>
      <c r="P788" s="43"/>
    </row>
    <row r="789" customFormat="false" ht="25.5" hidden="false" customHeight="true" outlineLevel="0" collapsed="false">
      <c r="A789" s="42" t="n">
        <v>788</v>
      </c>
      <c r="B789" s="42" t="n">
        <v>10</v>
      </c>
      <c r="C789" s="42" t="s">
        <v>125</v>
      </c>
      <c r="D789" s="45" t="s">
        <v>1849</v>
      </c>
      <c r="E789" s="42" t="s">
        <v>1158</v>
      </c>
      <c r="F789" s="43" t="s">
        <v>994</v>
      </c>
      <c r="G789" s="42" t="s">
        <v>505</v>
      </c>
      <c r="H789" s="42" t="s">
        <v>1794</v>
      </c>
      <c r="I789" s="43" t="s">
        <v>1794</v>
      </c>
      <c r="J789" s="45" t="s">
        <v>1850</v>
      </c>
      <c r="K789" s="44" t="n">
        <f aca="false">ROUND((IF(E789="Transactional",5,IF(E789="Commercial",4,IF(E789="Comparison",3,IF(E789="Informational",2,3))))*LOG10(IF(ISNUMBER(L789),L789,IFERROR(VALUE(LEFT(F789,FIND("-",F789)-1)),100))+1))/IF(IF(ISBLANK(M789),G789,M789)="High",5,IF(IF(ISBLANK(M789),G789,M789)="Medium",3,1)),2)</f>
        <v>4.8</v>
      </c>
      <c r="L789" s="42"/>
      <c r="M789" s="42"/>
      <c r="N789" s="42"/>
      <c r="O789" s="42" t="s">
        <v>123</v>
      </c>
      <c r="P789" s="43"/>
    </row>
    <row r="790" customFormat="false" ht="25.5" hidden="false" customHeight="true" outlineLevel="0" collapsed="false">
      <c r="A790" s="42" t="n">
        <v>789</v>
      </c>
      <c r="B790" s="42" t="n">
        <v>10</v>
      </c>
      <c r="C790" s="42" t="s">
        <v>115</v>
      </c>
      <c r="D790" s="43" t="s">
        <v>1851</v>
      </c>
      <c r="E790" s="42" t="s">
        <v>117</v>
      </c>
      <c r="F790" s="43" t="s">
        <v>989</v>
      </c>
      <c r="G790" s="42" t="s">
        <v>505</v>
      </c>
      <c r="H790" s="42" t="s">
        <v>1794</v>
      </c>
      <c r="I790" s="43" t="s">
        <v>1794</v>
      </c>
      <c r="J790" s="43" t="s">
        <v>1852</v>
      </c>
      <c r="K790" s="44" t="n">
        <f aca="false">ROUND((IF(E790="Transactional",5,IF(E790="Commercial",4,IF(E790="Comparison",3,IF(E790="Informational",2,3))))*LOG10(IF(ISNUMBER(L790),L790,IFERROR(VALUE(LEFT(F790,FIND("-",F790)-1)),100))+1))/IF(IF(ISBLANK(M790),G790,M790)="High",5,IF(IF(ISBLANK(M790),G790,M790)="Medium",3,1)),2)</f>
        <v>9.91</v>
      </c>
      <c r="L790" s="42"/>
      <c r="M790" s="42"/>
      <c r="N790" s="42"/>
      <c r="O790" s="42" t="s">
        <v>123</v>
      </c>
      <c r="P790" s="43"/>
    </row>
    <row r="791" customFormat="false" ht="25.5" hidden="false" customHeight="true" outlineLevel="0" collapsed="false">
      <c r="A791" s="42" t="n">
        <v>790</v>
      </c>
      <c r="B791" s="42" t="n">
        <v>10</v>
      </c>
      <c r="C791" s="42" t="s">
        <v>125</v>
      </c>
      <c r="D791" s="45" t="s">
        <v>1853</v>
      </c>
      <c r="E791" s="42" t="s">
        <v>117</v>
      </c>
      <c r="F791" s="43" t="s">
        <v>994</v>
      </c>
      <c r="G791" s="42" t="s">
        <v>505</v>
      </c>
      <c r="H791" s="42" t="s">
        <v>1794</v>
      </c>
      <c r="I791" s="43" t="s">
        <v>1794</v>
      </c>
      <c r="J791" s="45" t="s">
        <v>1854</v>
      </c>
      <c r="K791" s="44" t="n">
        <f aca="false">ROUND((IF(E791="Transactional",5,IF(E791="Commercial",4,IF(E791="Comparison",3,IF(E791="Informational",2,3))))*LOG10(IF(ISNUMBER(L791),L791,IFERROR(VALUE(LEFT(F791,FIND("-",F791)-1)),100))+1))/IF(IF(ISBLANK(M791),G791,M791)="High",5,IF(IF(ISBLANK(M791),G791,M791)="Medium",3,1)),2)</f>
        <v>9.6</v>
      </c>
      <c r="L791" s="42"/>
      <c r="M791" s="42"/>
      <c r="N791" s="42"/>
      <c r="O791" s="42" t="s">
        <v>123</v>
      </c>
      <c r="P791" s="43"/>
    </row>
    <row r="792" customFormat="false" ht="25.5" hidden="false" customHeight="true" outlineLevel="0" collapsed="false">
      <c r="A792" s="42" t="n">
        <v>791</v>
      </c>
      <c r="B792" s="42" t="n">
        <v>10</v>
      </c>
      <c r="C792" s="42" t="s">
        <v>115</v>
      </c>
      <c r="D792" s="43" t="s">
        <v>1855</v>
      </c>
      <c r="E792" s="42" t="s">
        <v>1101</v>
      </c>
      <c r="F792" s="43" t="s">
        <v>1102</v>
      </c>
      <c r="G792" s="42" t="s">
        <v>505</v>
      </c>
      <c r="H792" s="42" t="s">
        <v>1794</v>
      </c>
      <c r="I792" s="43" t="s">
        <v>1794</v>
      </c>
      <c r="J792" s="43" t="s">
        <v>1856</v>
      </c>
      <c r="K792" s="44" t="n">
        <f aca="false">ROUND((IF(E792="Transactional",5,IF(E792="Commercial",4,IF(E792="Comparison",3,IF(E792="Informational",2,3))))*LOG10(IF(ISNUMBER(L792),L792,IFERROR(VALUE(LEFT(F792,FIND("-",F792)-1)),100))+1))/IF(IF(ISBLANK(M792),G792,M792)="High",5,IF(IF(ISBLANK(M792),G792,M792)="Medium",3,1)),2)</f>
        <v>13.5</v>
      </c>
      <c r="L792" s="42"/>
      <c r="M792" s="42"/>
      <c r="N792" s="42"/>
      <c r="O792" s="42" t="s">
        <v>123</v>
      </c>
      <c r="P792" s="43"/>
    </row>
    <row r="793" customFormat="false" ht="25.5" hidden="false" customHeight="true" outlineLevel="0" collapsed="false">
      <c r="A793" s="42" t="n">
        <v>792</v>
      </c>
      <c r="B793" s="42" t="n">
        <v>10</v>
      </c>
      <c r="C793" s="42" t="s">
        <v>125</v>
      </c>
      <c r="D793" s="45" t="s">
        <v>1857</v>
      </c>
      <c r="E793" s="42" t="s">
        <v>1101</v>
      </c>
      <c r="F793" s="43" t="s">
        <v>136</v>
      </c>
      <c r="G793" s="42" t="s">
        <v>505</v>
      </c>
      <c r="H793" s="42" t="s">
        <v>1794</v>
      </c>
      <c r="I793" s="43" t="s">
        <v>1794</v>
      </c>
      <c r="J793" s="45" t="s">
        <v>1858</v>
      </c>
      <c r="K793" s="44" t="n">
        <f aca="false">ROUND((IF(E793="Transactional",5,IF(E793="Commercial",4,IF(E793="Comparison",3,IF(E793="Informational",2,3))))*LOG10(IF(ISNUMBER(L793),L793,IFERROR(VALUE(LEFT(F793,FIND("-",F793)-1)),100))+1))/IF(IF(ISBLANK(M793),G793,M793)="High",5,IF(IF(ISBLANK(M793),G793,M793)="Medium",3,1)),2)</f>
        <v>13.02</v>
      </c>
      <c r="L793" s="42"/>
      <c r="M793" s="42"/>
      <c r="N793" s="42"/>
      <c r="O793" s="42" t="s">
        <v>123</v>
      </c>
      <c r="P793" s="43"/>
    </row>
  </sheetData>
  <conditionalFormatting sqref="K2:K793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793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793" type="list">
      <formula1>"EN,AR,FA"</formula1>
      <formula2>0</formula2>
    </dataValidation>
    <dataValidation allowBlank="true" errorStyle="stop" operator="between" showDropDown="false" showErrorMessage="false" showInputMessage="false" sqref="E2:E793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793 M2:M793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5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5"/>
  </cols>
  <sheetData>
    <row r="1" customFormat="false" ht="37.5" hidden="false" customHeight="true" outlineLevel="0" collapsed="false">
      <c r="A1" s="5" t="s">
        <v>99</v>
      </c>
      <c r="B1" s="5" t="s">
        <v>1859</v>
      </c>
      <c r="C1" s="5" t="s">
        <v>1860</v>
      </c>
      <c r="D1" s="5" t="s">
        <v>1861</v>
      </c>
      <c r="E1" s="5" t="s">
        <v>107</v>
      </c>
      <c r="F1" s="5" t="s">
        <v>1862</v>
      </c>
      <c r="G1" s="5" t="s">
        <v>1863</v>
      </c>
    </row>
    <row r="2" customFormat="false" ht="24" hidden="false" customHeight="true" outlineLevel="0" collapsed="false">
      <c r="A2" s="46" t="n">
        <v>1</v>
      </c>
      <c r="B2" s="47" t="s">
        <v>1864</v>
      </c>
      <c r="C2" s="48" t="s">
        <v>1865</v>
      </c>
      <c r="D2" s="46" t="s">
        <v>1866</v>
      </c>
      <c r="E2" s="46" t="s">
        <v>121</v>
      </c>
      <c r="F2" s="46" t="n">
        <v>5</v>
      </c>
      <c r="G2" s="46" t="s">
        <v>1867</v>
      </c>
    </row>
    <row r="3" customFormat="false" ht="24" hidden="false" customHeight="true" outlineLevel="0" collapsed="false">
      <c r="A3" s="46" t="n">
        <v>2</v>
      </c>
      <c r="B3" s="47" t="s">
        <v>1868</v>
      </c>
      <c r="C3" s="48" t="s">
        <v>1869</v>
      </c>
      <c r="D3" s="46" t="s">
        <v>1870</v>
      </c>
      <c r="E3" s="46" t="s">
        <v>121</v>
      </c>
      <c r="F3" s="46" t="n">
        <v>5</v>
      </c>
      <c r="G3" s="46" t="s">
        <v>1871</v>
      </c>
    </row>
    <row r="4" customFormat="false" ht="24" hidden="false" customHeight="true" outlineLevel="0" collapsed="false">
      <c r="A4" s="46" t="n">
        <v>3</v>
      </c>
      <c r="B4" s="47" t="s">
        <v>1872</v>
      </c>
      <c r="C4" s="48" t="s">
        <v>1873</v>
      </c>
      <c r="D4" s="46" t="s">
        <v>1874</v>
      </c>
      <c r="E4" s="46" t="s">
        <v>121</v>
      </c>
      <c r="F4" s="46" t="n">
        <v>4</v>
      </c>
      <c r="G4" s="46" t="s">
        <v>1875</v>
      </c>
    </row>
    <row r="5" customFormat="false" ht="24" hidden="false" customHeight="true" outlineLevel="0" collapsed="false">
      <c r="A5" s="46" t="n">
        <v>4</v>
      </c>
      <c r="B5" s="47" t="s">
        <v>1876</v>
      </c>
      <c r="C5" s="48" t="s">
        <v>1877</v>
      </c>
      <c r="D5" s="46" t="s">
        <v>1878</v>
      </c>
      <c r="E5" s="46" t="s">
        <v>121</v>
      </c>
      <c r="F5" s="46" t="n">
        <v>3</v>
      </c>
      <c r="G5" s="46" t="s">
        <v>1879</v>
      </c>
    </row>
    <row r="6" customFormat="false" ht="24" hidden="false" customHeight="true" outlineLevel="0" collapsed="false">
      <c r="A6" s="46" t="n">
        <v>5</v>
      </c>
      <c r="B6" s="47" t="s">
        <v>1880</v>
      </c>
      <c r="C6" s="48" t="s">
        <v>1881</v>
      </c>
      <c r="D6" s="46" t="s">
        <v>1882</v>
      </c>
      <c r="E6" s="46" t="s">
        <v>121</v>
      </c>
      <c r="F6" s="46" t="n">
        <v>3</v>
      </c>
      <c r="G6" s="46" t="s">
        <v>1883</v>
      </c>
    </row>
    <row r="7" customFormat="false" ht="24" hidden="false" customHeight="true" outlineLevel="0" collapsed="false">
      <c r="A7" s="46" t="n">
        <v>6</v>
      </c>
      <c r="B7" s="47" t="s">
        <v>1884</v>
      </c>
      <c r="C7" s="48" t="s">
        <v>1885</v>
      </c>
      <c r="D7" s="46" t="s">
        <v>1886</v>
      </c>
      <c r="E7" s="46" t="s">
        <v>121</v>
      </c>
      <c r="F7" s="46" t="n">
        <v>3</v>
      </c>
      <c r="G7" s="46" t="s">
        <v>1887</v>
      </c>
    </row>
    <row r="8" customFormat="false" ht="24" hidden="false" customHeight="true" outlineLevel="0" collapsed="false">
      <c r="A8" s="46" t="n">
        <v>7</v>
      </c>
      <c r="B8" s="47" t="s">
        <v>1888</v>
      </c>
      <c r="C8" s="48" t="s">
        <v>1889</v>
      </c>
      <c r="D8" s="46" t="s">
        <v>1890</v>
      </c>
      <c r="E8" s="46" t="s">
        <v>121</v>
      </c>
      <c r="F8" s="46" t="n">
        <v>4</v>
      </c>
      <c r="G8" s="46" t="s">
        <v>1891</v>
      </c>
    </row>
    <row r="9" customFormat="false" ht="24" hidden="false" customHeight="true" outlineLevel="0" collapsed="false">
      <c r="A9" s="46" t="n">
        <v>8</v>
      </c>
      <c r="B9" s="47" t="s">
        <v>1892</v>
      </c>
      <c r="C9" s="48" t="s">
        <v>1893</v>
      </c>
      <c r="D9" s="46" t="s">
        <v>1894</v>
      </c>
      <c r="E9" s="46" t="s">
        <v>121</v>
      </c>
      <c r="F9" s="46" t="n">
        <v>4</v>
      </c>
      <c r="G9" s="46" t="s">
        <v>1895</v>
      </c>
    </row>
    <row r="10" customFormat="false" ht="24" hidden="false" customHeight="true" outlineLevel="0" collapsed="false">
      <c r="A10" s="46" t="n">
        <v>9</v>
      </c>
      <c r="B10" s="47" t="s">
        <v>1896</v>
      </c>
      <c r="C10" s="48" t="s">
        <v>1897</v>
      </c>
      <c r="D10" s="46" t="s">
        <v>1898</v>
      </c>
      <c r="E10" s="46" t="s">
        <v>121</v>
      </c>
      <c r="F10" s="46" t="n">
        <v>5</v>
      </c>
      <c r="G10" s="46" t="s">
        <v>1899</v>
      </c>
    </row>
    <row r="11" customFormat="false" ht="24" hidden="false" customHeight="true" outlineLevel="0" collapsed="false">
      <c r="A11" s="46" t="n">
        <v>10</v>
      </c>
      <c r="B11" s="47" t="s">
        <v>1900</v>
      </c>
      <c r="C11" s="48" t="s">
        <v>1901</v>
      </c>
      <c r="D11" s="46" t="s">
        <v>1902</v>
      </c>
      <c r="E11" s="46" t="s">
        <v>121</v>
      </c>
      <c r="F11" s="46" t="n">
        <v>4</v>
      </c>
      <c r="G11" s="46" t="s">
        <v>1903</v>
      </c>
    </row>
    <row r="12" customFormat="false" ht="24" hidden="false" customHeight="true" outlineLevel="0" collapsed="false">
      <c r="A12" s="46" t="n">
        <v>11</v>
      </c>
      <c r="B12" s="47" t="s">
        <v>1904</v>
      </c>
      <c r="C12" s="48" t="s">
        <v>1905</v>
      </c>
      <c r="D12" s="46" t="s">
        <v>1906</v>
      </c>
      <c r="E12" s="46" t="s">
        <v>121</v>
      </c>
      <c r="F12" s="46" t="n">
        <v>4</v>
      </c>
      <c r="G12" s="46" t="s">
        <v>1907</v>
      </c>
    </row>
    <row r="13" customFormat="false" ht="24" hidden="false" customHeight="true" outlineLevel="0" collapsed="false">
      <c r="A13" s="46" t="n">
        <v>12</v>
      </c>
      <c r="B13" s="47" t="s">
        <v>1908</v>
      </c>
      <c r="C13" s="48" t="s">
        <v>1909</v>
      </c>
      <c r="D13" s="46" t="s">
        <v>1910</v>
      </c>
      <c r="E13" s="46" t="s">
        <v>121</v>
      </c>
      <c r="F13" s="46" t="n">
        <v>4</v>
      </c>
      <c r="G13" s="46" t="s">
        <v>1911</v>
      </c>
    </row>
    <row r="14" customFormat="false" ht="24" hidden="false" customHeight="true" outlineLevel="0" collapsed="false">
      <c r="A14" s="46" t="n">
        <v>13</v>
      </c>
      <c r="B14" s="47" t="s">
        <v>1912</v>
      </c>
      <c r="C14" s="48" t="s">
        <v>1913</v>
      </c>
      <c r="D14" s="46" t="s">
        <v>1914</v>
      </c>
      <c r="E14" s="46" t="s">
        <v>174</v>
      </c>
      <c r="F14" s="46" t="n">
        <v>5</v>
      </c>
      <c r="G14" s="46" t="s">
        <v>1915</v>
      </c>
    </row>
    <row r="15" customFormat="false" ht="24" hidden="false" customHeight="true" outlineLevel="0" collapsed="false">
      <c r="A15" s="46" t="n">
        <v>14</v>
      </c>
      <c r="B15" s="47" t="s">
        <v>1916</v>
      </c>
      <c r="C15" s="48" t="s">
        <v>1917</v>
      </c>
      <c r="D15" s="46" t="s">
        <v>1918</v>
      </c>
      <c r="E15" s="46" t="s">
        <v>174</v>
      </c>
      <c r="F15" s="46" t="n">
        <v>5</v>
      </c>
      <c r="G15" s="46" t="s">
        <v>1919</v>
      </c>
    </row>
    <row r="16" customFormat="false" ht="24" hidden="false" customHeight="true" outlineLevel="0" collapsed="false">
      <c r="A16" s="46" t="n">
        <v>15</v>
      </c>
      <c r="B16" s="47" t="s">
        <v>1920</v>
      </c>
      <c r="C16" s="48" t="s">
        <v>1921</v>
      </c>
      <c r="D16" s="46" t="s">
        <v>1922</v>
      </c>
      <c r="E16" s="46" t="s">
        <v>185</v>
      </c>
      <c r="F16" s="46" t="n">
        <v>5</v>
      </c>
      <c r="G16" s="46" t="s">
        <v>1923</v>
      </c>
    </row>
    <row r="17" customFormat="false" ht="24" hidden="false" customHeight="true" outlineLevel="0" collapsed="false">
      <c r="A17" s="46" t="n">
        <v>16</v>
      </c>
      <c r="B17" s="47" t="s">
        <v>1924</v>
      </c>
      <c r="C17" s="48" t="s">
        <v>1925</v>
      </c>
      <c r="D17" s="46" t="s">
        <v>1926</v>
      </c>
      <c r="E17" s="46" t="s">
        <v>185</v>
      </c>
      <c r="F17" s="46" t="n">
        <v>4</v>
      </c>
      <c r="G17" s="46" t="s">
        <v>1927</v>
      </c>
    </row>
    <row r="18" customFormat="false" ht="24" hidden="false" customHeight="true" outlineLevel="0" collapsed="false">
      <c r="A18" s="46" t="n">
        <v>17</v>
      </c>
      <c r="B18" s="47" t="s">
        <v>1928</v>
      </c>
      <c r="C18" s="48" t="s">
        <v>1929</v>
      </c>
      <c r="D18" s="46" t="s">
        <v>1930</v>
      </c>
      <c r="E18" s="46" t="s">
        <v>185</v>
      </c>
      <c r="F18" s="46" t="n">
        <v>5</v>
      </c>
      <c r="G18" s="46" t="s">
        <v>1931</v>
      </c>
    </row>
    <row r="19" customFormat="false" ht="24" hidden="false" customHeight="true" outlineLevel="0" collapsed="false">
      <c r="A19" s="46" t="n">
        <v>18</v>
      </c>
      <c r="B19" s="47" t="s">
        <v>1932</v>
      </c>
      <c r="C19" s="48" t="s">
        <v>1933</v>
      </c>
      <c r="D19" s="46" t="s">
        <v>1934</v>
      </c>
      <c r="E19" s="46" t="s">
        <v>185</v>
      </c>
      <c r="F19" s="46" t="n">
        <v>5</v>
      </c>
      <c r="G19" s="46" t="s">
        <v>1935</v>
      </c>
    </row>
    <row r="20" customFormat="false" ht="24" hidden="false" customHeight="true" outlineLevel="0" collapsed="false">
      <c r="A20" s="46" t="n">
        <v>19</v>
      </c>
      <c r="B20" s="47" t="s">
        <v>1936</v>
      </c>
      <c r="C20" s="48" t="s">
        <v>1937</v>
      </c>
      <c r="D20" s="46" t="s">
        <v>1938</v>
      </c>
      <c r="E20" s="46" t="s">
        <v>185</v>
      </c>
      <c r="F20" s="46" t="n">
        <v>5</v>
      </c>
      <c r="G20" s="46" t="s">
        <v>1939</v>
      </c>
    </row>
    <row r="21" customFormat="false" ht="24" hidden="false" customHeight="true" outlineLevel="0" collapsed="false">
      <c r="A21" s="46" t="n">
        <v>20</v>
      </c>
      <c r="B21" s="47" t="s">
        <v>1940</v>
      </c>
      <c r="C21" s="48" t="s">
        <v>1941</v>
      </c>
      <c r="D21" s="46" t="s">
        <v>1942</v>
      </c>
      <c r="E21" s="46" t="s">
        <v>185</v>
      </c>
      <c r="F21" s="46" t="n">
        <v>4</v>
      </c>
      <c r="G21" s="46" t="s">
        <v>1943</v>
      </c>
    </row>
    <row r="22" customFormat="false" ht="24" hidden="false" customHeight="true" outlineLevel="0" collapsed="false">
      <c r="A22" s="46" t="n">
        <v>21</v>
      </c>
      <c r="B22" s="47" t="s">
        <v>1944</v>
      </c>
      <c r="C22" s="48" t="s">
        <v>1945</v>
      </c>
      <c r="D22" s="46" t="s">
        <v>1946</v>
      </c>
      <c r="E22" s="46" t="s">
        <v>185</v>
      </c>
      <c r="F22" s="46" t="n">
        <v>3</v>
      </c>
      <c r="G22" s="46" t="s">
        <v>1947</v>
      </c>
    </row>
    <row r="23" customFormat="false" ht="24" hidden="false" customHeight="true" outlineLevel="0" collapsed="false">
      <c r="A23" s="46" t="n">
        <v>22</v>
      </c>
      <c r="B23" s="47" t="s">
        <v>1948</v>
      </c>
      <c r="C23" s="48" t="s">
        <v>1949</v>
      </c>
      <c r="D23" s="46" t="s">
        <v>1950</v>
      </c>
      <c r="E23" s="46" t="s">
        <v>185</v>
      </c>
      <c r="F23" s="46" t="n">
        <v>3</v>
      </c>
      <c r="G23" s="46" t="s">
        <v>1951</v>
      </c>
    </row>
    <row r="24" customFormat="false" ht="24" hidden="false" customHeight="true" outlineLevel="0" collapsed="false">
      <c r="A24" s="46" t="n">
        <v>23</v>
      </c>
      <c r="B24" s="47" t="s">
        <v>1952</v>
      </c>
      <c r="C24" s="48" t="s">
        <v>1953</v>
      </c>
      <c r="D24" s="46" t="s">
        <v>1954</v>
      </c>
      <c r="E24" s="46" t="s">
        <v>185</v>
      </c>
      <c r="F24" s="46" t="n">
        <v>3</v>
      </c>
      <c r="G24" s="46" t="s">
        <v>1955</v>
      </c>
    </row>
    <row r="25" customFormat="false" ht="24" hidden="false" customHeight="true" outlineLevel="0" collapsed="false">
      <c r="A25" s="46" t="n">
        <v>24</v>
      </c>
      <c r="B25" s="47" t="s">
        <v>1956</v>
      </c>
      <c r="C25" s="48" t="s">
        <v>1957</v>
      </c>
      <c r="D25" s="46" t="s">
        <v>1958</v>
      </c>
      <c r="E25" s="46" t="s">
        <v>185</v>
      </c>
      <c r="F25" s="46" t="n">
        <v>4</v>
      </c>
      <c r="G25" s="46" t="s">
        <v>1959</v>
      </c>
    </row>
    <row r="26" customFormat="false" ht="24" hidden="false" customHeight="true" outlineLevel="0" collapsed="false">
      <c r="A26" s="46" t="n">
        <v>25</v>
      </c>
      <c r="B26" s="47" t="s">
        <v>1960</v>
      </c>
      <c r="C26" s="48" t="s">
        <v>1961</v>
      </c>
      <c r="D26" s="46" t="s">
        <v>1962</v>
      </c>
      <c r="E26" s="46" t="s">
        <v>185</v>
      </c>
      <c r="F26" s="46" t="n">
        <v>4</v>
      </c>
      <c r="G26" s="46" t="s">
        <v>1963</v>
      </c>
    </row>
    <row r="27" customFormat="false" ht="24" hidden="false" customHeight="true" outlineLevel="0" collapsed="false">
      <c r="A27" s="46" t="n">
        <v>26</v>
      </c>
      <c r="B27" s="47" t="s">
        <v>1964</v>
      </c>
      <c r="C27" s="48" t="s">
        <v>1965</v>
      </c>
      <c r="D27" s="46" t="s">
        <v>1966</v>
      </c>
      <c r="E27" s="46" t="s">
        <v>185</v>
      </c>
      <c r="F27" s="46" t="n">
        <v>3</v>
      </c>
      <c r="G27" s="46" t="s">
        <v>1967</v>
      </c>
    </row>
    <row r="28" customFormat="false" ht="24" hidden="false" customHeight="true" outlineLevel="0" collapsed="false">
      <c r="A28" s="46" t="n">
        <v>27</v>
      </c>
      <c r="B28" s="47" t="s">
        <v>1968</v>
      </c>
      <c r="C28" s="48" t="s">
        <v>1969</v>
      </c>
      <c r="D28" s="46" t="s">
        <v>1970</v>
      </c>
      <c r="E28" s="46" t="s">
        <v>185</v>
      </c>
      <c r="F28" s="46" t="n">
        <v>3</v>
      </c>
      <c r="G28" s="46" t="s">
        <v>1971</v>
      </c>
    </row>
    <row r="29" customFormat="false" ht="24" hidden="false" customHeight="true" outlineLevel="0" collapsed="false">
      <c r="A29" s="46" t="n">
        <v>28</v>
      </c>
      <c r="B29" s="47" t="s">
        <v>1972</v>
      </c>
      <c r="C29" s="48" t="s">
        <v>1973</v>
      </c>
      <c r="D29" s="46" t="s">
        <v>1974</v>
      </c>
      <c r="E29" s="46" t="s">
        <v>226</v>
      </c>
      <c r="F29" s="46" t="n">
        <v>5</v>
      </c>
      <c r="G29" s="46" t="s">
        <v>1975</v>
      </c>
    </row>
    <row r="30" customFormat="false" ht="24" hidden="false" customHeight="true" outlineLevel="0" collapsed="false">
      <c r="A30" s="46" t="n">
        <v>29</v>
      </c>
      <c r="B30" s="47" t="s">
        <v>1976</v>
      </c>
      <c r="C30" s="48" t="s">
        <v>1977</v>
      </c>
      <c r="D30" s="46" t="s">
        <v>1978</v>
      </c>
      <c r="E30" s="46" t="s">
        <v>226</v>
      </c>
      <c r="F30" s="46" t="n">
        <v>4</v>
      </c>
      <c r="G30" s="46" t="s">
        <v>1979</v>
      </c>
    </row>
    <row r="31" customFormat="false" ht="24" hidden="false" customHeight="true" outlineLevel="0" collapsed="false">
      <c r="A31" s="46" t="n">
        <v>30</v>
      </c>
      <c r="B31" s="47" t="s">
        <v>1980</v>
      </c>
      <c r="C31" s="48" t="s">
        <v>1981</v>
      </c>
      <c r="D31" s="46" t="s">
        <v>1982</v>
      </c>
      <c r="E31" s="46" t="s">
        <v>226</v>
      </c>
      <c r="F31" s="46" t="n">
        <v>4</v>
      </c>
      <c r="G31" s="46" t="s">
        <v>1983</v>
      </c>
    </row>
    <row r="32" customFormat="false" ht="24" hidden="false" customHeight="true" outlineLevel="0" collapsed="false">
      <c r="A32" s="46" t="n">
        <v>31</v>
      </c>
      <c r="B32" s="47" t="s">
        <v>1984</v>
      </c>
      <c r="C32" s="48" t="s">
        <v>1985</v>
      </c>
      <c r="D32" s="46" t="s">
        <v>1986</v>
      </c>
      <c r="E32" s="46" t="s">
        <v>226</v>
      </c>
      <c r="F32" s="46" t="n">
        <v>3</v>
      </c>
      <c r="G32" s="46" t="s">
        <v>1987</v>
      </c>
    </row>
    <row r="33" customFormat="false" ht="24" hidden="false" customHeight="true" outlineLevel="0" collapsed="false">
      <c r="A33" s="46" t="n">
        <v>32</v>
      </c>
      <c r="B33" s="47" t="s">
        <v>1988</v>
      </c>
      <c r="C33" s="48" t="s">
        <v>1989</v>
      </c>
      <c r="D33" s="46" t="s">
        <v>1990</v>
      </c>
      <c r="E33" s="46" t="s">
        <v>226</v>
      </c>
      <c r="F33" s="46" t="n">
        <v>3</v>
      </c>
      <c r="G33" s="46" t="s">
        <v>1991</v>
      </c>
    </row>
    <row r="34" customFormat="false" ht="24" hidden="false" customHeight="true" outlineLevel="0" collapsed="false">
      <c r="A34" s="46" t="n">
        <v>33</v>
      </c>
      <c r="B34" s="47" t="s">
        <v>1992</v>
      </c>
      <c r="C34" s="48" t="s">
        <v>1993</v>
      </c>
      <c r="D34" s="46" t="s">
        <v>1994</v>
      </c>
      <c r="E34" s="46" t="s">
        <v>242</v>
      </c>
      <c r="F34" s="46" t="n">
        <v>4</v>
      </c>
      <c r="G34" s="46" t="s">
        <v>1995</v>
      </c>
    </row>
    <row r="35" customFormat="false" ht="24" hidden="false" customHeight="true" outlineLevel="0" collapsed="false">
      <c r="A35" s="46" t="n">
        <v>34</v>
      </c>
      <c r="B35" s="47" t="s">
        <v>1996</v>
      </c>
      <c r="C35" s="48" t="s">
        <v>1997</v>
      </c>
      <c r="D35" s="46" t="s">
        <v>1998</v>
      </c>
      <c r="E35" s="46" t="s">
        <v>242</v>
      </c>
      <c r="F35" s="46" t="n">
        <v>3</v>
      </c>
      <c r="G35" s="46" t="s">
        <v>1999</v>
      </c>
    </row>
    <row r="36" customFormat="false" ht="24" hidden="false" customHeight="true" outlineLevel="0" collapsed="false">
      <c r="A36" s="46" t="n">
        <v>35</v>
      </c>
      <c r="B36" s="47" t="s">
        <v>2000</v>
      </c>
      <c r="C36" s="48" t="s">
        <v>2001</v>
      </c>
      <c r="D36" s="46" t="s">
        <v>2002</v>
      </c>
      <c r="E36" s="46" t="s">
        <v>242</v>
      </c>
      <c r="F36" s="46" t="n">
        <v>3</v>
      </c>
      <c r="G36" s="46" t="s">
        <v>2003</v>
      </c>
    </row>
    <row r="37" customFormat="false" ht="24" hidden="false" customHeight="true" outlineLevel="0" collapsed="false">
      <c r="A37" s="46" t="n">
        <v>36</v>
      </c>
      <c r="B37" s="47" t="s">
        <v>2004</v>
      </c>
      <c r="C37" s="48" t="s">
        <v>2005</v>
      </c>
      <c r="D37" s="46" t="s">
        <v>2006</v>
      </c>
      <c r="E37" s="46" t="s">
        <v>248</v>
      </c>
      <c r="F37" s="46" t="n">
        <v>5</v>
      </c>
      <c r="G37" s="46" t="s">
        <v>2007</v>
      </c>
    </row>
    <row r="38" customFormat="false" ht="24" hidden="false" customHeight="true" outlineLevel="0" collapsed="false">
      <c r="A38" s="46" t="n">
        <v>37</v>
      </c>
      <c r="B38" s="47" t="s">
        <v>2008</v>
      </c>
      <c r="C38" s="48" t="s">
        <v>2009</v>
      </c>
      <c r="D38" s="46" t="s">
        <v>2010</v>
      </c>
      <c r="E38" s="46" t="s">
        <v>248</v>
      </c>
      <c r="F38" s="46" t="n">
        <v>3</v>
      </c>
      <c r="G38" s="46" t="s">
        <v>2011</v>
      </c>
    </row>
    <row r="39" customFormat="false" ht="24" hidden="false" customHeight="true" outlineLevel="0" collapsed="false">
      <c r="A39" s="46" t="n">
        <v>38</v>
      </c>
      <c r="B39" s="47" t="s">
        <v>2012</v>
      </c>
      <c r="C39" s="48" t="s">
        <v>2013</v>
      </c>
      <c r="D39" s="46" t="s">
        <v>2014</v>
      </c>
      <c r="E39" s="46" t="s">
        <v>248</v>
      </c>
      <c r="F39" s="46" t="n">
        <v>3</v>
      </c>
      <c r="G39" s="46" t="s">
        <v>2015</v>
      </c>
    </row>
    <row r="40" customFormat="false" ht="24" hidden="false" customHeight="true" outlineLevel="0" collapsed="false">
      <c r="A40" s="46" t="n">
        <v>39</v>
      </c>
      <c r="B40" s="47" t="s">
        <v>2016</v>
      </c>
      <c r="C40" s="48" t="s">
        <v>2017</v>
      </c>
      <c r="D40" s="46" t="s">
        <v>2018</v>
      </c>
      <c r="E40" s="46" t="s">
        <v>254</v>
      </c>
      <c r="F40" s="46" t="n">
        <v>5</v>
      </c>
      <c r="G40" s="46" t="s">
        <v>2019</v>
      </c>
    </row>
    <row r="41" customFormat="false" ht="24" hidden="false" customHeight="true" outlineLevel="0" collapsed="false">
      <c r="A41" s="46" t="n">
        <v>40</v>
      </c>
      <c r="B41" s="47" t="s">
        <v>2020</v>
      </c>
      <c r="C41" s="48" t="s">
        <v>2021</v>
      </c>
      <c r="D41" s="46" t="s">
        <v>2022</v>
      </c>
      <c r="E41" s="46" t="s">
        <v>254</v>
      </c>
      <c r="F41" s="46" t="n">
        <v>3</v>
      </c>
      <c r="G41" s="46" t="s">
        <v>2023</v>
      </c>
    </row>
    <row r="42" customFormat="false" ht="24" hidden="false" customHeight="true" outlineLevel="0" collapsed="false">
      <c r="A42" s="46" t="n">
        <v>41</v>
      </c>
      <c r="B42" s="47" t="s">
        <v>2024</v>
      </c>
      <c r="C42" s="48" t="s">
        <v>2025</v>
      </c>
      <c r="D42" s="46" t="s">
        <v>2026</v>
      </c>
      <c r="E42" s="46" t="s">
        <v>254</v>
      </c>
      <c r="F42" s="46" t="n">
        <v>3</v>
      </c>
      <c r="G42" s="46" t="s">
        <v>2027</v>
      </c>
    </row>
    <row r="43" customFormat="false" ht="24" hidden="false" customHeight="true" outlineLevel="0" collapsed="false">
      <c r="A43" s="46" t="n">
        <v>42</v>
      </c>
      <c r="B43" s="47" t="s">
        <v>2028</v>
      </c>
      <c r="C43" s="48" t="s">
        <v>2029</v>
      </c>
      <c r="D43" s="46" t="s">
        <v>2030</v>
      </c>
      <c r="E43" s="46" t="s">
        <v>254</v>
      </c>
      <c r="F43" s="46" t="n">
        <v>3</v>
      </c>
      <c r="G43" s="46" t="s">
        <v>2031</v>
      </c>
    </row>
    <row r="44" customFormat="false" ht="24" hidden="false" customHeight="true" outlineLevel="0" collapsed="false">
      <c r="A44" s="46" t="n">
        <v>43</v>
      </c>
      <c r="B44" s="47" t="s">
        <v>2032</v>
      </c>
      <c r="C44" s="48" t="s">
        <v>2033</v>
      </c>
      <c r="D44" s="46" t="s">
        <v>2034</v>
      </c>
      <c r="E44" s="46" t="s">
        <v>260</v>
      </c>
      <c r="F44" s="46" t="n">
        <v>4</v>
      </c>
      <c r="G44" s="46" t="s">
        <v>2035</v>
      </c>
    </row>
    <row r="45" customFormat="false" ht="24" hidden="false" customHeight="true" outlineLevel="0" collapsed="false">
      <c r="A45" s="46" t="n">
        <v>44</v>
      </c>
      <c r="B45" s="47" t="s">
        <v>2036</v>
      </c>
      <c r="C45" s="48" t="s">
        <v>2037</v>
      </c>
      <c r="D45" s="46" t="s">
        <v>2038</v>
      </c>
      <c r="E45" s="46" t="s">
        <v>260</v>
      </c>
      <c r="F45" s="46" t="n">
        <v>3</v>
      </c>
      <c r="G45" s="46" t="s">
        <v>2039</v>
      </c>
    </row>
    <row r="46" customFormat="false" ht="24" hidden="false" customHeight="true" outlineLevel="0" collapsed="false">
      <c r="A46" s="46" t="n">
        <v>45</v>
      </c>
      <c r="B46" s="47" t="s">
        <v>2040</v>
      </c>
      <c r="C46" s="48" t="s">
        <v>2041</v>
      </c>
      <c r="D46" s="46" t="s">
        <v>2042</v>
      </c>
      <c r="E46" s="46" t="s">
        <v>266</v>
      </c>
      <c r="F46" s="46" t="n">
        <v>4</v>
      </c>
      <c r="G46" s="46" t="s">
        <v>2043</v>
      </c>
    </row>
    <row r="47" customFormat="false" ht="24" hidden="false" customHeight="true" outlineLevel="0" collapsed="false">
      <c r="A47" s="46" t="n">
        <v>46</v>
      </c>
      <c r="B47" s="47" t="s">
        <v>2044</v>
      </c>
      <c r="C47" s="48" t="s">
        <v>2045</v>
      </c>
      <c r="D47" s="46" t="s">
        <v>2046</v>
      </c>
      <c r="E47" s="46" t="s">
        <v>266</v>
      </c>
      <c r="F47" s="46" t="n">
        <v>3</v>
      </c>
      <c r="G47" s="46" t="s">
        <v>2047</v>
      </c>
    </row>
    <row r="48" customFormat="false" ht="24" hidden="false" customHeight="true" outlineLevel="0" collapsed="false">
      <c r="A48" s="46" t="n">
        <v>47</v>
      </c>
      <c r="B48" s="47" t="s">
        <v>2048</v>
      </c>
      <c r="C48" s="48" t="s">
        <v>2049</v>
      </c>
      <c r="D48" s="46" t="s">
        <v>2050</v>
      </c>
      <c r="E48" s="46" t="s">
        <v>272</v>
      </c>
      <c r="F48" s="46" t="n">
        <v>5</v>
      </c>
      <c r="G48" s="46" t="s">
        <v>2051</v>
      </c>
    </row>
    <row r="49" customFormat="false" ht="24" hidden="false" customHeight="true" outlineLevel="0" collapsed="false">
      <c r="A49" s="46" t="n">
        <v>48</v>
      </c>
      <c r="B49" s="47" t="s">
        <v>2052</v>
      </c>
      <c r="C49" s="48" t="s">
        <v>2053</v>
      </c>
      <c r="D49" s="46" t="s">
        <v>2054</v>
      </c>
      <c r="E49" s="46" t="s">
        <v>272</v>
      </c>
      <c r="F49" s="46" t="n">
        <v>5</v>
      </c>
      <c r="G49" s="46" t="s">
        <v>2055</v>
      </c>
    </row>
    <row r="50" customFormat="false" ht="24" hidden="false" customHeight="true" outlineLevel="0" collapsed="false">
      <c r="A50" s="46" t="n">
        <v>49</v>
      </c>
      <c r="B50" s="47" t="s">
        <v>2056</v>
      </c>
      <c r="C50" s="48" t="s">
        <v>2057</v>
      </c>
      <c r="D50" s="46" t="s">
        <v>2058</v>
      </c>
      <c r="E50" s="46" t="s">
        <v>272</v>
      </c>
      <c r="F50" s="46" t="n">
        <v>5</v>
      </c>
      <c r="G50" s="46" t="s">
        <v>2059</v>
      </c>
    </row>
    <row r="51" customFormat="false" ht="24" hidden="false" customHeight="true" outlineLevel="0" collapsed="false">
      <c r="A51" s="46" t="n">
        <v>50</v>
      </c>
      <c r="B51" s="47" t="s">
        <v>2060</v>
      </c>
      <c r="C51" s="48" t="s">
        <v>2061</v>
      </c>
      <c r="D51" s="46" t="s">
        <v>2062</v>
      </c>
      <c r="E51" s="46" t="s">
        <v>272</v>
      </c>
      <c r="F51" s="46" t="n">
        <v>4</v>
      </c>
      <c r="G51" s="46" t="s">
        <v>2063</v>
      </c>
    </row>
    <row r="52" customFormat="false" ht="24" hidden="false" customHeight="true" outlineLevel="0" collapsed="false">
      <c r="A52" s="46" t="n">
        <v>51</v>
      </c>
      <c r="B52" s="47" t="s">
        <v>2064</v>
      </c>
      <c r="C52" s="48" t="s">
        <v>2065</v>
      </c>
      <c r="D52" s="46" t="s">
        <v>2066</v>
      </c>
      <c r="E52" s="46" t="s">
        <v>272</v>
      </c>
      <c r="F52" s="46" t="n">
        <v>4</v>
      </c>
      <c r="G52" s="46" t="s">
        <v>2067</v>
      </c>
    </row>
    <row r="53" customFormat="false" ht="24" hidden="false" customHeight="true" outlineLevel="0" collapsed="false">
      <c r="A53" s="46" t="n">
        <v>52</v>
      </c>
      <c r="B53" s="47" t="s">
        <v>2068</v>
      </c>
      <c r="C53" s="48" t="s">
        <v>2069</v>
      </c>
      <c r="D53" s="46" t="s">
        <v>2070</v>
      </c>
      <c r="E53" s="46" t="s">
        <v>298</v>
      </c>
      <c r="F53" s="46" t="n">
        <v>5</v>
      </c>
      <c r="G53" s="46" t="s">
        <v>2071</v>
      </c>
    </row>
    <row r="54" customFormat="false" ht="24" hidden="false" customHeight="true" outlineLevel="0" collapsed="false">
      <c r="A54" s="46" t="n">
        <v>53</v>
      </c>
      <c r="B54" s="47" t="s">
        <v>2072</v>
      </c>
      <c r="C54" s="48" t="s">
        <v>2073</v>
      </c>
      <c r="D54" s="46" t="s">
        <v>2074</v>
      </c>
      <c r="E54" s="46" t="s">
        <v>298</v>
      </c>
      <c r="F54" s="46" t="n">
        <v>4</v>
      </c>
      <c r="G54" s="46" t="s">
        <v>2075</v>
      </c>
    </row>
    <row r="55" customFormat="false" ht="24" hidden="false" customHeight="true" outlineLevel="0" collapsed="false">
      <c r="A55" s="46" t="n">
        <v>54</v>
      </c>
      <c r="B55" s="47" t="s">
        <v>2076</v>
      </c>
      <c r="C55" s="48" t="s">
        <v>1893</v>
      </c>
      <c r="D55" s="46" t="s">
        <v>2077</v>
      </c>
      <c r="E55" s="46" t="s">
        <v>298</v>
      </c>
      <c r="F55" s="46" t="n">
        <v>3</v>
      </c>
      <c r="G55" s="46" t="s">
        <v>2078</v>
      </c>
    </row>
    <row r="56" customFormat="false" ht="24" hidden="false" customHeight="true" outlineLevel="0" collapsed="false">
      <c r="A56" s="46" t="n">
        <v>55</v>
      </c>
      <c r="B56" s="47" t="s">
        <v>2079</v>
      </c>
      <c r="C56" s="48" t="s">
        <v>2080</v>
      </c>
      <c r="D56" s="46" t="s">
        <v>2081</v>
      </c>
      <c r="E56" s="46" t="s">
        <v>309</v>
      </c>
      <c r="F56" s="46" t="n">
        <v>5</v>
      </c>
      <c r="G56" s="46" t="s">
        <v>2082</v>
      </c>
    </row>
    <row r="57" customFormat="false" ht="24" hidden="false" customHeight="true" outlineLevel="0" collapsed="false">
      <c r="A57" s="46" t="n">
        <v>56</v>
      </c>
      <c r="B57" s="47" t="s">
        <v>2083</v>
      </c>
      <c r="C57" s="48" t="s">
        <v>2084</v>
      </c>
      <c r="D57" s="46" t="s">
        <v>2085</v>
      </c>
      <c r="E57" s="46" t="s">
        <v>309</v>
      </c>
      <c r="F57" s="46" t="n">
        <v>5</v>
      </c>
      <c r="G57" s="46" t="s">
        <v>2086</v>
      </c>
    </row>
    <row r="58" customFormat="false" ht="24" hidden="false" customHeight="true" outlineLevel="0" collapsed="false">
      <c r="A58" s="46" t="n">
        <v>57</v>
      </c>
      <c r="B58" s="47" t="s">
        <v>2087</v>
      </c>
      <c r="C58" s="48" t="s">
        <v>2088</v>
      </c>
      <c r="D58" s="46" t="s">
        <v>2089</v>
      </c>
      <c r="E58" s="46" t="s">
        <v>309</v>
      </c>
      <c r="F58" s="46" t="n">
        <v>4</v>
      </c>
      <c r="G58" s="46" t="s">
        <v>2090</v>
      </c>
    </row>
    <row r="59" customFormat="false" ht="24" hidden="false" customHeight="true" outlineLevel="0" collapsed="false">
      <c r="A59" s="46" t="n">
        <v>58</v>
      </c>
      <c r="B59" s="47" t="s">
        <v>2091</v>
      </c>
      <c r="C59" s="48" t="s">
        <v>2092</v>
      </c>
      <c r="D59" s="46" t="s">
        <v>2093</v>
      </c>
      <c r="E59" s="46" t="s">
        <v>309</v>
      </c>
      <c r="F59" s="46" t="n">
        <v>3</v>
      </c>
      <c r="G59" s="46" t="s">
        <v>2094</v>
      </c>
    </row>
    <row r="60" customFormat="false" ht="24" hidden="false" customHeight="true" outlineLevel="0" collapsed="false">
      <c r="A60" s="46" t="n">
        <v>59</v>
      </c>
      <c r="B60" s="47" t="s">
        <v>2095</v>
      </c>
      <c r="C60" s="48" t="s">
        <v>2096</v>
      </c>
      <c r="D60" s="46" t="s">
        <v>2097</v>
      </c>
      <c r="E60" s="46" t="s">
        <v>309</v>
      </c>
      <c r="F60" s="46" t="n">
        <v>3</v>
      </c>
      <c r="G60" s="46" t="s">
        <v>2098</v>
      </c>
    </row>
    <row r="61" customFormat="false" ht="24" hidden="false" customHeight="true" outlineLevel="0" collapsed="false">
      <c r="A61" s="46" t="n">
        <v>60</v>
      </c>
      <c r="B61" s="47" t="s">
        <v>2099</v>
      </c>
      <c r="C61" s="48" t="s">
        <v>2100</v>
      </c>
      <c r="D61" s="46" t="s">
        <v>2101</v>
      </c>
      <c r="E61" s="46" t="s">
        <v>309</v>
      </c>
      <c r="F61" s="46" t="n">
        <v>3</v>
      </c>
      <c r="G61" s="46" t="s">
        <v>2102</v>
      </c>
    </row>
    <row r="62" customFormat="false" ht="24" hidden="false" customHeight="true" outlineLevel="0" collapsed="false">
      <c r="A62" s="46" t="n">
        <v>61</v>
      </c>
      <c r="B62" s="47" t="s">
        <v>2103</v>
      </c>
      <c r="C62" s="48" t="s">
        <v>2104</v>
      </c>
      <c r="D62" s="46" t="s">
        <v>2105</v>
      </c>
      <c r="E62" s="46" t="s">
        <v>325</v>
      </c>
      <c r="F62" s="46" t="n">
        <v>4</v>
      </c>
      <c r="G62" s="46" t="s">
        <v>2106</v>
      </c>
    </row>
    <row r="63" customFormat="false" ht="24" hidden="false" customHeight="true" outlineLevel="0" collapsed="false">
      <c r="A63" s="46" t="n">
        <v>62</v>
      </c>
      <c r="B63" s="47" t="s">
        <v>2107</v>
      </c>
      <c r="C63" s="48" t="s">
        <v>2108</v>
      </c>
      <c r="D63" s="46" t="s">
        <v>2109</v>
      </c>
      <c r="E63" s="46" t="s">
        <v>325</v>
      </c>
      <c r="F63" s="46" t="n">
        <v>5</v>
      </c>
      <c r="G63" s="46" t="s">
        <v>2110</v>
      </c>
    </row>
    <row r="64" customFormat="false" ht="24" hidden="false" customHeight="true" outlineLevel="0" collapsed="false">
      <c r="A64" s="46" t="n">
        <v>63</v>
      </c>
      <c r="B64" s="47" t="s">
        <v>2111</v>
      </c>
      <c r="C64" s="48" t="s">
        <v>2112</v>
      </c>
      <c r="D64" s="46" t="s">
        <v>2113</v>
      </c>
      <c r="E64" s="46" t="s">
        <v>325</v>
      </c>
      <c r="F64" s="46" t="n">
        <v>4</v>
      </c>
      <c r="G64" s="46" t="s">
        <v>2114</v>
      </c>
    </row>
    <row r="65" customFormat="false" ht="24" hidden="false" customHeight="true" outlineLevel="0" collapsed="false">
      <c r="A65" s="46" t="n">
        <v>64</v>
      </c>
      <c r="B65" s="47" t="s">
        <v>2115</v>
      </c>
      <c r="C65" s="48" t="s">
        <v>2116</v>
      </c>
      <c r="D65" s="46" t="s">
        <v>2117</v>
      </c>
      <c r="E65" s="46" t="s">
        <v>341</v>
      </c>
      <c r="F65" s="46" t="n">
        <v>4</v>
      </c>
      <c r="G65" s="46" t="s">
        <v>2118</v>
      </c>
    </row>
    <row r="66" customFormat="false" ht="24" hidden="false" customHeight="true" outlineLevel="0" collapsed="false">
      <c r="A66" s="46" t="n">
        <v>65</v>
      </c>
      <c r="B66" s="47" t="s">
        <v>2119</v>
      </c>
      <c r="C66" s="48" t="s">
        <v>2120</v>
      </c>
      <c r="D66" s="46" t="s">
        <v>2121</v>
      </c>
      <c r="E66" s="46" t="s">
        <v>341</v>
      </c>
      <c r="F66" s="46" t="n">
        <v>4</v>
      </c>
      <c r="G66" s="46" t="s">
        <v>2122</v>
      </c>
    </row>
    <row r="67" customFormat="false" ht="24" hidden="false" customHeight="true" outlineLevel="0" collapsed="false">
      <c r="A67" s="46" t="n">
        <v>66</v>
      </c>
      <c r="B67" s="47" t="s">
        <v>2123</v>
      </c>
      <c r="C67" s="48" t="s">
        <v>2124</v>
      </c>
      <c r="D67" s="46" t="s">
        <v>2125</v>
      </c>
      <c r="E67" s="46" t="s">
        <v>352</v>
      </c>
      <c r="F67" s="46" t="n">
        <v>5</v>
      </c>
      <c r="G67" s="46" t="s">
        <v>2126</v>
      </c>
    </row>
    <row r="68" customFormat="false" ht="24" hidden="false" customHeight="true" outlineLevel="0" collapsed="false">
      <c r="A68" s="46" t="n">
        <v>67</v>
      </c>
      <c r="B68" s="47" t="s">
        <v>2127</v>
      </c>
      <c r="C68" s="48" t="s">
        <v>2128</v>
      </c>
      <c r="D68" s="46" t="s">
        <v>2129</v>
      </c>
      <c r="E68" s="46" t="s">
        <v>352</v>
      </c>
      <c r="F68" s="46" t="n">
        <v>4</v>
      </c>
      <c r="G68" s="46" t="s">
        <v>2130</v>
      </c>
    </row>
    <row r="69" customFormat="false" ht="24" hidden="false" customHeight="true" outlineLevel="0" collapsed="false">
      <c r="A69" s="46" t="n">
        <v>68</v>
      </c>
      <c r="B69" s="47" t="s">
        <v>2131</v>
      </c>
      <c r="C69" s="48" t="s">
        <v>2132</v>
      </c>
      <c r="D69" s="46" t="s">
        <v>2133</v>
      </c>
      <c r="E69" s="46" t="s">
        <v>352</v>
      </c>
      <c r="F69" s="46" t="n">
        <v>5</v>
      </c>
      <c r="G69" s="46" t="s">
        <v>2134</v>
      </c>
    </row>
    <row r="70" customFormat="false" ht="24" hidden="false" customHeight="true" outlineLevel="0" collapsed="false">
      <c r="A70" s="46" t="n">
        <v>69</v>
      </c>
      <c r="B70" s="47" t="s">
        <v>2135</v>
      </c>
      <c r="C70" s="48" t="s">
        <v>2136</v>
      </c>
      <c r="D70" s="46" t="s">
        <v>2137</v>
      </c>
      <c r="E70" s="46" t="s">
        <v>368</v>
      </c>
      <c r="F70" s="46" t="n">
        <v>5</v>
      </c>
      <c r="G70" s="46" t="s">
        <v>2138</v>
      </c>
    </row>
    <row r="71" customFormat="false" ht="24" hidden="false" customHeight="true" outlineLevel="0" collapsed="false">
      <c r="A71" s="46" t="n">
        <v>70</v>
      </c>
      <c r="B71" s="47" t="s">
        <v>2139</v>
      </c>
      <c r="C71" s="48" t="s">
        <v>2140</v>
      </c>
      <c r="D71" s="46" t="s">
        <v>2141</v>
      </c>
      <c r="E71" s="46" t="s">
        <v>368</v>
      </c>
      <c r="F71" s="46" t="n">
        <v>4</v>
      </c>
      <c r="G71" s="46" t="s">
        <v>2142</v>
      </c>
    </row>
    <row r="72" customFormat="false" ht="24" hidden="false" customHeight="true" outlineLevel="0" collapsed="false">
      <c r="A72" s="46" t="n">
        <v>71</v>
      </c>
      <c r="B72" s="47" t="s">
        <v>2143</v>
      </c>
      <c r="C72" s="48" t="s">
        <v>2144</v>
      </c>
      <c r="D72" s="46" t="s">
        <v>2145</v>
      </c>
      <c r="E72" s="46" t="s">
        <v>379</v>
      </c>
      <c r="F72" s="46" t="n">
        <v>4</v>
      </c>
      <c r="G72" s="46" t="s">
        <v>2146</v>
      </c>
    </row>
    <row r="73" customFormat="false" ht="24" hidden="false" customHeight="true" outlineLevel="0" collapsed="false">
      <c r="A73" s="46" t="n">
        <v>72</v>
      </c>
      <c r="B73" s="47" t="s">
        <v>2147</v>
      </c>
      <c r="C73" s="48" t="s">
        <v>2148</v>
      </c>
      <c r="D73" s="46" t="s">
        <v>2149</v>
      </c>
      <c r="E73" s="46" t="s">
        <v>379</v>
      </c>
      <c r="F73" s="46" t="n">
        <v>3</v>
      </c>
      <c r="G73" s="46" t="s">
        <v>2150</v>
      </c>
    </row>
    <row r="74" customFormat="false" ht="24" hidden="false" customHeight="true" outlineLevel="0" collapsed="false">
      <c r="A74" s="46" t="n">
        <v>73</v>
      </c>
      <c r="B74" s="47" t="s">
        <v>2151</v>
      </c>
      <c r="C74" s="48" t="s">
        <v>2152</v>
      </c>
      <c r="D74" s="46" t="s">
        <v>2153</v>
      </c>
      <c r="E74" s="46" t="s">
        <v>1283</v>
      </c>
      <c r="F74" s="46" t="n">
        <v>3</v>
      </c>
      <c r="G74" s="46" t="s">
        <v>2154</v>
      </c>
    </row>
    <row r="75" customFormat="false" ht="24" hidden="false" customHeight="true" outlineLevel="0" collapsed="false">
      <c r="A75" s="46" t="n">
        <v>74</v>
      </c>
      <c r="B75" s="47" t="s">
        <v>2155</v>
      </c>
      <c r="C75" s="48" t="s">
        <v>2156</v>
      </c>
      <c r="D75" s="46" t="s">
        <v>2157</v>
      </c>
      <c r="E75" s="46" t="s">
        <v>1283</v>
      </c>
      <c r="F75" s="46" t="n">
        <v>3</v>
      </c>
      <c r="G75" s="46" t="s">
        <v>2158</v>
      </c>
    </row>
    <row r="76" customFormat="false" ht="24" hidden="false" customHeight="true" outlineLevel="0" collapsed="false">
      <c r="A76" s="46" t="n">
        <v>75</v>
      </c>
      <c r="B76" s="47" t="s">
        <v>2159</v>
      </c>
      <c r="C76" s="48" t="s">
        <v>2160</v>
      </c>
      <c r="D76" s="46" t="s">
        <v>2161</v>
      </c>
      <c r="E76" s="46" t="s">
        <v>2162</v>
      </c>
      <c r="F76" s="46" t="n">
        <v>3</v>
      </c>
      <c r="G76" s="46" t="s">
        <v>2163</v>
      </c>
    </row>
    <row r="77" customFormat="false" ht="24" hidden="false" customHeight="true" outlineLevel="0" collapsed="false">
      <c r="A77" s="46" t="n">
        <v>76</v>
      </c>
      <c r="B77" s="47" t="s">
        <v>2164</v>
      </c>
      <c r="C77" s="48" t="s">
        <v>2165</v>
      </c>
      <c r="D77" s="46" t="s">
        <v>2166</v>
      </c>
      <c r="E77" s="46" t="s">
        <v>385</v>
      </c>
      <c r="F77" s="46" t="n">
        <v>4</v>
      </c>
      <c r="G77" s="46" t="s">
        <v>2167</v>
      </c>
    </row>
    <row r="78" customFormat="false" ht="24" hidden="false" customHeight="true" outlineLevel="0" collapsed="false">
      <c r="A78" s="46" t="n">
        <v>77</v>
      </c>
      <c r="B78" s="47" t="s">
        <v>2168</v>
      </c>
      <c r="C78" s="48" t="s">
        <v>2169</v>
      </c>
      <c r="D78" s="46" t="s">
        <v>2170</v>
      </c>
      <c r="E78" s="46" t="s">
        <v>2171</v>
      </c>
      <c r="F78" s="46" t="n">
        <v>3</v>
      </c>
      <c r="G78" s="46" t="s">
        <v>2172</v>
      </c>
    </row>
    <row r="79" customFormat="false" ht="24" hidden="false" customHeight="true" outlineLevel="0" collapsed="false">
      <c r="A79" s="46" t="n">
        <v>78</v>
      </c>
      <c r="B79" s="47" t="s">
        <v>2173</v>
      </c>
      <c r="C79" s="48" t="s">
        <v>2174</v>
      </c>
      <c r="D79" s="46" t="s">
        <v>2175</v>
      </c>
      <c r="E79" s="46" t="s">
        <v>1413</v>
      </c>
      <c r="F79" s="46" t="n">
        <v>3</v>
      </c>
      <c r="G79" s="46" t="s">
        <v>2176</v>
      </c>
    </row>
    <row r="80" customFormat="false" ht="24" hidden="false" customHeight="true" outlineLevel="0" collapsed="false">
      <c r="A80" s="46" t="n">
        <v>79</v>
      </c>
      <c r="B80" s="47" t="s">
        <v>2177</v>
      </c>
      <c r="C80" s="48" t="s">
        <v>2178</v>
      </c>
      <c r="D80" s="46" t="s">
        <v>2179</v>
      </c>
      <c r="E80" s="46" t="s">
        <v>391</v>
      </c>
      <c r="F80" s="46" t="n">
        <v>4</v>
      </c>
      <c r="G80" s="46" t="s">
        <v>2180</v>
      </c>
    </row>
    <row r="81" customFormat="false" ht="24" hidden="false" customHeight="true" outlineLevel="0" collapsed="false">
      <c r="A81" s="46" t="n">
        <v>80</v>
      </c>
      <c r="B81" s="47" t="s">
        <v>2181</v>
      </c>
      <c r="C81" s="48" t="s">
        <v>2182</v>
      </c>
      <c r="D81" s="46" t="s">
        <v>2183</v>
      </c>
      <c r="E81" s="46" t="s">
        <v>2184</v>
      </c>
      <c r="F81" s="46" t="n">
        <v>3</v>
      </c>
      <c r="G81" s="46" t="s">
        <v>2185</v>
      </c>
    </row>
    <row r="82" customFormat="false" ht="24" hidden="false" customHeight="true" outlineLevel="0" collapsed="false">
      <c r="A82" s="46" t="n">
        <v>81</v>
      </c>
      <c r="B82" s="47" t="s">
        <v>2186</v>
      </c>
      <c r="C82" s="48" t="s">
        <v>2187</v>
      </c>
      <c r="D82" s="46" t="s">
        <v>2188</v>
      </c>
      <c r="E82" s="46" t="s">
        <v>397</v>
      </c>
      <c r="F82" s="46" t="n">
        <v>5</v>
      </c>
      <c r="G82" s="46" t="s">
        <v>2189</v>
      </c>
    </row>
    <row r="83" customFormat="false" ht="24" hidden="false" customHeight="true" outlineLevel="0" collapsed="false">
      <c r="A83" s="46" t="n">
        <v>82</v>
      </c>
      <c r="B83" s="47" t="s">
        <v>2190</v>
      </c>
      <c r="C83" s="48" t="s">
        <v>2191</v>
      </c>
      <c r="D83" s="46" t="s">
        <v>2192</v>
      </c>
      <c r="E83" s="46" t="s">
        <v>397</v>
      </c>
      <c r="F83" s="46" t="n">
        <v>3</v>
      </c>
      <c r="G83" s="46" t="s">
        <v>2193</v>
      </c>
    </row>
    <row r="84" customFormat="false" ht="24" hidden="false" customHeight="true" outlineLevel="0" collapsed="false">
      <c r="A84" s="46" t="n">
        <v>83</v>
      </c>
      <c r="B84" s="47" t="s">
        <v>2194</v>
      </c>
      <c r="C84" s="48" t="s">
        <v>2195</v>
      </c>
      <c r="D84" s="46" t="s">
        <v>2196</v>
      </c>
      <c r="E84" s="46" t="s">
        <v>397</v>
      </c>
      <c r="F84" s="46" t="n">
        <v>3</v>
      </c>
      <c r="G84" s="46" t="s">
        <v>2197</v>
      </c>
    </row>
    <row r="85" customFormat="false" ht="24" hidden="false" customHeight="true" outlineLevel="0" collapsed="false">
      <c r="A85" s="46" t="n">
        <v>84</v>
      </c>
      <c r="B85" s="47" t="s">
        <v>2198</v>
      </c>
      <c r="C85" s="48" t="s">
        <v>2199</v>
      </c>
      <c r="D85" s="46" t="s">
        <v>2200</v>
      </c>
      <c r="E85" s="46" t="s">
        <v>397</v>
      </c>
      <c r="F85" s="46" t="n">
        <v>2</v>
      </c>
      <c r="G85" s="46" t="s">
        <v>2201</v>
      </c>
    </row>
    <row r="86" customFormat="false" ht="24" hidden="false" customHeight="true" outlineLevel="0" collapsed="false">
      <c r="A86" s="46" t="n">
        <v>85</v>
      </c>
      <c r="B86" s="47" t="s">
        <v>2202</v>
      </c>
      <c r="C86" s="48" t="s">
        <v>2203</v>
      </c>
      <c r="D86" s="46" t="s">
        <v>2204</v>
      </c>
      <c r="E86" s="46" t="s">
        <v>403</v>
      </c>
      <c r="F86" s="46" t="n">
        <v>5</v>
      </c>
      <c r="G86" s="46" t="s">
        <v>2205</v>
      </c>
    </row>
    <row r="87" customFormat="false" ht="24" hidden="false" customHeight="true" outlineLevel="0" collapsed="false">
      <c r="A87" s="46" t="n">
        <v>86</v>
      </c>
      <c r="B87" s="47" t="s">
        <v>2206</v>
      </c>
      <c r="C87" s="48" t="s">
        <v>2207</v>
      </c>
      <c r="D87" s="46" t="s">
        <v>2208</v>
      </c>
      <c r="E87" s="46" t="s">
        <v>403</v>
      </c>
      <c r="F87" s="46" t="n">
        <v>4</v>
      </c>
      <c r="G87" s="46" t="s">
        <v>2209</v>
      </c>
    </row>
    <row r="88" customFormat="false" ht="24" hidden="false" customHeight="true" outlineLevel="0" collapsed="false">
      <c r="A88" s="46" t="n">
        <v>87</v>
      </c>
      <c r="B88" s="47" t="s">
        <v>2210</v>
      </c>
      <c r="C88" s="48" t="s">
        <v>2211</v>
      </c>
      <c r="D88" s="46" t="s">
        <v>2212</v>
      </c>
      <c r="E88" s="46" t="s">
        <v>403</v>
      </c>
      <c r="F88" s="46" t="n">
        <v>5</v>
      </c>
      <c r="G88" s="46" t="s">
        <v>2213</v>
      </c>
    </row>
    <row r="89" customFormat="false" ht="24" hidden="false" customHeight="true" outlineLevel="0" collapsed="false">
      <c r="A89" s="46" t="n">
        <v>88</v>
      </c>
      <c r="B89" s="47" t="s">
        <v>2214</v>
      </c>
      <c r="C89" s="48" t="s">
        <v>2215</v>
      </c>
      <c r="D89" s="46" t="s">
        <v>2216</v>
      </c>
      <c r="E89" s="46" t="s">
        <v>419</v>
      </c>
      <c r="F89" s="46" t="n">
        <v>5</v>
      </c>
      <c r="G89" s="46" t="s">
        <v>2217</v>
      </c>
    </row>
    <row r="90" customFormat="false" ht="24" hidden="false" customHeight="true" outlineLevel="0" collapsed="false">
      <c r="A90" s="46" t="n">
        <v>89</v>
      </c>
      <c r="B90" s="47" t="s">
        <v>2218</v>
      </c>
      <c r="C90" s="48" t="s">
        <v>2219</v>
      </c>
      <c r="D90" s="46" t="s">
        <v>2220</v>
      </c>
      <c r="E90" s="46" t="s">
        <v>419</v>
      </c>
      <c r="F90" s="46" t="n">
        <v>4</v>
      </c>
      <c r="G90" s="46" t="s">
        <v>2221</v>
      </c>
    </row>
    <row r="91" customFormat="false" ht="24" hidden="false" customHeight="true" outlineLevel="0" collapsed="false">
      <c r="A91" s="46" t="n">
        <v>90</v>
      </c>
      <c r="B91" s="47" t="s">
        <v>2222</v>
      </c>
      <c r="C91" s="48" t="s">
        <v>2223</v>
      </c>
      <c r="D91" s="46" t="s">
        <v>2224</v>
      </c>
      <c r="E91" s="46" t="s">
        <v>419</v>
      </c>
      <c r="F91" s="46" t="n">
        <v>4</v>
      </c>
      <c r="G91" s="46" t="s">
        <v>2225</v>
      </c>
    </row>
    <row r="92" customFormat="false" ht="24" hidden="false" customHeight="true" outlineLevel="0" collapsed="false">
      <c r="A92" s="46" t="n">
        <v>91</v>
      </c>
      <c r="B92" s="47" t="s">
        <v>2226</v>
      </c>
      <c r="C92" s="48" t="s">
        <v>2227</v>
      </c>
      <c r="D92" s="46" t="s">
        <v>2228</v>
      </c>
      <c r="E92" s="46" t="s">
        <v>419</v>
      </c>
      <c r="F92" s="46" t="n">
        <v>4</v>
      </c>
      <c r="G92" s="46" t="s">
        <v>2229</v>
      </c>
    </row>
    <row r="93" customFormat="false" ht="24" hidden="false" customHeight="true" outlineLevel="0" collapsed="false">
      <c r="A93" s="46" t="n">
        <v>92</v>
      </c>
      <c r="B93" s="47" t="s">
        <v>2230</v>
      </c>
      <c r="C93" s="48" t="s">
        <v>2231</v>
      </c>
      <c r="D93" s="46" t="s">
        <v>2232</v>
      </c>
      <c r="E93" s="46" t="s">
        <v>419</v>
      </c>
      <c r="F93" s="46" t="n">
        <v>3</v>
      </c>
      <c r="G93" s="46" t="s">
        <v>2233</v>
      </c>
    </row>
    <row r="94" customFormat="false" ht="24" hidden="false" customHeight="true" outlineLevel="0" collapsed="false">
      <c r="A94" s="46" t="n">
        <v>93</v>
      </c>
      <c r="B94" s="47" t="s">
        <v>2234</v>
      </c>
      <c r="C94" s="48" t="s">
        <v>2235</v>
      </c>
      <c r="D94" s="46" t="s">
        <v>2236</v>
      </c>
      <c r="E94" s="46" t="s">
        <v>419</v>
      </c>
      <c r="F94" s="46" t="n">
        <v>4</v>
      </c>
      <c r="G94" s="46" t="s">
        <v>2237</v>
      </c>
    </row>
    <row r="95" customFormat="false" ht="24" hidden="false" customHeight="true" outlineLevel="0" collapsed="false">
      <c r="A95" s="46" t="n">
        <v>94</v>
      </c>
      <c r="B95" s="47" t="s">
        <v>445</v>
      </c>
      <c r="C95" s="48" t="s">
        <v>2238</v>
      </c>
      <c r="D95" s="46" t="s">
        <v>2239</v>
      </c>
      <c r="E95" s="46" t="s">
        <v>445</v>
      </c>
      <c r="F95" s="46" t="n">
        <v>5</v>
      </c>
      <c r="G95" s="46" t="s">
        <v>2240</v>
      </c>
    </row>
    <row r="96" customFormat="false" ht="24" hidden="false" customHeight="true" outlineLevel="0" collapsed="false">
      <c r="A96" s="46" t="n">
        <v>95</v>
      </c>
      <c r="B96" s="47" t="s">
        <v>2241</v>
      </c>
      <c r="C96" s="48" t="s">
        <v>2242</v>
      </c>
      <c r="D96" s="46" t="s">
        <v>2243</v>
      </c>
      <c r="E96" s="46" t="s">
        <v>445</v>
      </c>
      <c r="F96" s="46" t="n">
        <v>5</v>
      </c>
      <c r="G96" s="46" t="s">
        <v>2244</v>
      </c>
    </row>
    <row r="97" customFormat="false" ht="24" hidden="false" customHeight="true" outlineLevel="0" collapsed="false">
      <c r="A97" s="46" t="n">
        <v>96</v>
      </c>
      <c r="B97" s="47" t="s">
        <v>2245</v>
      </c>
      <c r="C97" s="48" t="s">
        <v>2246</v>
      </c>
      <c r="D97" s="46" t="s">
        <v>2247</v>
      </c>
      <c r="E97" s="46" t="s">
        <v>445</v>
      </c>
      <c r="F97" s="46" t="n">
        <v>4</v>
      </c>
      <c r="G97" s="46" t="s">
        <v>2248</v>
      </c>
    </row>
    <row r="98" customFormat="false" ht="24" hidden="false" customHeight="true" outlineLevel="0" collapsed="false">
      <c r="A98" s="46" t="n">
        <v>97</v>
      </c>
      <c r="B98" s="47" t="s">
        <v>2249</v>
      </c>
      <c r="C98" s="48" t="s">
        <v>2250</v>
      </c>
      <c r="D98" s="46" t="s">
        <v>2251</v>
      </c>
      <c r="E98" s="46" t="s">
        <v>461</v>
      </c>
      <c r="F98" s="46" t="n">
        <v>5</v>
      </c>
      <c r="G98" s="46" t="s">
        <v>2252</v>
      </c>
    </row>
    <row r="99" customFormat="false" ht="24" hidden="false" customHeight="true" outlineLevel="0" collapsed="false">
      <c r="A99" s="46" t="n">
        <v>98</v>
      </c>
      <c r="B99" s="47" t="s">
        <v>2253</v>
      </c>
      <c r="C99" s="48" t="s">
        <v>2254</v>
      </c>
      <c r="D99" s="46" t="s">
        <v>2255</v>
      </c>
      <c r="E99" s="46" t="s">
        <v>461</v>
      </c>
      <c r="F99" s="46" t="n">
        <v>5</v>
      </c>
      <c r="G99" s="46" t="s">
        <v>2256</v>
      </c>
    </row>
    <row r="100" customFormat="false" ht="24" hidden="false" customHeight="true" outlineLevel="0" collapsed="false">
      <c r="A100" s="46" t="n">
        <v>99</v>
      </c>
      <c r="B100" s="47" t="s">
        <v>2257</v>
      </c>
      <c r="C100" s="48" t="s">
        <v>2258</v>
      </c>
      <c r="D100" s="46" t="s">
        <v>2259</v>
      </c>
      <c r="E100" s="46" t="s">
        <v>472</v>
      </c>
      <c r="F100" s="46" t="n">
        <v>4</v>
      </c>
      <c r="G100" s="46" t="s">
        <v>2260</v>
      </c>
    </row>
    <row r="101" customFormat="false" ht="24" hidden="false" customHeight="true" outlineLevel="0" collapsed="false">
      <c r="A101" s="46" t="n">
        <v>100</v>
      </c>
      <c r="B101" s="47" t="s">
        <v>2261</v>
      </c>
      <c r="C101" s="48" t="s">
        <v>2262</v>
      </c>
      <c r="D101" s="46" t="s">
        <v>2263</v>
      </c>
      <c r="E101" s="46" t="s">
        <v>472</v>
      </c>
      <c r="F101" s="46" t="n">
        <v>4</v>
      </c>
      <c r="G101" s="46" t="s">
        <v>2264</v>
      </c>
    </row>
    <row r="102" customFormat="false" ht="24" hidden="false" customHeight="true" outlineLevel="0" collapsed="false">
      <c r="A102" s="46" t="n">
        <v>101</v>
      </c>
      <c r="B102" s="47" t="s">
        <v>2265</v>
      </c>
      <c r="C102" s="48" t="s">
        <v>2266</v>
      </c>
      <c r="D102" s="46" t="s">
        <v>2267</v>
      </c>
      <c r="E102" s="46" t="s">
        <v>472</v>
      </c>
      <c r="F102" s="46" t="n">
        <v>4</v>
      </c>
      <c r="G102" s="46" t="s">
        <v>2268</v>
      </c>
    </row>
    <row r="103" customFormat="false" ht="24" hidden="false" customHeight="true" outlineLevel="0" collapsed="false">
      <c r="A103" s="46" t="n">
        <v>102</v>
      </c>
      <c r="B103" s="47" t="s">
        <v>2269</v>
      </c>
      <c r="C103" s="48" t="s">
        <v>2270</v>
      </c>
      <c r="D103" s="46" t="s">
        <v>2271</v>
      </c>
      <c r="E103" s="46" t="s">
        <v>472</v>
      </c>
      <c r="F103" s="46" t="n">
        <v>4</v>
      </c>
      <c r="G103" s="46" t="s">
        <v>2272</v>
      </c>
    </row>
    <row r="104" customFormat="false" ht="24" hidden="false" customHeight="true" outlineLevel="0" collapsed="false">
      <c r="A104" s="46" t="n">
        <v>103</v>
      </c>
      <c r="B104" s="47" t="s">
        <v>2273</v>
      </c>
      <c r="C104" s="48" t="s">
        <v>2274</v>
      </c>
      <c r="D104" s="46" t="s">
        <v>2275</v>
      </c>
      <c r="E104" s="46" t="s">
        <v>472</v>
      </c>
      <c r="F104" s="46" t="n">
        <v>4</v>
      </c>
      <c r="G104" s="46" t="s">
        <v>2276</v>
      </c>
    </row>
    <row r="105" customFormat="false" ht="24" hidden="false" customHeight="true" outlineLevel="0" collapsed="false">
      <c r="A105" s="46" t="n">
        <v>104</v>
      </c>
      <c r="B105" s="47" t="s">
        <v>2277</v>
      </c>
      <c r="C105" s="48" t="s">
        <v>2278</v>
      </c>
      <c r="D105" s="46" t="s">
        <v>2279</v>
      </c>
      <c r="E105" s="46" t="s">
        <v>2280</v>
      </c>
      <c r="F105" s="46" t="n">
        <v>3</v>
      </c>
      <c r="G105" s="46" t="s">
        <v>2281</v>
      </c>
    </row>
    <row r="106" customFormat="false" ht="24" hidden="false" customHeight="true" outlineLevel="0" collapsed="false">
      <c r="A106" s="46" t="n">
        <v>105</v>
      </c>
      <c r="B106" s="47" t="s">
        <v>2282</v>
      </c>
      <c r="C106" s="48" t="s">
        <v>2283</v>
      </c>
      <c r="D106" s="46" t="s">
        <v>2284</v>
      </c>
      <c r="E106" s="46" t="s">
        <v>498</v>
      </c>
      <c r="F106" s="46" t="n">
        <v>4</v>
      </c>
      <c r="G106" s="46" t="s">
        <v>2285</v>
      </c>
    </row>
    <row r="107" customFormat="false" ht="24" hidden="false" customHeight="true" outlineLevel="0" collapsed="false">
      <c r="A107" s="46" t="n">
        <v>106</v>
      </c>
      <c r="B107" s="47" t="s">
        <v>2286</v>
      </c>
      <c r="C107" s="48" t="s">
        <v>2287</v>
      </c>
      <c r="D107" s="46" t="s">
        <v>2288</v>
      </c>
      <c r="E107" s="46" t="s">
        <v>2289</v>
      </c>
      <c r="F107" s="46" t="n">
        <v>3</v>
      </c>
      <c r="G107" s="46" t="s">
        <v>2290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5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22"/>
  </cols>
  <sheetData>
    <row r="1" customFormat="false" ht="37.5" hidden="false" customHeight="true" outlineLevel="0" collapsed="false">
      <c r="A1" s="5" t="s">
        <v>99</v>
      </c>
      <c r="B1" s="5" t="s">
        <v>1859</v>
      </c>
      <c r="C1" s="5" t="s">
        <v>1860</v>
      </c>
      <c r="D1" s="5" t="s">
        <v>2291</v>
      </c>
      <c r="E1" s="5" t="s">
        <v>109</v>
      </c>
      <c r="F1" s="5" t="s">
        <v>2292</v>
      </c>
    </row>
    <row r="2" customFormat="false" ht="24" hidden="false" customHeight="true" outlineLevel="0" collapsed="false">
      <c r="A2" s="46" t="n">
        <v>1</v>
      </c>
      <c r="B2" s="49" t="s">
        <v>2293</v>
      </c>
      <c r="C2" s="48" t="s">
        <v>2294</v>
      </c>
      <c r="D2" s="46" t="s">
        <v>2295</v>
      </c>
      <c r="E2" s="46" t="n">
        <v>5</v>
      </c>
      <c r="F2" s="46" t="s">
        <v>2296</v>
      </c>
    </row>
    <row r="3" customFormat="false" ht="24" hidden="false" customHeight="true" outlineLevel="0" collapsed="false">
      <c r="A3" s="46" t="n">
        <v>2</v>
      </c>
      <c r="B3" s="49" t="s">
        <v>2297</v>
      </c>
      <c r="C3" s="48" t="s">
        <v>2298</v>
      </c>
      <c r="D3" s="46" t="s">
        <v>2295</v>
      </c>
      <c r="E3" s="46" t="n">
        <v>5</v>
      </c>
      <c r="F3" s="46" t="s">
        <v>2299</v>
      </c>
    </row>
    <row r="4" customFormat="false" ht="24" hidden="false" customHeight="true" outlineLevel="0" collapsed="false">
      <c r="A4" s="46" t="n">
        <v>3</v>
      </c>
      <c r="B4" s="49" t="s">
        <v>2300</v>
      </c>
      <c r="C4" s="48" t="s">
        <v>2301</v>
      </c>
      <c r="D4" s="46" t="s">
        <v>2295</v>
      </c>
      <c r="E4" s="46" t="n">
        <v>5</v>
      </c>
      <c r="F4" s="46" t="s">
        <v>2302</v>
      </c>
    </row>
    <row r="5" customFormat="false" ht="24" hidden="false" customHeight="true" outlineLevel="0" collapsed="false">
      <c r="A5" s="46" t="n">
        <v>4</v>
      </c>
      <c r="B5" s="49" t="s">
        <v>2303</v>
      </c>
      <c r="C5" s="48" t="s">
        <v>2304</v>
      </c>
      <c r="D5" s="46" t="s">
        <v>2295</v>
      </c>
      <c r="E5" s="46" t="n">
        <v>4</v>
      </c>
      <c r="F5" s="46" t="s">
        <v>2305</v>
      </c>
    </row>
    <row r="6" customFormat="false" ht="24" hidden="false" customHeight="true" outlineLevel="0" collapsed="false">
      <c r="A6" s="46" t="n">
        <v>5</v>
      </c>
      <c r="B6" s="49" t="s">
        <v>2306</v>
      </c>
      <c r="C6" s="48" t="s">
        <v>2307</v>
      </c>
      <c r="D6" s="46" t="s">
        <v>2295</v>
      </c>
      <c r="E6" s="46" t="n">
        <v>4</v>
      </c>
      <c r="F6" s="46" t="s">
        <v>2308</v>
      </c>
    </row>
    <row r="7" customFormat="false" ht="24" hidden="false" customHeight="true" outlineLevel="0" collapsed="false">
      <c r="A7" s="46" t="n">
        <v>6</v>
      </c>
      <c r="B7" s="49" t="s">
        <v>2309</v>
      </c>
      <c r="C7" s="48" t="s">
        <v>2310</v>
      </c>
      <c r="D7" s="46" t="s">
        <v>2295</v>
      </c>
      <c r="E7" s="46" t="n">
        <v>4</v>
      </c>
      <c r="F7" s="46" t="s">
        <v>2311</v>
      </c>
    </row>
    <row r="8" customFormat="false" ht="24" hidden="false" customHeight="true" outlineLevel="0" collapsed="false">
      <c r="A8" s="46" t="n">
        <v>7</v>
      </c>
      <c r="B8" s="49" t="s">
        <v>2312</v>
      </c>
      <c r="C8" s="48" t="s">
        <v>2313</v>
      </c>
      <c r="D8" s="46" t="s">
        <v>2295</v>
      </c>
      <c r="E8" s="46" t="n">
        <v>4</v>
      </c>
      <c r="F8" s="46" t="s">
        <v>2314</v>
      </c>
    </row>
    <row r="9" customFormat="false" ht="24" hidden="false" customHeight="true" outlineLevel="0" collapsed="false">
      <c r="A9" s="46" t="n">
        <v>8</v>
      </c>
      <c r="B9" s="49" t="s">
        <v>2315</v>
      </c>
      <c r="C9" s="48" t="s">
        <v>2316</v>
      </c>
      <c r="D9" s="46" t="s">
        <v>2295</v>
      </c>
      <c r="E9" s="46" t="n">
        <v>4</v>
      </c>
      <c r="F9" s="46" t="s">
        <v>2317</v>
      </c>
    </row>
    <row r="10" customFormat="false" ht="24" hidden="false" customHeight="true" outlineLevel="0" collapsed="false">
      <c r="A10" s="46" t="n">
        <v>9</v>
      </c>
      <c r="B10" s="49" t="s">
        <v>2318</v>
      </c>
      <c r="C10" s="48" t="s">
        <v>2319</v>
      </c>
      <c r="D10" s="46" t="s">
        <v>2295</v>
      </c>
      <c r="E10" s="46" t="n">
        <v>4</v>
      </c>
      <c r="F10" s="46" t="s">
        <v>2320</v>
      </c>
    </row>
    <row r="11" customFormat="false" ht="24" hidden="false" customHeight="true" outlineLevel="0" collapsed="false">
      <c r="A11" s="46" t="n">
        <v>10</v>
      </c>
      <c r="B11" s="49" t="s">
        <v>2321</v>
      </c>
      <c r="C11" s="48" t="s">
        <v>2322</v>
      </c>
      <c r="D11" s="46" t="s">
        <v>2295</v>
      </c>
      <c r="E11" s="46" t="n">
        <v>3</v>
      </c>
      <c r="F11" s="46" t="s">
        <v>2323</v>
      </c>
    </row>
    <row r="12" customFormat="false" ht="24" hidden="false" customHeight="true" outlineLevel="0" collapsed="false">
      <c r="A12" s="46" t="n">
        <v>11</v>
      </c>
      <c r="B12" s="49" t="s">
        <v>2324</v>
      </c>
      <c r="C12" s="48" t="s">
        <v>2325</v>
      </c>
      <c r="D12" s="46" t="s">
        <v>2295</v>
      </c>
      <c r="E12" s="46" t="n">
        <v>3</v>
      </c>
      <c r="F12" s="46" t="s">
        <v>2326</v>
      </c>
    </row>
    <row r="13" customFormat="false" ht="24" hidden="false" customHeight="true" outlineLevel="0" collapsed="false">
      <c r="A13" s="46" t="n">
        <v>12</v>
      </c>
      <c r="B13" s="49" t="s">
        <v>2327</v>
      </c>
      <c r="C13" s="48" t="s">
        <v>2328</v>
      </c>
      <c r="D13" s="46" t="s">
        <v>2295</v>
      </c>
      <c r="E13" s="46" t="n">
        <v>3</v>
      </c>
      <c r="F13" s="46" t="s">
        <v>2329</v>
      </c>
    </row>
    <row r="14" customFormat="false" ht="24" hidden="false" customHeight="true" outlineLevel="0" collapsed="false">
      <c r="A14" s="46" t="n">
        <v>13</v>
      </c>
      <c r="B14" s="49" t="s">
        <v>2330</v>
      </c>
      <c r="C14" s="48" t="s">
        <v>2331</v>
      </c>
      <c r="D14" s="46" t="s">
        <v>2295</v>
      </c>
      <c r="E14" s="46" t="n">
        <v>3</v>
      </c>
      <c r="F14" s="46" t="s">
        <v>2332</v>
      </c>
    </row>
    <row r="15" customFormat="false" ht="24" hidden="false" customHeight="true" outlineLevel="0" collapsed="false">
      <c r="A15" s="46" t="n">
        <v>14</v>
      </c>
      <c r="B15" s="49" t="s">
        <v>2333</v>
      </c>
      <c r="C15" s="48" t="s">
        <v>2334</v>
      </c>
      <c r="D15" s="46" t="s">
        <v>2295</v>
      </c>
      <c r="E15" s="46" t="n">
        <v>3</v>
      </c>
      <c r="F15" s="46" t="s">
        <v>2335</v>
      </c>
    </row>
    <row r="16" customFormat="false" ht="24" hidden="false" customHeight="true" outlineLevel="0" collapsed="false">
      <c r="A16" s="46" t="n">
        <v>15</v>
      </c>
      <c r="B16" s="49" t="s">
        <v>2336</v>
      </c>
      <c r="C16" s="48" t="s">
        <v>2337</v>
      </c>
      <c r="D16" s="46" t="s">
        <v>2295</v>
      </c>
      <c r="E16" s="46" t="n">
        <v>3</v>
      </c>
      <c r="F16" s="46" t="s">
        <v>2338</v>
      </c>
    </row>
    <row r="17" customFormat="false" ht="24" hidden="false" customHeight="true" outlineLevel="0" collapsed="false">
      <c r="A17" s="46" t="n">
        <v>16</v>
      </c>
      <c r="B17" s="49" t="s">
        <v>2339</v>
      </c>
      <c r="C17" s="48" t="s">
        <v>2340</v>
      </c>
      <c r="D17" s="46" t="s">
        <v>2295</v>
      </c>
      <c r="E17" s="46" t="n">
        <v>3</v>
      </c>
      <c r="F17" s="46" t="s">
        <v>2341</v>
      </c>
    </row>
    <row r="18" customFormat="false" ht="24" hidden="false" customHeight="true" outlineLevel="0" collapsed="false">
      <c r="A18" s="46" t="n">
        <v>17</v>
      </c>
      <c r="B18" s="49" t="s">
        <v>2342</v>
      </c>
      <c r="C18" s="48" t="s">
        <v>2343</v>
      </c>
      <c r="D18" s="46" t="s">
        <v>2344</v>
      </c>
      <c r="E18" s="46" t="n">
        <v>4</v>
      </c>
      <c r="F18" s="46" t="s">
        <v>2345</v>
      </c>
    </row>
    <row r="19" customFormat="false" ht="24" hidden="false" customHeight="true" outlineLevel="0" collapsed="false">
      <c r="A19" s="46" t="n">
        <v>18</v>
      </c>
      <c r="B19" s="49" t="s">
        <v>2346</v>
      </c>
      <c r="C19" s="48" t="s">
        <v>2347</v>
      </c>
      <c r="D19" s="46" t="s">
        <v>2348</v>
      </c>
      <c r="E19" s="46" t="n">
        <v>4</v>
      </c>
      <c r="F19" s="46" t="s">
        <v>2349</v>
      </c>
    </row>
    <row r="20" customFormat="false" ht="24" hidden="false" customHeight="true" outlineLevel="0" collapsed="false">
      <c r="A20" s="46" t="n">
        <v>19</v>
      </c>
      <c r="B20" s="49" t="s">
        <v>2350</v>
      </c>
      <c r="C20" s="48" t="s">
        <v>2351</v>
      </c>
      <c r="D20" s="46" t="s">
        <v>2352</v>
      </c>
      <c r="E20" s="46" t="n">
        <v>3</v>
      </c>
      <c r="F20" s="46" t="s">
        <v>2353</v>
      </c>
    </row>
    <row r="21" customFormat="false" ht="24" hidden="false" customHeight="true" outlineLevel="0" collapsed="false">
      <c r="A21" s="46" t="n">
        <v>20</v>
      </c>
      <c r="B21" s="49" t="s">
        <v>2354</v>
      </c>
      <c r="C21" s="48" t="s">
        <v>2355</v>
      </c>
      <c r="D21" s="46" t="s">
        <v>2356</v>
      </c>
      <c r="E21" s="46" t="n">
        <v>3</v>
      </c>
      <c r="F21" s="46" t="s">
        <v>2357</v>
      </c>
    </row>
    <row r="22" customFormat="false" ht="24" hidden="false" customHeight="true" outlineLevel="0" collapsed="false">
      <c r="A22" s="46" t="n">
        <v>21</v>
      </c>
      <c r="B22" s="49" t="s">
        <v>2358</v>
      </c>
      <c r="C22" s="48" t="s">
        <v>2359</v>
      </c>
      <c r="D22" s="46" t="s">
        <v>2360</v>
      </c>
      <c r="E22" s="46" t="n">
        <v>2</v>
      </c>
      <c r="F22" s="46" t="s">
        <v>2361</v>
      </c>
    </row>
    <row r="23" customFormat="false" ht="24" hidden="false" customHeight="true" outlineLevel="0" collapsed="false">
      <c r="A23" s="46" t="n">
        <v>22</v>
      </c>
      <c r="B23" s="49" t="s">
        <v>2362</v>
      </c>
      <c r="C23" s="48" t="s">
        <v>2363</v>
      </c>
      <c r="D23" s="46" t="s">
        <v>2364</v>
      </c>
      <c r="E23" s="46" t="n">
        <v>2</v>
      </c>
      <c r="F23" s="46" t="s">
        <v>2365</v>
      </c>
    </row>
    <row r="24" customFormat="false" ht="24" hidden="false" customHeight="true" outlineLevel="0" collapsed="false">
      <c r="A24" s="46" t="n">
        <v>23</v>
      </c>
      <c r="B24" s="49" t="s">
        <v>2366</v>
      </c>
      <c r="C24" s="48" t="s">
        <v>2367</v>
      </c>
      <c r="D24" s="46" t="s">
        <v>2348</v>
      </c>
      <c r="E24" s="46" t="n">
        <v>2</v>
      </c>
      <c r="F24" s="46" t="s">
        <v>2368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6" t="n">
        <v>1</v>
      </c>
      <c r="B2" s="6" t="n">
        <v>1</v>
      </c>
      <c r="C2" s="6" t="s">
        <v>115</v>
      </c>
      <c r="D2" s="7" t="s">
        <v>116</v>
      </c>
      <c r="E2" s="6" t="s">
        <v>117</v>
      </c>
      <c r="F2" s="7" t="s">
        <v>118</v>
      </c>
      <c r="G2" s="6" t="s">
        <v>119</v>
      </c>
      <c r="H2" s="6" t="s">
        <v>120</v>
      </c>
      <c r="I2" s="7" t="s">
        <v>121</v>
      </c>
      <c r="J2" s="7" t="s">
        <v>122</v>
      </c>
      <c r="K2" s="8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2.4</v>
      </c>
      <c r="L2" s="6"/>
      <c r="M2" s="6"/>
      <c r="N2" s="6"/>
      <c r="O2" s="6" t="s">
        <v>123</v>
      </c>
      <c r="P2" s="7" t="s">
        <v>124</v>
      </c>
    </row>
    <row r="3" customFormat="false" ht="25.5" hidden="false" customHeight="true" outlineLevel="0" collapsed="false">
      <c r="A3" s="6" t="n">
        <v>2</v>
      </c>
      <c r="B3" s="6" t="n">
        <v>1</v>
      </c>
      <c r="C3" s="6" t="s">
        <v>125</v>
      </c>
      <c r="D3" s="9" t="s">
        <v>126</v>
      </c>
      <c r="E3" s="6" t="s">
        <v>117</v>
      </c>
      <c r="F3" s="7" t="s">
        <v>127</v>
      </c>
      <c r="G3" s="6" t="s">
        <v>119</v>
      </c>
      <c r="H3" s="6" t="s">
        <v>120</v>
      </c>
      <c r="I3" s="7" t="s">
        <v>121</v>
      </c>
      <c r="J3" s="9" t="s">
        <v>128</v>
      </c>
      <c r="K3" s="8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2.32</v>
      </c>
      <c r="L3" s="6"/>
      <c r="M3" s="6"/>
      <c r="N3" s="6"/>
      <c r="O3" s="6" t="s">
        <v>123</v>
      </c>
      <c r="P3" s="7" t="s">
        <v>129</v>
      </c>
    </row>
    <row r="4" customFormat="false" ht="25.5" hidden="false" customHeight="true" outlineLevel="0" collapsed="false">
      <c r="A4" s="6" t="n">
        <v>3</v>
      </c>
      <c r="B4" s="6" t="n">
        <v>1</v>
      </c>
      <c r="C4" s="6" t="s">
        <v>115</v>
      </c>
      <c r="D4" s="7" t="s">
        <v>130</v>
      </c>
      <c r="E4" s="6" t="s">
        <v>117</v>
      </c>
      <c r="F4" s="7" t="s">
        <v>118</v>
      </c>
      <c r="G4" s="6" t="s">
        <v>119</v>
      </c>
      <c r="H4" s="6" t="s">
        <v>120</v>
      </c>
      <c r="I4" s="7" t="s">
        <v>121</v>
      </c>
      <c r="J4" s="7" t="s">
        <v>131</v>
      </c>
      <c r="K4" s="8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2.4</v>
      </c>
      <c r="L4" s="6"/>
      <c r="M4" s="6"/>
      <c r="N4" s="6"/>
      <c r="O4" s="6" t="s">
        <v>123</v>
      </c>
      <c r="P4" s="7" t="s">
        <v>132</v>
      </c>
    </row>
    <row r="5" customFormat="false" ht="25.5" hidden="false" customHeight="true" outlineLevel="0" collapsed="false">
      <c r="A5" s="6" t="n">
        <v>4</v>
      </c>
      <c r="B5" s="6" t="n">
        <v>1</v>
      </c>
      <c r="C5" s="6" t="s">
        <v>125</v>
      </c>
      <c r="D5" s="9" t="s">
        <v>133</v>
      </c>
      <c r="E5" s="6" t="s">
        <v>117</v>
      </c>
      <c r="F5" s="7" t="s">
        <v>127</v>
      </c>
      <c r="G5" s="6" t="s">
        <v>119</v>
      </c>
      <c r="H5" s="6" t="s">
        <v>120</v>
      </c>
      <c r="I5" s="7" t="s">
        <v>121</v>
      </c>
      <c r="J5" s="9" t="s">
        <v>134</v>
      </c>
      <c r="K5" s="8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2.32</v>
      </c>
      <c r="L5" s="6"/>
      <c r="M5" s="6"/>
      <c r="N5" s="6"/>
      <c r="O5" s="6" t="s">
        <v>123</v>
      </c>
      <c r="P5" s="7" t="s">
        <v>129</v>
      </c>
    </row>
    <row r="6" customFormat="false" ht="25.5" hidden="false" customHeight="true" outlineLevel="0" collapsed="false">
      <c r="A6" s="6" t="n">
        <v>5</v>
      </c>
      <c r="B6" s="6" t="n">
        <v>1</v>
      </c>
      <c r="C6" s="6" t="s">
        <v>115</v>
      </c>
      <c r="D6" s="7" t="s">
        <v>135</v>
      </c>
      <c r="E6" s="6" t="s">
        <v>117</v>
      </c>
      <c r="F6" s="7" t="s">
        <v>136</v>
      </c>
      <c r="G6" s="6" t="s">
        <v>137</v>
      </c>
      <c r="H6" s="6" t="s">
        <v>120</v>
      </c>
      <c r="I6" s="7" t="s">
        <v>121</v>
      </c>
      <c r="J6" s="7" t="s">
        <v>138</v>
      </c>
      <c r="K6" s="8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3.47</v>
      </c>
      <c r="L6" s="6"/>
      <c r="M6" s="6"/>
      <c r="N6" s="6"/>
      <c r="O6" s="6" t="s">
        <v>123</v>
      </c>
      <c r="P6" s="7" t="s">
        <v>139</v>
      </c>
    </row>
    <row r="7" customFormat="false" ht="25.5" hidden="false" customHeight="true" outlineLevel="0" collapsed="false">
      <c r="A7" s="6" t="n">
        <v>6</v>
      </c>
      <c r="B7" s="6" t="n">
        <v>1</v>
      </c>
      <c r="C7" s="6" t="s">
        <v>125</v>
      </c>
      <c r="D7" s="9" t="s">
        <v>140</v>
      </c>
      <c r="E7" s="6" t="s">
        <v>117</v>
      </c>
      <c r="F7" s="7" t="s">
        <v>141</v>
      </c>
      <c r="G7" s="6" t="s">
        <v>137</v>
      </c>
      <c r="H7" s="6" t="s">
        <v>120</v>
      </c>
      <c r="I7" s="7" t="s">
        <v>121</v>
      </c>
      <c r="J7" s="9" t="s">
        <v>142</v>
      </c>
      <c r="K7" s="8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3.39</v>
      </c>
      <c r="L7" s="6"/>
      <c r="M7" s="6"/>
      <c r="N7" s="6"/>
      <c r="O7" s="6" t="s">
        <v>123</v>
      </c>
      <c r="P7" s="7" t="s">
        <v>129</v>
      </c>
    </row>
    <row r="8" customFormat="false" ht="25.5" hidden="false" customHeight="true" outlineLevel="0" collapsed="false">
      <c r="A8" s="6" t="n">
        <v>7</v>
      </c>
      <c r="B8" s="6" t="n">
        <v>1</v>
      </c>
      <c r="C8" s="6" t="s">
        <v>115</v>
      </c>
      <c r="D8" s="7" t="s">
        <v>143</v>
      </c>
      <c r="E8" s="6" t="s">
        <v>117</v>
      </c>
      <c r="F8" s="7" t="s">
        <v>136</v>
      </c>
      <c r="G8" s="6" t="s">
        <v>137</v>
      </c>
      <c r="H8" s="6" t="s">
        <v>120</v>
      </c>
      <c r="I8" s="7" t="s">
        <v>121</v>
      </c>
      <c r="J8" s="7" t="s">
        <v>144</v>
      </c>
      <c r="K8" s="8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3.47</v>
      </c>
      <c r="L8" s="6"/>
      <c r="M8" s="6"/>
      <c r="N8" s="6"/>
      <c r="O8" s="6" t="s">
        <v>123</v>
      </c>
      <c r="P8" s="7" t="s">
        <v>145</v>
      </c>
    </row>
    <row r="9" customFormat="false" ht="25.5" hidden="false" customHeight="true" outlineLevel="0" collapsed="false">
      <c r="A9" s="6" t="n">
        <v>8</v>
      </c>
      <c r="B9" s="6" t="n">
        <v>1</v>
      </c>
      <c r="C9" s="6" t="s">
        <v>125</v>
      </c>
      <c r="D9" s="9" t="s">
        <v>146</v>
      </c>
      <c r="E9" s="6" t="s">
        <v>117</v>
      </c>
      <c r="F9" s="7" t="s">
        <v>141</v>
      </c>
      <c r="G9" s="6" t="s">
        <v>137</v>
      </c>
      <c r="H9" s="6" t="s">
        <v>120</v>
      </c>
      <c r="I9" s="7" t="s">
        <v>121</v>
      </c>
      <c r="J9" s="9" t="s">
        <v>147</v>
      </c>
      <c r="K9" s="8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3.39</v>
      </c>
      <c r="L9" s="6"/>
      <c r="M9" s="6"/>
      <c r="N9" s="6"/>
      <c r="O9" s="6" t="s">
        <v>123</v>
      </c>
      <c r="P9" s="7" t="s">
        <v>129</v>
      </c>
    </row>
    <row r="10" customFormat="false" ht="25.5" hidden="false" customHeight="true" outlineLevel="0" collapsed="false">
      <c r="A10" s="6" t="n">
        <v>9</v>
      </c>
      <c r="B10" s="6" t="n">
        <v>1</v>
      </c>
      <c r="C10" s="6" t="s">
        <v>115</v>
      </c>
      <c r="D10" s="7" t="s">
        <v>148</v>
      </c>
      <c r="E10" s="6" t="s">
        <v>117</v>
      </c>
      <c r="F10" s="7" t="s">
        <v>136</v>
      </c>
      <c r="G10" s="6" t="s">
        <v>137</v>
      </c>
      <c r="H10" s="6" t="s">
        <v>120</v>
      </c>
      <c r="I10" s="7" t="s">
        <v>121</v>
      </c>
      <c r="J10" s="7" t="s">
        <v>149</v>
      </c>
      <c r="K10" s="8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3.47</v>
      </c>
      <c r="L10" s="6"/>
      <c r="M10" s="6"/>
      <c r="N10" s="6"/>
      <c r="O10" s="6" t="s">
        <v>123</v>
      </c>
      <c r="P10" s="7" t="s">
        <v>150</v>
      </c>
    </row>
    <row r="11" customFormat="false" ht="25.5" hidden="false" customHeight="true" outlineLevel="0" collapsed="false">
      <c r="A11" s="6" t="n">
        <v>10</v>
      </c>
      <c r="B11" s="6" t="n">
        <v>1</v>
      </c>
      <c r="C11" s="6" t="s">
        <v>125</v>
      </c>
      <c r="D11" s="9" t="s">
        <v>151</v>
      </c>
      <c r="E11" s="6" t="s">
        <v>117</v>
      </c>
      <c r="F11" s="7" t="s">
        <v>141</v>
      </c>
      <c r="G11" s="6" t="s">
        <v>137</v>
      </c>
      <c r="H11" s="6" t="s">
        <v>120</v>
      </c>
      <c r="I11" s="7" t="s">
        <v>121</v>
      </c>
      <c r="J11" s="9" t="s">
        <v>152</v>
      </c>
      <c r="K11" s="8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3.39</v>
      </c>
      <c r="L11" s="6"/>
      <c r="M11" s="6"/>
      <c r="N11" s="6"/>
      <c r="O11" s="6" t="s">
        <v>123</v>
      </c>
      <c r="P11" s="7" t="s">
        <v>129</v>
      </c>
    </row>
    <row r="12" customFormat="false" ht="25.5" hidden="false" customHeight="true" outlineLevel="0" collapsed="false">
      <c r="A12" s="6" t="n">
        <v>11</v>
      </c>
      <c r="B12" s="6" t="n">
        <v>1</v>
      </c>
      <c r="C12" s="6" t="s">
        <v>115</v>
      </c>
      <c r="D12" s="7" t="s">
        <v>153</v>
      </c>
      <c r="E12" s="6" t="s">
        <v>117</v>
      </c>
      <c r="F12" s="7" t="s">
        <v>118</v>
      </c>
      <c r="G12" s="6" t="s">
        <v>119</v>
      </c>
      <c r="H12" s="6" t="s">
        <v>120</v>
      </c>
      <c r="I12" s="7" t="s">
        <v>121</v>
      </c>
      <c r="J12" s="7" t="s">
        <v>154</v>
      </c>
      <c r="K12" s="8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2.4</v>
      </c>
      <c r="L12" s="6"/>
      <c r="M12" s="6"/>
      <c r="N12" s="6"/>
      <c r="O12" s="6" t="s">
        <v>123</v>
      </c>
      <c r="P12" s="7" t="s">
        <v>155</v>
      </c>
    </row>
    <row r="13" customFormat="false" ht="25.5" hidden="false" customHeight="true" outlineLevel="0" collapsed="false">
      <c r="A13" s="6" t="n">
        <v>12</v>
      </c>
      <c r="B13" s="6" t="n">
        <v>1</v>
      </c>
      <c r="C13" s="6" t="s">
        <v>125</v>
      </c>
      <c r="D13" s="9" t="s">
        <v>156</v>
      </c>
      <c r="E13" s="6" t="s">
        <v>117</v>
      </c>
      <c r="F13" s="7" t="s">
        <v>127</v>
      </c>
      <c r="G13" s="6" t="s">
        <v>119</v>
      </c>
      <c r="H13" s="6" t="s">
        <v>120</v>
      </c>
      <c r="I13" s="7" t="s">
        <v>121</v>
      </c>
      <c r="J13" s="9" t="s">
        <v>157</v>
      </c>
      <c r="K13" s="8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2.32</v>
      </c>
      <c r="L13" s="6"/>
      <c r="M13" s="6"/>
      <c r="N13" s="6"/>
      <c r="O13" s="6" t="s">
        <v>123</v>
      </c>
      <c r="P13" s="7" t="s">
        <v>129</v>
      </c>
    </row>
    <row r="14" customFormat="false" ht="25.5" hidden="false" customHeight="true" outlineLevel="0" collapsed="false">
      <c r="A14" s="6" t="n">
        <v>13</v>
      </c>
      <c r="B14" s="6" t="n">
        <v>1</v>
      </c>
      <c r="C14" s="6" t="s">
        <v>115</v>
      </c>
      <c r="D14" s="7" t="s">
        <v>158</v>
      </c>
      <c r="E14" s="6" t="s">
        <v>117</v>
      </c>
      <c r="F14" s="7" t="s">
        <v>136</v>
      </c>
      <c r="G14" s="6" t="s">
        <v>137</v>
      </c>
      <c r="H14" s="6" t="s">
        <v>120</v>
      </c>
      <c r="I14" s="7" t="s">
        <v>121</v>
      </c>
      <c r="J14" s="7" t="s">
        <v>159</v>
      </c>
      <c r="K14" s="8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3.47</v>
      </c>
      <c r="L14" s="6"/>
      <c r="M14" s="6"/>
      <c r="N14" s="6"/>
      <c r="O14" s="6" t="s">
        <v>123</v>
      </c>
      <c r="P14" s="7" t="s">
        <v>160</v>
      </c>
    </row>
    <row r="15" customFormat="false" ht="25.5" hidden="false" customHeight="true" outlineLevel="0" collapsed="false">
      <c r="A15" s="6" t="n">
        <v>14</v>
      </c>
      <c r="B15" s="6" t="n">
        <v>1</v>
      </c>
      <c r="C15" s="6" t="s">
        <v>125</v>
      </c>
      <c r="D15" s="9" t="s">
        <v>161</v>
      </c>
      <c r="E15" s="6" t="s">
        <v>117</v>
      </c>
      <c r="F15" s="7" t="s">
        <v>141</v>
      </c>
      <c r="G15" s="6" t="s">
        <v>137</v>
      </c>
      <c r="H15" s="6" t="s">
        <v>120</v>
      </c>
      <c r="I15" s="7" t="s">
        <v>121</v>
      </c>
      <c r="J15" s="9" t="s">
        <v>162</v>
      </c>
      <c r="K15" s="8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3.39</v>
      </c>
      <c r="L15" s="6"/>
      <c r="M15" s="6"/>
      <c r="N15" s="6"/>
      <c r="O15" s="6" t="s">
        <v>123</v>
      </c>
      <c r="P15" s="7" t="s">
        <v>129</v>
      </c>
    </row>
    <row r="16" customFormat="false" ht="25.5" hidden="false" customHeight="true" outlineLevel="0" collapsed="false">
      <c r="A16" s="6" t="n">
        <v>15</v>
      </c>
      <c r="B16" s="6" t="n">
        <v>1</v>
      </c>
      <c r="C16" s="6" t="s">
        <v>115</v>
      </c>
      <c r="D16" s="7" t="s">
        <v>163</v>
      </c>
      <c r="E16" s="6" t="s">
        <v>117</v>
      </c>
      <c r="F16" s="7" t="s">
        <v>136</v>
      </c>
      <c r="G16" s="6" t="s">
        <v>137</v>
      </c>
      <c r="H16" s="6" t="s">
        <v>120</v>
      </c>
      <c r="I16" s="7" t="s">
        <v>121</v>
      </c>
      <c r="J16" s="7" t="s">
        <v>164</v>
      </c>
      <c r="K16" s="8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3.47</v>
      </c>
      <c r="L16" s="6"/>
      <c r="M16" s="6"/>
      <c r="N16" s="6"/>
      <c r="O16" s="6" t="s">
        <v>123</v>
      </c>
      <c r="P16" s="7" t="s">
        <v>165</v>
      </c>
    </row>
    <row r="17" customFormat="false" ht="25.5" hidden="false" customHeight="true" outlineLevel="0" collapsed="false">
      <c r="A17" s="6" t="n">
        <v>16</v>
      </c>
      <c r="B17" s="6" t="n">
        <v>1</v>
      </c>
      <c r="C17" s="6" t="s">
        <v>125</v>
      </c>
      <c r="D17" s="9" t="s">
        <v>166</v>
      </c>
      <c r="E17" s="6" t="s">
        <v>117</v>
      </c>
      <c r="F17" s="7" t="s">
        <v>141</v>
      </c>
      <c r="G17" s="6" t="s">
        <v>137</v>
      </c>
      <c r="H17" s="6" t="s">
        <v>120</v>
      </c>
      <c r="I17" s="7" t="s">
        <v>121</v>
      </c>
      <c r="J17" s="9" t="s">
        <v>167</v>
      </c>
      <c r="K17" s="8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3.39</v>
      </c>
      <c r="L17" s="6"/>
      <c r="M17" s="6"/>
      <c r="N17" s="6"/>
      <c r="O17" s="6" t="s">
        <v>123</v>
      </c>
      <c r="P17" s="7" t="s">
        <v>129</v>
      </c>
    </row>
    <row r="18" customFormat="false" ht="25.5" hidden="false" customHeight="true" outlineLevel="0" collapsed="false">
      <c r="A18" s="6" t="n">
        <v>17</v>
      </c>
      <c r="B18" s="6" t="n">
        <v>1</v>
      </c>
      <c r="C18" s="6" t="s">
        <v>115</v>
      </c>
      <c r="D18" s="7" t="s">
        <v>168</v>
      </c>
      <c r="E18" s="6" t="s">
        <v>117</v>
      </c>
      <c r="F18" s="7" t="s">
        <v>136</v>
      </c>
      <c r="G18" s="6" t="s">
        <v>137</v>
      </c>
      <c r="H18" s="6" t="s">
        <v>120</v>
      </c>
      <c r="I18" s="7" t="s">
        <v>121</v>
      </c>
      <c r="J18" s="7" t="s">
        <v>169</v>
      </c>
      <c r="K18" s="8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3.47</v>
      </c>
      <c r="L18" s="6"/>
      <c r="M18" s="6"/>
      <c r="N18" s="6"/>
      <c r="O18" s="6" t="s">
        <v>123</v>
      </c>
      <c r="P18" s="7" t="s">
        <v>170</v>
      </c>
    </row>
    <row r="19" customFormat="false" ht="25.5" hidden="false" customHeight="true" outlineLevel="0" collapsed="false">
      <c r="A19" s="6" t="n">
        <v>18</v>
      </c>
      <c r="B19" s="6" t="n">
        <v>1</v>
      </c>
      <c r="C19" s="6" t="s">
        <v>125</v>
      </c>
      <c r="D19" s="9" t="s">
        <v>171</v>
      </c>
      <c r="E19" s="6" t="s">
        <v>117</v>
      </c>
      <c r="F19" s="7" t="s">
        <v>141</v>
      </c>
      <c r="G19" s="6" t="s">
        <v>137</v>
      </c>
      <c r="H19" s="6" t="s">
        <v>120</v>
      </c>
      <c r="I19" s="7" t="s">
        <v>121</v>
      </c>
      <c r="J19" s="9" t="s">
        <v>172</v>
      </c>
      <c r="K19" s="8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3.39</v>
      </c>
      <c r="L19" s="6"/>
      <c r="M19" s="6"/>
      <c r="N19" s="6"/>
      <c r="O19" s="6" t="s">
        <v>123</v>
      </c>
      <c r="P19" s="7" t="s">
        <v>129</v>
      </c>
    </row>
    <row r="20" customFormat="false" ht="25.5" hidden="false" customHeight="true" outlineLevel="0" collapsed="false">
      <c r="A20" s="6" t="n">
        <v>19</v>
      </c>
      <c r="B20" s="6" t="n">
        <v>1</v>
      </c>
      <c r="C20" s="6" t="s">
        <v>115</v>
      </c>
      <c r="D20" s="7" t="s">
        <v>173</v>
      </c>
      <c r="E20" s="6" t="s">
        <v>117</v>
      </c>
      <c r="F20" s="7" t="s">
        <v>118</v>
      </c>
      <c r="G20" s="6" t="s">
        <v>119</v>
      </c>
      <c r="H20" s="6" t="s">
        <v>120</v>
      </c>
      <c r="I20" s="7" t="s">
        <v>174</v>
      </c>
      <c r="J20" s="7" t="s">
        <v>175</v>
      </c>
      <c r="K20" s="8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2.4</v>
      </c>
      <c r="L20" s="6"/>
      <c r="M20" s="6"/>
      <c r="N20" s="6"/>
      <c r="O20" s="6" t="s">
        <v>123</v>
      </c>
      <c r="P20" s="7" t="s">
        <v>176</v>
      </c>
    </row>
    <row r="21" customFormat="false" ht="25.5" hidden="false" customHeight="true" outlineLevel="0" collapsed="false">
      <c r="A21" s="6" t="n">
        <v>20</v>
      </c>
      <c r="B21" s="6" t="n">
        <v>1</v>
      </c>
      <c r="C21" s="6" t="s">
        <v>125</v>
      </c>
      <c r="D21" s="9" t="s">
        <v>177</v>
      </c>
      <c r="E21" s="6" t="s">
        <v>117</v>
      </c>
      <c r="F21" s="7" t="s">
        <v>127</v>
      </c>
      <c r="G21" s="6" t="s">
        <v>119</v>
      </c>
      <c r="H21" s="6" t="s">
        <v>120</v>
      </c>
      <c r="I21" s="7" t="s">
        <v>174</v>
      </c>
      <c r="J21" s="9" t="s">
        <v>178</v>
      </c>
      <c r="K21" s="8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2.32</v>
      </c>
      <c r="L21" s="6"/>
      <c r="M21" s="6"/>
      <c r="N21" s="6"/>
      <c r="O21" s="6" t="s">
        <v>123</v>
      </c>
      <c r="P21" s="7" t="s">
        <v>129</v>
      </c>
    </row>
    <row r="22" customFormat="false" ht="25.5" hidden="false" customHeight="true" outlineLevel="0" collapsed="false">
      <c r="A22" s="6" t="n">
        <v>21</v>
      </c>
      <c r="B22" s="6" t="n">
        <v>1</v>
      </c>
      <c r="C22" s="6" t="s">
        <v>115</v>
      </c>
      <c r="D22" s="7" t="s">
        <v>179</v>
      </c>
      <c r="E22" s="6" t="s">
        <v>117</v>
      </c>
      <c r="F22" s="7" t="s">
        <v>118</v>
      </c>
      <c r="G22" s="6" t="s">
        <v>119</v>
      </c>
      <c r="H22" s="6" t="s">
        <v>120</v>
      </c>
      <c r="I22" s="7" t="s">
        <v>174</v>
      </c>
      <c r="J22" s="7" t="s">
        <v>180</v>
      </c>
      <c r="K22" s="8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2.4</v>
      </c>
      <c r="L22" s="6"/>
      <c r="M22" s="6"/>
      <c r="N22" s="6"/>
      <c r="O22" s="6" t="s">
        <v>123</v>
      </c>
      <c r="P22" s="7" t="s">
        <v>181</v>
      </c>
    </row>
    <row r="23" customFormat="false" ht="25.5" hidden="false" customHeight="true" outlineLevel="0" collapsed="false">
      <c r="A23" s="6" t="n">
        <v>22</v>
      </c>
      <c r="B23" s="6" t="n">
        <v>1</v>
      </c>
      <c r="C23" s="6" t="s">
        <v>125</v>
      </c>
      <c r="D23" s="9" t="s">
        <v>182</v>
      </c>
      <c r="E23" s="6" t="s">
        <v>117</v>
      </c>
      <c r="F23" s="7" t="s">
        <v>127</v>
      </c>
      <c r="G23" s="6" t="s">
        <v>119</v>
      </c>
      <c r="H23" s="6" t="s">
        <v>120</v>
      </c>
      <c r="I23" s="7" t="s">
        <v>174</v>
      </c>
      <c r="J23" s="9" t="s">
        <v>183</v>
      </c>
      <c r="K23" s="8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2.32</v>
      </c>
      <c r="L23" s="6"/>
      <c r="M23" s="6"/>
      <c r="N23" s="6"/>
      <c r="O23" s="6" t="s">
        <v>123</v>
      </c>
      <c r="P23" s="7" t="s">
        <v>129</v>
      </c>
    </row>
    <row r="24" customFormat="false" ht="25.5" hidden="false" customHeight="true" outlineLevel="0" collapsed="false">
      <c r="A24" s="6" t="n">
        <v>23</v>
      </c>
      <c r="B24" s="6" t="n">
        <v>1</v>
      </c>
      <c r="C24" s="6" t="s">
        <v>115</v>
      </c>
      <c r="D24" s="7" t="s">
        <v>184</v>
      </c>
      <c r="E24" s="6" t="s">
        <v>117</v>
      </c>
      <c r="F24" s="7" t="s">
        <v>118</v>
      </c>
      <c r="G24" s="6" t="s">
        <v>119</v>
      </c>
      <c r="H24" s="6" t="s">
        <v>120</v>
      </c>
      <c r="I24" s="7" t="s">
        <v>185</v>
      </c>
      <c r="J24" s="7" t="s">
        <v>186</v>
      </c>
      <c r="K24" s="8" t="n">
        <f aca="false">ROUND((IF(E24="Transactional",5,IF(E24="Commercial",4,IF(E24="Comparison",3,IF(E24="Informational",2,3))))*LOG10(IF(ISNUMBER(L24),L24,IFERROR(VALUE(LEFT(F24,FIND("-",F24)-1)),100))+1))/IF(IF(ISBLANK(M24),G24,M24)="High",5,IF(IF(ISBLANK(M24),G24,M24)="Medium",3,1)),2)</f>
        <v>2.4</v>
      </c>
      <c r="L24" s="6"/>
      <c r="M24" s="6"/>
      <c r="N24" s="6"/>
      <c r="O24" s="6" t="s">
        <v>123</v>
      </c>
      <c r="P24" s="7" t="s">
        <v>187</v>
      </c>
    </row>
    <row r="25" customFormat="false" ht="25.5" hidden="false" customHeight="true" outlineLevel="0" collapsed="false">
      <c r="A25" s="6" t="n">
        <v>24</v>
      </c>
      <c r="B25" s="6" t="n">
        <v>1</v>
      </c>
      <c r="C25" s="6" t="s">
        <v>125</v>
      </c>
      <c r="D25" s="9" t="s">
        <v>188</v>
      </c>
      <c r="E25" s="6" t="s">
        <v>117</v>
      </c>
      <c r="F25" s="7" t="s">
        <v>127</v>
      </c>
      <c r="G25" s="6" t="s">
        <v>119</v>
      </c>
      <c r="H25" s="6" t="s">
        <v>120</v>
      </c>
      <c r="I25" s="7" t="s">
        <v>185</v>
      </c>
      <c r="J25" s="9" t="s">
        <v>189</v>
      </c>
      <c r="K25" s="8" t="n">
        <f aca="false">ROUND((IF(E25="Transactional",5,IF(E25="Commercial",4,IF(E25="Comparison",3,IF(E25="Informational",2,3))))*LOG10(IF(ISNUMBER(L25),L25,IFERROR(VALUE(LEFT(F25,FIND("-",F25)-1)),100))+1))/IF(IF(ISBLANK(M25),G25,M25)="High",5,IF(IF(ISBLANK(M25),G25,M25)="Medium",3,1)),2)</f>
        <v>2.32</v>
      </c>
      <c r="L25" s="6"/>
      <c r="M25" s="6"/>
      <c r="N25" s="6"/>
      <c r="O25" s="6" t="s">
        <v>123</v>
      </c>
      <c r="P25" s="7" t="s">
        <v>129</v>
      </c>
    </row>
    <row r="26" customFormat="false" ht="25.5" hidden="false" customHeight="true" outlineLevel="0" collapsed="false">
      <c r="A26" s="6" t="n">
        <v>25</v>
      </c>
      <c r="B26" s="6" t="n">
        <v>1</v>
      </c>
      <c r="C26" s="6" t="s">
        <v>115</v>
      </c>
      <c r="D26" s="7" t="s">
        <v>190</v>
      </c>
      <c r="E26" s="6" t="s">
        <v>117</v>
      </c>
      <c r="F26" s="7" t="s">
        <v>136</v>
      </c>
      <c r="G26" s="6" t="s">
        <v>137</v>
      </c>
      <c r="H26" s="6" t="s">
        <v>120</v>
      </c>
      <c r="I26" s="7" t="s">
        <v>185</v>
      </c>
      <c r="J26" s="7" t="s">
        <v>191</v>
      </c>
      <c r="K26" s="8" t="n">
        <f aca="false">ROUND((IF(E26="Transactional",5,IF(E26="Commercial",4,IF(E26="Comparison",3,IF(E26="Informational",2,3))))*LOG10(IF(ISNUMBER(L26),L26,IFERROR(VALUE(LEFT(F26,FIND("-",F26)-1)),100))+1))/IF(IF(ISBLANK(M26),G26,M26)="High",5,IF(IF(ISBLANK(M26),G26,M26)="Medium",3,1)),2)</f>
        <v>3.47</v>
      </c>
      <c r="L26" s="6"/>
      <c r="M26" s="6"/>
      <c r="N26" s="6"/>
      <c r="O26" s="6" t="s">
        <v>123</v>
      </c>
      <c r="P26" s="7" t="s">
        <v>192</v>
      </c>
    </row>
    <row r="27" customFormat="false" ht="25.5" hidden="false" customHeight="true" outlineLevel="0" collapsed="false">
      <c r="A27" s="6" t="n">
        <v>26</v>
      </c>
      <c r="B27" s="6" t="n">
        <v>1</v>
      </c>
      <c r="C27" s="6" t="s">
        <v>125</v>
      </c>
      <c r="D27" s="9" t="s">
        <v>193</v>
      </c>
      <c r="E27" s="6" t="s">
        <v>117</v>
      </c>
      <c r="F27" s="7" t="s">
        <v>141</v>
      </c>
      <c r="G27" s="6" t="s">
        <v>137</v>
      </c>
      <c r="H27" s="6" t="s">
        <v>120</v>
      </c>
      <c r="I27" s="7" t="s">
        <v>185</v>
      </c>
      <c r="J27" s="9" t="s">
        <v>194</v>
      </c>
      <c r="K27" s="8" t="n">
        <f aca="false">ROUND((IF(E27="Transactional",5,IF(E27="Commercial",4,IF(E27="Comparison",3,IF(E27="Informational",2,3))))*LOG10(IF(ISNUMBER(L27),L27,IFERROR(VALUE(LEFT(F27,FIND("-",F27)-1)),100))+1))/IF(IF(ISBLANK(M27),G27,M27)="High",5,IF(IF(ISBLANK(M27),G27,M27)="Medium",3,1)),2)</f>
        <v>3.39</v>
      </c>
      <c r="L27" s="6"/>
      <c r="M27" s="6"/>
      <c r="N27" s="6"/>
      <c r="O27" s="6" t="s">
        <v>123</v>
      </c>
      <c r="P27" s="7" t="s">
        <v>129</v>
      </c>
    </row>
    <row r="28" customFormat="false" ht="25.5" hidden="false" customHeight="true" outlineLevel="0" collapsed="false">
      <c r="A28" s="6" t="n">
        <v>27</v>
      </c>
      <c r="B28" s="6" t="n">
        <v>1</v>
      </c>
      <c r="C28" s="6" t="s">
        <v>115</v>
      </c>
      <c r="D28" s="7" t="s">
        <v>195</v>
      </c>
      <c r="E28" s="6" t="s">
        <v>117</v>
      </c>
      <c r="F28" s="7" t="s">
        <v>118</v>
      </c>
      <c r="G28" s="6" t="s">
        <v>119</v>
      </c>
      <c r="H28" s="6" t="s">
        <v>120</v>
      </c>
      <c r="I28" s="7" t="s">
        <v>185</v>
      </c>
      <c r="J28" s="7" t="s">
        <v>196</v>
      </c>
      <c r="K28" s="8" t="n">
        <f aca="false">ROUND((IF(E28="Transactional",5,IF(E28="Commercial",4,IF(E28="Comparison",3,IF(E28="Informational",2,3))))*LOG10(IF(ISNUMBER(L28),L28,IFERROR(VALUE(LEFT(F28,FIND("-",F28)-1)),100))+1))/IF(IF(ISBLANK(M28),G28,M28)="High",5,IF(IF(ISBLANK(M28),G28,M28)="Medium",3,1)),2)</f>
        <v>2.4</v>
      </c>
      <c r="L28" s="6"/>
      <c r="M28" s="6"/>
      <c r="N28" s="6"/>
      <c r="O28" s="6" t="s">
        <v>123</v>
      </c>
      <c r="P28" s="7" t="s">
        <v>197</v>
      </c>
    </row>
    <row r="29" customFormat="false" ht="25.5" hidden="false" customHeight="true" outlineLevel="0" collapsed="false">
      <c r="A29" s="6" t="n">
        <v>28</v>
      </c>
      <c r="B29" s="6" t="n">
        <v>1</v>
      </c>
      <c r="C29" s="6" t="s">
        <v>125</v>
      </c>
      <c r="D29" s="9" t="s">
        <v>198</v>
      </c>
      <c r="E29" s="6" t="s">
        <v>117</v>
      </c>
      <c r="F29" s="7" t="s">
        <v>127</v>
      </c>
      <c r="G29" s="6" t="s">
        <v>119</v>
      </c>
      <c r="H29" s="6" t="s">
        <v>120</v>
      </c>
      <c r="I29" s="7" t="s">
        <v>185</v>
      </c>
      <c r="J29" s="9" t="s">
        <v>199</v>
      </c>
      <c r="K29" s="8" t="n">
        <f aca="false">ROUND((IF(E29="Transactional",5,IF(E29="Commercial",4,IF(E29="Comparison",3,IF(E29="Informational",2,3))))*LOG10(IF(ISNUMBER(L29),L29,IFERROR(VALUE(LEFT(F29,FIND("-",F29)-1)),100))+1))/IF(IF(ISBLANK(M29),G29,M29)="High",5,IF(IF(ISBLANK(M29),G29,M29)="Medium",3,1)),2)</f>
        <v>2.32</v>
      </c>
      <c r="L29" s="6"/>
      <c r="M29" s="6"/>
      <c r="N29" s="6"/>
      <c r="O29" s="6" t="s">
        <v>123</v>
      </c>
      <c r="P29" s="7" t="s">
        <v>129</v>
      </c>
    </row>
    <row r="30" customFormat="false" ht="25.5" hidden="false" customHeight="true" outlineLevel="0" collapsed="false">
      <c r="A30" s="6" t="n">
        <v>29</v>
      </c>
      <c r="B30" s="6" t="n">
        <v>1</v>
      </c>
      <c r="C30" s="6" t="s">
        <v>115</v>
      </c>
      <c r="D30" s="7" t="s">
        <v>200</v>
      </c>
      <c r="E30" s="6" t="s">
        <v>117</v>
      </c>
      <c r="F30" s="7" t="s">
        <v>118</v>
      </c>
      <c r="G30" s="6" t="s">
        <v>119</v>
      </c>
      <c r="H30" s="6" t="s">
        <v>120</v>
      </c>
      <c r="I30" s="7" t="s">
        <v>185</v>
      </c>
      <c r="J30" s="7" t="s">
        <v>201</v>
      </c>
      <c r="K30" s="8" t="n">
        <f aca="false">ROUND((IF(E30="Transactional",5,IF(E30="Commercial",4,IF(E30="Comparison",3,IF(E30="Informational",2,3))))*LOG10(IF(ISNUMBER(L30),L30,IFERROR(VALUE(LEFT(F30,FIND("-",F30)-1)),100))+1))/IF(IF(ISBLANK(M30),G30,M30)="High",5,IF(IF(ISBLANK(M30),G30,M30)="Medium",3,1)),2)</f>
        <v>2.4</v>
      </c>
      <c r="L30" s="6"/>
      <c r="M30" s="6"/>
      <c r="N30" s="6"/>
      <c r="O30" s="6" t="s">
        <v>123</v>
      </c>
      <c r="P30" s="7" t="s">
        <v>202</v>
      </c>
    </row>
    <row r="31" customFormat="false" ht="25.5" hidden="false" customHeight="true" outlineLevel="0" collapsed="false">
      <c r="A31" s="6" t="n">
        <v>30</v>
      </c>
      <c r="B31" s="6" t="n">
        <v>1</v>
      </c>
      <c r="C31" s="6" t="s">
        <v>125</v>
      </c>
      <c r="D31" s="9" t="s">
        <v>203</v>
      </c>
      <c r="E31" s="6" t="s">
        <v>117</v>
      </c>
      <c r="F31" s="7" t="s">
        <v>127</v>
      </c>
      <c r="G31" s="6" t="s">
        <v>119</v>
      </c>
      <c r="H31" s="6" t="s">
        <v>120</v>
      </c>
      <c r="I31" s="7" t="s">
        <v>185</v>
      </c>
      <c r="J31" s="9" t="s">
        <v>204</v>
      </c>
      <c r="K31" s="8" t="n">
        <f aca="false">ROUND((IF(E31="Transactional",5,IF(E31="Commercial",4,IF(E31="Comparison",3,IF(E31="Informational",2,3))))*LOG10(IF(ISNUMBER(L31),L31,IFERROR(VALUE(LEFT(F31,FIND("-",F31)-1)),100))+1))/IF(IF(ISBLANK(M31),G31,M31)="High",5,IF(IF(ISBLANK(M31),G31,M31)="Medium",3,1)),2)</f>
        <v>2.32</v>
      </c>
      <c r="L31" s="6"/>
      <c r="M31" s="6"/>
      <c r="N31" s="6"/>
      <c r="O31" s="6" t="s">
        <v>123</v>
      </c>
      <c r="P31" s="7" t="s">
        <v>129</v>
      </c>
    </row>
    <row r="32" customFormat="false" ht="25.5" hidden="false" customHeight="true" outlineLevel="0" collapsed="false">
      <c r="A32" s="6" t="n">
        <v>31</v>
      </c>
      <c r="B32" s="6" t="n">
        <v>1</v>
      </c>
      <c r="C32" s="6" t="s">
        <v>115</v>
      </c>
      <c r="D32" s="7" t="s">
        <v>205</v>
      </c>
      <c r="E32" s="6" t="s">
        <v>117</v>
      </c>
      <c r="F32" s="7" t="s">
        <v>118</v>
      </c>
      <c r="G32" s="6" t="s">
        <v>119</v>
      </c>
      <c r="H32" s="6" t="s">
        <v>120</v>
      </c>
      <c r="I32" s="7" t="s">
        <v>185</v>
      </c>
      <c r="J32" s="7" t="s">
        <v>206</v>
      </c>
      <c r="K32" s="8" t="n">
        <f aca="false">ROUND((IF(E32="Transactional",5,IF(E32="Commercial",4,IF(E32="Comparison",3,IF(E32="Informational",2,3))))*LOG10(IF(ISNUMBER(L32),L32,IFERROR(VALUE(LEFT(F32,FIND("-",F32)-1)),100))+1))/IF(IF(ISBLANK(M32),G32,M32)="High",5,IF(IF(ISBLANK(M32),G32,M32)="Medium",3,1)),2)</f>
        <v>2.4</v>
      </c>
      <c r="L32" s="6"/>
      <c r="M32" s="6"/>
      <c r="N32" s="6"/>
      <c r="O32" s="6" t="s">
        <v>123</v>
      </c>
      <c r="P32" s="7" t="s">
        <v>207</v>
      </c>
    </row>
    <row r="33" customFormat="false" ht="25.5" hidden="false" customHeight="true" outlineLevel="0" collapsed="false">
      <c r="A33" s="6" t="n">
        <v>32</v>
      </c>
      <c r="B33" s="6" t="n">
        <v>1</v>
      </c>
      <c r="C33" s="6" t="s">
        <v>125</v>
      </c>
      <c r="D33" s="9" t="s">
        <v>208</v>
      </c>
      <c r="E33" s="6" t="s">
        <v>117</v>
      </c>
      <c r="F33" s="7" t="s">
        <v>127</v>
      </c>
      <c r="G33" s="6" t="s">
        <v>119</v>
      </c>
      <c r="H33" s="6" t="s">
        <v>120</v>
      </c>
      <c r="I33" s="7" t="s">
        <v>185</v>
      </c>
      <c r="J33" s="9" t="s">
        <v>209</v>
      </c>
      <c r="K33" s="8" t="n">
        <f aca="false">ROUND((IF(E33="Transactional",5,IF(E33="Commercial",4,IF(E33="Comparison",3,IF(E33="Informational",2,3))))*LOG10(IF(ISNUMBER(L33),L33,IFERROR(VALUE(LEFT(F33,FIND("-",F33)-1)),100))+1))/IF(IF(ISBLANK(M33),G33,M33)="High",5,IF(IF(ISBLANK(M33),G33,M33)="Medium",3,1)),2)</f>
        <v>2.32</v>
      </c>
      <c r="L33" s="6"/>
      <c r="M33" s="6"/>
      <c r="N33" s="6"/>
      <c r="O33" s="6" t="s">
        <v>123</v>
      </c>
      <c r="P33" s="7" t="s">
        <v>129</v>
      </c>
    </row>
    <row r="34" customFormat="false" ht="25.5" hidden="false" customHeight="true" outlineLevel="0" collapsed="false">
      <c r="A34" s="6" t="n">
        <v>33</v>
      </c>
      <c r="B34" s="6" t="n">
        <v>1</v>
      </c>
      <c r="C34" s="6" t="s">
        <v>115</v>
      </c>
      <c r="D34" s="7" t="s">
        <v>210</v>
      </c>
      <c r="E34" s="6" t="s">
        <v>117</v>
      </c>
      <c r="F34" s="7" t="s">
        <v>136</v>
      </c>
      <c r="G34" s="6" t="s">
        <v>137</v>
      </c>
      <c r="H34" s="6" t="s">
        <v>120</v>
      </c>
      <c r="I34" s="7" t="s">
        <v>185</v>
      </c>
      <c r="J34" s="7" t="s">
        <v>211</v>
      </c>
      <c r="K34" s="8" t="n">
        <f aca="false">ROUND((IF(E34="Transactional",5,IF(E34="Commercial",4,IF(E34="Comparison",3,IF(E34="Informational",2,3))))*LOG10(IF(ISNUMBER(L34),L34,IFERROR(VALUE(LEFT(F34,FIND("-",F34)-1)),100))+1))/IF(IF(ISBLANK(M34),G34,M34)="High",5,IF(IF(ISBLANK(M34),G34,M34)="Medium",3,1)),2)</f>
        <v>3.47</v>
      </c>
      <c r="L34" s="6"/>
      <c r="M34" s="6"/>
      <c r="N34" s="6"/>
      <c r="O34" s="6" t="s">
        <v>123</v>
      </c>
      <c r="P34" s="7" t="s">
        <v>212</v>
      </c>
    </row>
    <row r="35" customFormat="false" ht="25.5" hidden="false" customHeight="true" outlineLevel="0" collapsed="false">
      <c r="A35" s="6" t="n">
        <v>34</v>
      </c>
      <c r="B35" s="6" t="n">
        <v>1</v>
      </c>
      <c r="C35" s="6" t="s">
        <v>125</v>
      </c>
      <c r="D35" s="9" t="s">
        <v>213</v>
      </c>
      <c r="E35" s="6" t="s">
        <v>117</v>
      </c>
      <c r="F35" s="7" t="s">
        <v>141</v>
      </c>
      <c r="G35" s="6" t="s">
        <v>137</v>
      </c>
      <c r="H35" s="6" t="s">
        <v>120</v>
      </c>
      <c r="I35" s="7" t="s">
        <v>185</v>
      </c>
      <c r="J35" s="9" t="s">
        <v>214</v>
      </c>
      <c r="K35" s="8" t="n">
        <f aca="false">ROUND((IF(E35="Transactional",5,IF(E35="Commercial",4,IF(E35="Comparison",3,IF(E35="Informational",2,3))))*LOG10(IF(ISNUMBER(L35),L35,IFERROR(VALUE(LEFT(F35,FIND("-",F35)-1)),100))+1))/IF(IF(ISBLANK(M35),G35,M35)="High",5,IF(IF(ISBLANK(M35),G35,M35)="Medium",3,1)),2)</f>
        <v>3.39</v>
      </c>
      <c r="L35" s="6"/>
      <c r="M35" s="6"/>
      <c r="N35" s="6"/>
      <c r="O35" s="6" t="s">
        <v>123</v>
      </c>
      <c r="P35" s="7" t="s">
        <v>129</v>
      </c>
    </row>
    <row r="36" customFormat="false" ht="25.5" hidden="false" customHeight="true" outlineLevel="0" collapsed="false">
      <c r="A36" s="6" t="n">
        <v>35</v>
      </c>
      <c r="B36" s="6" t="n">
        <v>1</v>
      </c>
      <c r="C36" s="6" t="s">
        <v>115</v>
      </c>
      <c r="D36" s="7" t="s">
        <v>215</v>
      </c>
      <c r="E36" s="6" t="s">
        <v>117</v>
      </c>
      <c r="F36" s="7" t="s">
        <v>136</v>
      </c>
      <c r="G36" s="6" t="s">
        <v>137</v>
      </c>
      <c r="H36" s="6" t="s">
        <v>120</v>
      </c>
      <c r="I36" s="7" t="s">
        <v>185</v>
      </c>
      <c r="J36" s="7" t="s">
        <v>216</v>
      </c>
      <c r="K36" s="8" t="n">
        <f aca="false">ROUND((IF(E36="Transactional",5,IF(E36="Commercial",4,IF(E36="Comparison",3,IF(E36="Informational",2,3))))*LOG10(IF(ISNUMBER(L36),L36,IFERROR(VALUE(LEFT(F36,FIND("-",F36)-1)),100))+1))/IF(IF(ISBLANK(M36),G36,M36)="High",5,IF(IF(ISBLANK(M36),G36,M36)="Medium",3,1)),2)</f>
        <v>3.47</v>
      </c>
      <c r="L36" s="6"/>
      <c r="M36" s="6"/>
      <c r="N36" s="6"/>
      <c r="O36" s="6" t="s">
        <v>123</v>
      </c>
      <c r="P36" s="7" t="s">
        <v>217</v>
      </c>
    </row>
    <row r="37" customFormat="false" ht="25.5" hidden="false" customHeight="true" outlineLevel="0" collapsed="false">
      <c r="A37" s="6" t="n">
        <v>36</v>
      </c>
      <c r="B37" s="6" t="n">
        <v>1</v>
      </c>
      <c r="C37" s="6" t="s">
        <v>125</v>
      </c>
      <c r="D37" s="9" t="s">
        <v>218</v>
      </c>
      <c r="E37" s="6" t="s">
        <v>117</v>
      </c>
      <c r="F37" s="7" t="s">
        <v>141</v>
      </c>
      <c r="G37" s="6" t="s">
        <v>137</v>
      </c>
      <c r="H37" s="6" t="s">
        <v>120</v>
      </c>
      <c r="I37" s="7" t="s">
        <v>185</v>
      </c>
      <c r="J37" s="9" t="s">
        <v>219</v>
      </c>
      <c r="K37" s="8" t="n">
        <f aca="false">ROUND((IF(E37="Transactional",5,IF(E37="Commercial",4,IF(E37="Comparison",3,IF(E37="Informational",2,3))))*LOG10(IF(ISNUMBER(L37),L37,IFERROR(VALUE(LEFT(F37,FIND("-",F37)-1)),100))+1))/IF(IF(ISBLANK(M37),G37,M37)="High",5,IF(IF(ISBLANK(M37),G37,M37)="Medium",3,1)),2)</f>
        <v>3.39</v>
      </c>
      <c r="L37" s="6"/>
      <c r="M37" s="6"/>
      <c r="N37" s="6"/>
      <c r="O37" s="6" t="s">
        <v>123</v>
      </c>
      <c r="P37" s="7" t="s">
        <v>129</v>
      </c>
    </row>
    <row r="38" customFormat="false" ht="25.5" hidden="false" customHeight="true" outlineLevel="0" collapsed="false">
      <c r="A38" s="6" t="n">
        <v>37</v>
      </c>
      <c r="B38" s="6" t="n">
        <v>1</v>
      </c>
      <c r="C38" s="6" t="s">
        <v>115</v>
      </c>
      <c r="D38" s="7" t="s">
        <v>220</v>
      </c>
      <c r="E38" s="6" t="s">
        <v>117</v>
      </c>
      <c r="F38" s="7" t="s">
        <v>136</v>
      </c>
      <c r="G38" s="6" t="s">
        <v>137</v>
      </c>
      <c r="H38" s="6" t="s">
        <v>120</v>
      </c>
      <c r="I38" s="7" t="s">
        <v>185</v>
      </c>
      <c r="J38" s="7" t="s">
        <v>221</v>
      </c>
      <c r="K38" s="8" t="n">
        <f aca="false">ROUND((IF(E38="Transactional",5,IF(E38="Commercial",4,IF(E38="Comparison",3,IF(E38="Informational",2,3))))*LOG10(IF(ISNUMBER(L38),L38,IFERROR(VALUE(LEFT(F38,FIND("-",F38)-1)),100))+1))/IF(IF(ISBLANK(M38),G38,M38)="High",5,IF(IF(ISBLANK(M38),G38,M38)="Medium",3,1)),2)</f>
        <v>3.47</v>
      </c>
      <c r="L38" s="6"/>
      <c r="M38" s="6"/>
      <c r="N38" s="6"/>
      <c r="O38" s="6" t="s">
        <v>123</v>
      </c>
      <c r="P38" s="7" t="s">
        <v>222</v>
      </c>
    </row>
    <row r="39" customFormat="false" ht="25.5" hidden="false" customHeight="true" outlineLevel="0" collapsed="false">
      <c r="A39" s="6" t="n">
        <v>38</v>
      </c>
      <c r="B39" s="6" t="n">
        <v>1</v>
      </c>
      <c r="C39" s="6" t="s">
        <v>125</v>
      </c>
      <c r="D39" s="9" t="s">
        <v>223</v>
      </c>
      <c r="E39" s="6" t="s">
        <v>117</v>
      </c>
      <c r="F39" s="7" t="s">
        <v>141</v>
      </c>
      <c r="G39" s="6" t="s">
        <v>137</v>
      </c>
      <c r="H39" s="6" t="s">
        <v>120</v>
      </c>
      <c r="I39" s="7" t="s">
        <v>185</v>
      </c>
      <c r="J39" s="9" t="s">
        <v>224</v>
      </c>
      <c r="K39" s="8" t="n">
        <f aca="false">ROUND((IF(E39="Transactional",5,IF(E39="Commercial",4,IF(E39="Comparison",3,IF(E39="Informational",2,3))))*LOG10(IF(ISNUMBER(L39),L39,IFERROR(VALUE(LEFT(F39,FIND("-",F39)-1)),100))+1))/IF(IF(ISBLANK(M39),G39,M39)="High",5,IF(IF(ISBLANK(M39),G39,M39)="Medium",3,1)),2)</f>
        <v>3.39</v>
      </c>
      <c r="L39" s="6"/>
      <c r="M39" s="6"/>
      <c r="N39" s="6"/>
      <c r="O39" s="6" t="s">
        <v>123</v>
      </c>
      <c r="P39" s="7" t="s">
        <v>129</v>
      </c>
    </row>
    <row r="40" customFormat="false" ht="25.5" hidden="false" customHeight="true" outlineLevel="0" collapsed="false">
      <c r="A40" s="6" t="n">
        <v>39</v>
      </c>
      <c r="B40" s="6" t="n">
        <v>1</v>
      </c>
      <c r="C40" s="6" t="s">
        <v>115</v>
      </c>
      <c r="D40" s="7" t="s">
        <v>225</v>
      </c>
      <c r="E40" s="6" t="s">
        <v>117</v>
      </c>
      <c r="F40" s="7" t="s">
        <v>118</v>
      </c>
      <c r="G40" s="6" t="s">
        <v>119</v>
      </c>
      <c r="H40" s="6" t="s">
        <v>120</v>
      </c>
      <c r="I40" s="7" t="s">
        <v>226</v>
      </c>
      <c r="J40" s="7" t="s">
        <v>227</v>
      </c>
      <c r="K40" s="8" t="n">
        <f aca="false">ROUND((IF(E40="Transactional",5,IF(E40="Commercial",4,IF(E40="Comparison",3,IF(E40="Informational",2,3))))*LOG10(IF(ISNUMBER(L40),L40,IFERROR(VALUE(LEFT(F40,FIND("-",F40)-1)),100))+1))/IF(IF(ISBLANK(M40),G40,M40)="High",5,IF(IF(ISBLANK(M40),G40,M40)="Medium",3,1)),2)</f>
        <v>2.4</v>
      </c>
      <c r="L40" s="6"/>
      <c r="M40" s="6"/>
      <c r="N40" s="6"/>
      <c r="O40" s="6" t="s">
        <v>123</v>
      </c>
      <c r="P40" s="7" t="s">
        <v>228</v>
      </c>
    </row>
    <row r="41" customFormat="false" ht="25.5" hidden="false" customHeight="true" outlineLevel="0" collapsed="false">
      <c r="A41" s="6" t="n">
        <v>40</v>
      </c>
      <c r="B41" s="6" t="n">
        <v>1</v>
      </c>
      <c r="C41" s="6" t="s">
        <v>125</v>
      </c>
      <c r="D41" s="9" t="s">
        <v>229</v>
      </c>
      <c r="E41" s="6" t="s">
        <v>117</v>
      </c>
      <c r="F41" s="7" t="s">
        <v>127</v>
      </c>
      <c r="G41" s="6" t="s">
        <v>119</v>
      </c>
      <c r="H41" s="6" t="s">
        <v>120</v>
      </c>
      <c r="I41" s="7" t="s">
        <v>226</v>
      </c>
      <c r="J41" s="9" t="s">
        <v>230</v>
      </c>
      <c r="K41" s="8" t="n">
        <f aca="false">ROUND((IF(E41="Transactional",5,IF(E41="Commercial",4,IF(E41="Comparison",3,IF(E41="Informational",2,3))))*LOG10(IF(ISNUMBER(L41),L41,IFERROR(VALUE(LEFT(F41,FIND("-",F41)-1)),100))+1))/IF(IF(ISBLANK(M41),G41,M41)="High",5,IF(IF(ISBLANK(M41),G41,M41)="Medium",3,1)),2)</f>
        <v>2.32</v>
      </c>
      <c r="L41" s="6"/>
      <c r="M41" s="6"/>
      <c r="N41" s="6"/>
      <c r="O41" s="6" t="s">
        <v>123</v>
      </c>
      <c r="P41" s="7" t="s">
        <v>129</v>
      </c>
    </row>
    <row r="42" customFormat="false" ht="25.5" hidden="false" customHeight="true" outlineLevel="0" collapsed="false">
      <c r="A42" s="6" t="n">
        <v>41</v>
      </c>
      <c r="B42" s="6" t="n">
        <v>1</v>
      </c>
      <c r="C42" s="6" t="s">
        <v>115</v>
      </c>
      <c r="D42" s="7" t="s">
        <v>231</v>
      </c>
      <c r="E42" s="6" t="s">
        <v>117</v>
      </c>
      <c r="F42" s="7" t="s">
        <v>136</v>
      </c>
      <c r="G42" s="6" t="s">
        <v>137</v>
      </c>
      <c r="H42" s="6" t="s">
        <v>120</v>
      </c>
      <c r="I42" s="7" t="s">
        <v>226</v>
      </c>
      <c r="J42" s="7" t="s">
        <v>232</v>
      </c>
      <c r="K42" s="8" t="n">
        <f aca="false">ROUND((IF(E42="Transactional",5,IF(E42="Commercial",4,IF(E42="Comparison",3,IF(E42="Informational",2,3))))*LOG10(IF(ISNUMBER(L42),L42,IFERROR(VALUE(LEFT(F42,FIND("-",F42)-1)),100))+1))/IF(IF(ISBLANK(M42),G42,M42)="High",5,IF(IF(ISBLANK(M42),G42,M42)="Medium",3,1)),2)</f>
        <v>3.47</v>
      </c>
      <c r="L42" s="6"/>
      <c r="M42" s="6"/>
      <c r="N42" s="6"/>
      <c r="O42" s="6" t="s">
        <v>123</v>
      </c>
      <c r="P42" s="7" t="s">
        <v>233</v>
      </c>
    </row>
    <row r="43" customFormat="false" ht="25.5" hidden="false" customHeight="true" outlineLevel="0" collapsed="false">
      <c r="A43" s="6" t="n">
        <v>42</v>
      </c>
      <c r="B43" s="6" t="n">
        <v>1</v>
      </c>
      <c r="C43" s="6" t="s">
        <v>125</v>
      </c>
      <c r="D43" s="9" t="s">
        <v>234</v>
      </c>
      <c r="E43" s="6" t="s">
        <v>117</v>
      </c>
      <c r="F43" s="7" t="s">
        <v>141</v>
      </c>
      <c r="G43" s="6" t="s">
        <v>137</v>
      </c>
      <c r="H43" s="6" t="s">
        <v>120</v>
      </c>
      <c r="I43" s="7" t="s">
        <v>226</v>
      </c>
      <c r="J43" s="9" t="s">
        <v>235</v>
      </c>
      <c r="K43" s="8" t="n">
        <f aca="false">ROUND((IF(E43="Transactional",5,IF(E43="Commercial",4,IF(E43="Comparison",3,IF(E43="Informational",2,3))))*LOG10(IF(ISNUMBER(L43),L43,IFERROR(VALUE(LEFT(F43,FIND("-",F43)-1)),100))+1))/IF(IF(ISBLANK(M43),G43,M43)="High",5,IF(IF(ISBLANK(M43),G43,M43)="Medium",3,1)),2)</f>
        <v>3.39</v>
      </c>
      <c r="L43" s="6"/>
      <c r="M43" s="6"/>
      <c r="N43" s="6"/>
      <c r="O43" s="6" t="s">
        <v>123</v>
      </c>
      <c r="P43" s="7" t="s">
        <v>129</v>
      </c>
    </row>
    <row r="44" customFormat="false" ht="25.5" hidden="false" customHeight="true" outlineLevel="0" collapsed="false">
      <c r="A44" s="6" t="n">
        <v>43</v>
      </c>
      <c r="B44" s="6" t="n">
        <v>1</v>
      </c>
      <c r="C44" s="6" t="s">
        <v>115</v>
      </c>
      <c r="D44" s="7" t="s">
        <v>236</v>
      </c>
      <c r="E44" s="6" t="s">
        <v>117</v>
      </c>
      <c r="F44" s="7" t="s">
        <v>136</v>
      </c>
      <c r="G44" s="6" t="s">
        <v>137</v>
      </c>
      <c r="H44" s="6" t="s">
        <v>120</v>
      </c>
      <c r="I44" s="7" t="s">
        <v>226</v>
      </c>
      <c r="J44" s="7" t="s">
        <v>237</v>
      </c>
      <c r="K44" s="8" t="n">
        <f aca="false">ROUND((IF(E44="Transactional",5,IF(E44="Commercial",4,IF(E44="Comparison",3,IF(E44="Informational",2,3))))*LOG10(IF(ISNUMBER(L44),L44,IFERROR(VALUE(LEFT(F44,FIND("-",F44)-1)),100))+1))/IF(IF(ISBLANK(M44),G44,M44)="High",5,IF(IF(ISBLANK(M44),G44,M44)="Medium",3,1)),2)</f>
        <v>3.47</v>
      </c>
      <c r="L44" s="6"/>
      <c r="M44" s="6"/>
      <c r="N44" s="6"/>
      <c r="O44" s="6" t="s">
        <v>123</v>
      </c>
      <c r="P44" s="7" t="s">
        <v>238</v>
      </c>
    </row>
    <row r="45" customFormat="false" ht="25.5" hidden="false" customHeight="true" outlineLevel="0" collapsed="false">
      <c r="A45" s="6" t="n">
        <v>44</v>
      </c>
      <c r="B45" s="6" t="n">
        <v>1</v>
      </c>
      <c r="C45" s="6" t="s">
        <v>125</v>
      </c>
      <c r="D45" s="9" t="s">
        <v>239</v>
      </c>
      <c r="E45" s="6" t="s">
        <v>117</v>
      </c>
      <c r="F45" s="7" t="s">
        <v>141</v>
      </c>
      <c r="G45" s="6" t="s">
        <v>137</v>
      </c>
      <c r="H45" s="6" t="s">
        <v>120</v>
      </c>
      <c r="I45" s="7" t="s">
        <v>226</v>
      </c>
      <c r="J45" s="9" t="s">
        <v>240</v>
      </c>
      <c r="K45" s="8" t="n">
        <f aca="false">ROUND((IF(E45="Transactional",5,IF(E45="Commercial",4,IF(E45="Comparison",3,IF(E45="Informational",2,3))))*LOG10(IF(ISNUMBER(L45),L45,IFERROR(VALUE(LEFT(F45,FIND("-",F45)-1)),100))+1))/IF(IF(ISBLANK(M45),G45,M45)="High",5,IF(IF(ISBLANK(M45),G45,M45)="Medium",3,1)),2)</f>
        <v>3.39</v>
      </c>
      <c r="L45" s="6"/>
      <c r="M45" s="6"/>
      <c r="N45" s="6"/>
      <c r="O45" s="6" t="s">
        <v>123</v>
      </c>
      <c r="P45" s="7" t="s">
        <v>129</v>
      </c>
    </row>
    <row r="46" customFormat="false" ht="25.5" hidden="false" customHeight="true" outlineLevel="0" collapsed="false">
      <c r="A46" s="6" t="n">
        <v>45</v>
      </c>
      <c r="B46" s="6" t="n">
        <v>1</v>
      </c>
      <c r="C46" s="6" t="s">
        <v>115</v>
      </c>
      <c r="D46" s="7" t="s">
        <v>241</v>
      </c>
      <c r="E46" s="6" t="s">
        <v>117</v>
      </c>
      <c r="F46" s="7" t="s">
        <v>136</v>
      </c>
      <c r="G46" s="6" t="s">
        <v>137</v>
      </c>
      <c r="H46" s="6" t="s">
        <v>120</v>
      </c>
      <c r="I46" s="7" t="s">
        <v>242</v>
      </c>
      <c r="J46" s="7" t="s">
        <v>243</v>
      </c>
      <c r="K46" s="8" t="n">
        <f aca="false">ROUND((IF(E46="Transactional",5,IF(E46="Commercial",4,IF(E46="Comparison",3,IF(E46="Informational",2,3))))*LOG10(IF(ISNUMBER(L46),L46,IFERROR(VALUE(LEFT(F46,FIND("-",F46)-1)),100))+1))/IF(IF(ISBLANK(M46),G46,M46)="High",5,IF(IF(ISBLANK(M46),G46,M46)="Medium",3,1)),2)</f>
        <v>3.47</v>
      </c>
      <c r="L46" s="6"/>
      <c r="M46" s="6"/>
      <c r="N46" s="6"/>
      <c r="O46" s="6" t="s">
        <v>123</v>
      </c>
      <c r="P46" s="7" t="s">
        <v>244</v>
      </c>
    </row>
    <row r="47" customFormat="false" ht="25.5" hidden="false" customHeight="true" outlineLevel="0" collapsed="false">
      <c r="A47" s="6" t="n">
        <v>46</v>
      </c>
      <c r="B47" s="6" t="n">
        <v>1</v>
      </c>
      <c r="C47" s="6" t="s">
        <v>125</v>
      </c>
      <c r="D47" s="9" t="s">
        <v>245</v>
      </c>
      <c r="E47" s="6" t="s">
        <v>117</v>
      </c>
      <c r="F47" s="7" t="s">
        <v>141</v>
      </c>
      <c r="G47" s="6" t="s">
        <v>137</v>
      </c>
      <c r="H47" s="6" t="s">
        <v>120</v>
      </c>
      <c r="I47" s="7" t="s">
        <v>242</v>
      </c>
      <c r="J47" s="9" t="s">
        <v>246</v>
      </c>
      <c r="K47" s="8" t="n">
        <f aca="false">ROUND((IF(E47="Transactional",5,IF(E47="Commercial",4,IF(E47="Comparison",3,IF(E47="Informational",2,3))))*LOG10(IF(ISNUMBER(L47),L47,IFERROR(VALUE(LEFT(F47,FIND("-",F47)-1)),100))+1))/IF(IF(ISBLANK(M47),G47,M47)="High",5,IF(IF(ISBLANK(M47),G47,M47)="Medium",3,1)),2)</f>
        <v>3.39</v>
      </c>
      <c r="L47" s="6"/>
      <c r="M47" s="6"/>
      <c r="N47" s="6"/>
      <c r="O47" s="6" t="s">
        <v>123</v>
      </c>
      <c r="P47" s="7" t="s">
        <v>129</v>
      </c>
    </row>
    <row r="48" customFormat="false" ht="25.5" hidden="false" customHeight="true" outlineLevel="0" collapsed="false">
      <c r="A48" s="6" t="n">
        <v>47</v>
      </c>
      <c r="B48" s="6" t="n">
        <v>1</v>
      </c>
      <c r="C48" s="6" t="s">
        <v>115</v>
      </c>
      <c r="D48" s="7" t="s">
        <v>247</v>
      </c>
      <c r="E48" s="6" t="s">
        <v>117</v>
      </c>
      <c r="F48" s="7" t="s">
        <v>118</v>
      </c>
      <c r="G48" s="6" t="s">
        <v>119</v>
      </c>
      <c r="H48" s="6" t="s">
        <v>120</v>
      </c>
      <c r="I48" s="7" t="s">
        <v>248</v>
      </c>
      <c r="J48" s="7" t="s">
        <v>249</v>
      </c>
      <c r="K48" s="8" t="n">
        <f aca="false">ROUND((IF(E48="Transactional",5,IF(E48="Commercial",4,IF(E48="Comparison",3,IF(E48="Informational",2,3))))*LOG10(IF(ISNUMBER(L48),L48,IFERROR(VALUE(LEFT(F48,FIND("-",F48)-1)),100))+1))/IF(IF(ISBLANK(M48),G48,M48)="High",5,IF(IF(ISBLANK(M48),G48,M48)="Medium",3,1)),2)</f>
        <v>2.4</v>
      </c>
      <c r="L48" s="6"/>
      <c r="M48" s="6"/>
      <c r="N48" s="6"/>
      <c r="O48" s="6" t="s">
        <v>123</v>
      </c>
      <c r="P48" s="7" t="s">
        <v>250</v>
      </c>
    </row>
    <row r="49" customFormat="false" ht="25.5" hidden="false" customHeight="true" outlineLevel="0" collapsed="false">
      <c r="A49" s="6" t="n">
        <v>48</v>
      </c>
      <c r="B49" s="6" t="n">
        <v>1</v>
      </c>
      <c r="C49" s="6" t="s">
        <v>125</v>
      </c>
      <c r="D49" s="9" t="s">
        <v>251</v>
      </c>
      <c r="E49" s="6" t="s">
        <v>117</v>
      </c>
      <c r="F49" s="7" t="s">
        <v>127</v>
      </c>
      <c r="G49" s="6" t="s">
        <v>119</v>
      </c>
      <c r="H49" s="6" t="s">
        <v>120</v>
      </c>
      <c r="I49" s="7" t="s">
        <v>248</v>
      </c>
      <c r="J49" s="9" t="s">
        <v>252</v>
      </c>
      <c r="K49" s="8" t="n">
        <f aca="false">ROUND((IF(E49="Transactional",5,IF(E49="Commercial",4,IF(E49="Comparison",3,IF(E49="Informational",2,3))))*LOG10(IF(ISNUMBER(L49),L49,IFERROR(VALUE(LEFT(F49,FIND("-",F49)-1)),100))+1))/IF(IF(ISBLANK(M49),G49,M49)="High",5,IF(IF(ISBLANK(M49),G49,M49)="Medium",3,1)),2)</f>
        <v>2.32</v>
      </c>
      <c r="L49" s="6"/>
      <c r="M49" s="6"/>
      <c r="N49" s="6"/>
      <c r="O49" s="6" t="s">
        <v>123</v>
      </c>
      <c r="P49" s="7" t="s">
        <v>129</v>
      </c>
    </row>
    <row r="50" customFormat="false" ht="25.5" hidden="false" customHeight="true" outlineLevel="0" collapsed="false">
      <c r="A50" s="6" t="n">
        <v>49</v>
      </c>
      <c r="B50" s="6" t="n">
        <v>1</v>
      </c>
      <c r="C50" s="6" t="s">
        <v>115</v>
      </c>
      <c r="D50" s="7" t="s">
        <v>253</v>
      </c>
      <c r="E50" s="6" t="s">
        <v>117</v>
      </c>
      <c r="F50" s="7" t="s">
        <v>118</v>
      </c>
      <c r="G50" s="6" t="s">
        <v>119</v>
      </c>
      <c r="H50" s="6" t="s">
        <v>120</v>
      </c>
      <c r="I50" s="7" t="s">
        <v>254</v>
      </c>
      <c r="J50" s="7" t="s">
        <v>255</v>
      </c>
      <c r="K50" s="8" t="n">
        <f aca="false">ROUND((IF(E50="Transactional",5,IF(E50="Commercial",4,IF(E50="Comparison",3,IF(E50="Informational",2,3))))*LOG10(IF(ISNUMBER(L50),L50,IFERROR(VALUE(LEFT(F50,FIND("-",F50)-1)),100))+1))/IF(IF(ISBLANK(M50),G50,M50)="High",5,IF(IF(ISBLANK(M50),G50,M50)="Medium",3,1)),2)</f>
        <v>2.4</v>
      </c>
      <c r="L50" s="6"/>
      <c r="M50" s="6"/>
      <c r="N50" s="6"/>
      <c r="O50" s="6" t="s">
        <v>123</v>
      </c>
      <c r="P50" s="7" t="s">
        <v>256</v>
      </c>
    </row>
    <row r="51" customFormat="false" ht="25.5" hidden="false" customHeight="true" outlineLevel="0" collapsed="false">
      <c r="A51" s="6" t="n">
        <v>50</v>
      </c>
      <c r="B51" s="6" t="n">
        <v>1</v>
      </c>
      <c r="C51" s="6" t="s">
        <v>125</v>
      </c>
      <c r="D51" s="9" t="s">
        <v>257</v>
      </c>
      <c r="E51" s="6" t="s">
        <v>117</v>
      </c>
      <c r="F51" s="7" t="s">
        <v>127</v>
      </c>
      <c r="G51" s="6" t="s">
        <v>119</v>
      </c>
      <c r="H51" s="6" t="s">
        <v>120</v>
      </c>
      <c r="I51" s="7" t="s">
        <v>254</v>
      </c>
      <c r="J51" s="9" t="s">
        <v>258</v>
      </c>
      <c r="K51" s="8" t="n">
        <f aca="false">ROUND((IF(E51="Transactional",5,IF(E51="Commercial",4,IF(E51="Comparison",3,IF(E51="Informational",2,3))))*LOG10(IF(ISNUMBER(L51),L51,IFERROR(VALUE(LEFT(F51,FIND("-",F51)-1)),100))+1))/IF(IF(ISBLANK(M51),G51,M51)="High",5,IF(IF(ISBLANK(M51),G51,M51)="Medium",3,1)),2)</f>
        <v>2.32</v>
      </c>
      <c r="L51" s="6"/>
      <c r="M51" s="6"/>
      <c r="N51" s="6"/>
      <c r="O51" s="6" t="s">
        <v>123</v>
      </c>
      <c r="P51" s="7" t="s">
        <v>129</v>
      </c>
    </row>
    <row r="52" customFormat="false" ht="25.5" hidden="false" customHeight="true" outlineLevel="0" collapsed="false">
      <c r="A52" s="6" t="n">
        <v>51</v>
      </c>
      <c r="B52" s="6" t="n">
        <v>1</v>
      </c>
      <c r="C52" s="6" t="s">
        <v>115</v>
      </c>
      <c r="D52" s="7" t="s">
        <v>259</v>
      </c>
      <c r="E52" s="6" t="s">
        <v>117</v>
      </c>
      <c r="F52" s="7" t="s">
        <v>136</v>
      </c>
      <c r="G52" s="6" t="s">
        <v>137</v>
      </c>
      <c r="H52" s="6" t="s">
        <v>120</v>
      </c>
      <c r="I52" s="7" t="s">
        <v>260</v>
      </c>
      <c r="J52" s="7" t="s">
        <v>261</v>
      </c>
      <c r="K52" s="8" t="n">
        <f aca="false">ROUND((IF(E52="Transactional",5,IF(E52="Commercial",4,IF(E52="Comparison",3,IF(E52="Informational",2,3))))*LOG10(IF(ISNUMBER(L52),L52,IFERROR(VALUE(LEFT(F52,FIND("-",F52)-1)),100))+1))/IF(IF(ISBLANK(M52),G52,M52)="High",5,IF(IF(ISBLANK(M52),G52,M52)="Medium",3,1)),2)</f>
        <v>3.47</v>
      </c>
      <c r="L52" s="6"/>
      <c r="M52" s="6"/>
      <c r="N52" s="6"/>
      <c r="O52" s="6" t="s">
        <v>123</v>
      </c>
      <c r="P52" s="7" t="s">
        <v>262</v>
      </c>
    </row>
    <row r="53" customFormat="false" ht="25.5" hidden="false" customHeight="true" outlineLevel="0" collapsed="false">
      <c r="A53" s="6" t="n">
        <v>52</v>
      </c>
      <c r="B53" s="6" t="n">
        <v>1</v>
      </c>
      <c r="C53" s="6" t="s">
        <v>125</v>
      </c>
      <c r="D53" s="9" t="s">
        <v>263</v>
      </c>
      <c r="E53" s="6" t="s">
        <v>117</v>
      </c>
      <c r="F53" s="7" t="s">
        <v>141</v>
      </c>
      <c r="G53" s="6" t="s">
        <v>137</v>
      </c>
      <c r="H53" s="6" t="s">
        <v>120</v>
      </c>
      <c r="I53" s="7" t="s">
        <v>260</v>
      </c>
      <c r="J53" s="9" t="s">
        <v>264</v>
      </c>
      <c r="K53" s="8" t="n">
        <f aca="false">ROUND((IF(E53="Transactional",5,IF(E53="Commercial",4,IF(E53="Comparison",3,IF(E53="Informational",2,3))))*LOG10(IF(ISNUMBER(L53),L53,IFERROR(VALUE(LEFT(F53,FIND("-",F53)-1)),100))+1))/IF(IF(ISBLANK(M53),G53,M53)="High",5,IF(IF(ISBLANK(M53),G53,M53)="Medium",3,1)),2)</f>
        <v>3.39</v>
      </c>
      <c r="L53" s="6"/>
      <c r="M53" s="6"/>
      <c r="N53" s="6"/>
      <c r="O53" s="6" t="s">
        <v>123</v>
      </c>
      <c r="P53" s="7" t="s">
        <v>129</v>
      </c>
    </row>
    <row r="54" customFormat="false" ht="25.5" hidden="false" customHeight="true" outlineLevel="0" collapsed="false">
      <c r="A54" s="6" t="n">
        <v>53</v>
      </c>
      <c r="B54" s="6" t="n">
        <v>1</v>
      </c>
      <c r="C54" s="6" t="s">
        <v>115</v>
      </c>
      <c r="D54" s="7" t="s">
        <v>265</v>
      </c>
      <c r="E54" s="6" t="s">
        <v>117</v>
      </c>
      <c r="F54" s="7" t="s">
        <v>136</v>
      </c>
      <c r="G54" s="6" t="s">
        <v>137</v>
      </c>
      <c r="H54" s="6" t="s">
        <v>120</v>
      </c>
      <c r="I54" s="7" t="s">
        <v>266</v>
      </c>
      <c r="J54" s="7" t="s">
        <v>267</v>
      </c>
      <c r="K54" s="8" t="n">
        <f aca="false">ROUND((IF(E54="Transactional",5,IF(E54="Commercial",4,IF(E54="Comparison",3,IF(E54="Informational",2,3))))*LOG10(IF(ISNUMBER(L54),L54,IFERROR(VALUE(LEFT(F54,FIND("-",F54)-1)),100))+1))/IF(IF(ISBLANK(M54),G54,M54)="High",5,IF(IF(ISBLANK(M54),G54,M54)="Medium",3,1)),2)</f>
        <v>3.47</v>
      </c>
      <c r="L54" s="6"/>
      <c r="M54" s="6"/>
      <c r="N54" s="6"/>
      <c r="O54" s="6" t="s">
        <v>123</v>
      </c>
      <c r="P54" s="7" t="s">
        <v>268</v>
      </c>
    </row>
    <row r="55" customFormat="false" ht="25.5" hidden="false" customHeight="true" outlineLevel="0" collapsed="false">
      <c r="A55" s="6" t="n">
        <v>54</v>
      </c>
      <c r="B55" s="6" t="n">
        <v>1</v>
      </c>
      <c r="C55" s="6" t="s">
        <v>125</v>
      </c>
      <c r="D55" s="9" t="s">
        <v>269</v>
      </c>
      <c r="E55" s="6" t="s">
        <v>117</v>
      </c>
      <c r="F55" s="7" t="s">
        <v>141</v>
      </c>
      <c r="G55" s="6" t="s">
        <v>137</v>
      </c>
      <c r="H55" s="6" t="s">
        <v>120</v>
      </c>
      <c r="I55" s="7" t="s">
        <v>266</v>
      </c>
      <c r="J55" s="9" t="s">
        <v>270</v>
      </c>
      <c r="K55" s="8" t="n">
        <f aca="false">ROUND((IF(E55="Transactional",5,IF(E55="Commercial",4,IF(E55="Comparison",3,IF(E55="Informational",2,3))))*LOG10(IF(ISNUMBER(L55),L55,IFERROR(VALUE(LEFT(F55,FIND("-",F55)-1)),100))+1))/IF(IF(ISBLANK(M55),G55,M55)="High",5,IF(IF(ISBLANK(M55),G55,M55)="Medium",3,1)),2)</f>
        <v>3.39</v>
      </c>
      <c r="L55" s="6"/>
      <c r="M55" s="6"/>
      <c r="N55" s="6"/>
      <c r="O55" s="6" t="s">
        <v>123</v>
      </c>
      <c r="P55" s="7" t="s">
        <v>129</v>
      </c>
    </row>
    <row r="56" customFormat="false" ht="25.5" hidden="false" customHeight="true" outlineLevel="0" collapsed="false">
      <c r="A56" s="6" t="n">
        <v>55</v>
      </c>
      <c r="B56" s="6" t="n">
        <v>1</v>
      </c>
      <c r="C56" s="6" t="s">
        <v>115</v>
      </c>
      <c r="D56" s="7" t="s">
        <v>271</v>
      </c>
      <c r="E56" s="6" t="s">
        <v>117</v>
      </c>
      <c r="F56" s="7" t="s">
        <v>118</v>
      </c>
      <c r="G56" s="6" t="s">
        <v>119</v>
      </c>
      <c r="H56" s="6" t="s">
        <v>120</v>
      </c>
      <c r="I56" s="7" t="s">
        <v>272</v>
      </c>
      <c r="J56" s="7" t="s">
        <v>273</v>
      </c>
      <c r="K56" s="8" t="n">
        <f aca="false">ROUND((IF(E56="Transactional",5,IF(E56="Commercial",4,IF(E56="Comparison",3,IF(E56="Informational",2,3))))*LOG10(IF(ISNUMBER(L56),L56,IFERROR(VALUE(LEFT(F56,FIND("-",F56)-1)),100))+1))/IF(IF(ISBLANK(M56),G56,M56)="High",5,IF(IF(ISBLANK(M56),G56,M56)="Medium",3,1)),2)</f>
        <v>2.4</v>
      </c>
      <c r="L56" s="6"/>
      <c r="M56" s="6"/>
      <c r="N56" s="6"/>
      <c r="O56" s="6" t="s">
        <v>123</v>
      </c>
      <c r="P56" s="7" t="s">
        <v>274</v>
      </c>
    </row>
    <row r="57" customFormat="false" ht="25.5" hidden="false" customHeight="true" outlineLevel="0" collapsed="false">
      <c r="A57" s="6" t="n">
        <v>56</v>
      </c>
      <c r="B57" s="6" t="n">
        <v>1</v>
      </c>
      <c r="C57" s="6" t="s">
        <v>125</v>
      </c>
      <c r="D57" s="9" t="s">
        <v>275</v>
      </c>
      <c r="E57" s="6" t="s">
        <v>117</v>
      </c>
      <c r="F57" s="7" t="s">
        <v>127</v>
      </c>
      <c r="G57" s="6" t="s">
        <v>119</v>
      </c>
      <c r="H57" s="6" t="s">
        <v>120</v>
      </c>
      <c r="I57" s="7" t="s">
        <v>272</v>
      </c>
      <c r="J57" s="9" t="s">
        <v>276</v>
      </c>
      <c r="K57" s="8" t="n">
        <f aca="false">ROUND((IF(E57="Transactional",5,IF(E57="Commercial",4,IF(E57="Comparison",3,IF(E57="Informational",2,3))))*LOG10(IF(ISNUMBER(L57),L57,IFERROR(VALUE(LEFT(F57,FIND("-",F57)-1)),100))+1))/IF(IF(ISBLANK(M57),G57,M57)="High",5,IF(IF(ISBLANK(M57),G57,M57)="Medium",3,1)),2)</f>
        <v>2.32</v>
      </c>
      <c r="L57" s="6"/>
      <c r="M57" s="6"/>
      <c r="N57" s="6"/>
      <c r="O57" s="6" t="s">
        <v>123</v>
      </c>
      <c r="P57" s="7" t="s">
        <v>129</v>
      </c>
    </row>
    <row r="58" customFormat="false" ht="25.5" hidden="false" customHeight="true" outlineLevel="0" collapsed="false">
      <c r="A58" s="6" t="n">
        <v>57</v>
      </c>
      <c r="B58" s="6" t="n">
        <v>1</v>
      </c>
      <c r="C58" s="6" t="s">
        <v>115</v>
      </c>
      <c r="D58" s="7" t="s">
        <v>277</v>
      </c>
      <c r="E58" s="6" t="s">
        <v>117</v>
      </c>
      <c r="F58" s="7" t="s">
        <v>118</v>
      </c>
      <c r="G58" s="6" t="s">
        <v>119</v>
      </c>
      <c r="H58" s="6" t="s">
        <v>120</v>
      </c>
      <c r="I58" s="7" t="s">
        <v>272</v>
      </c>
      <c r="J58" s="7" t="s">
        <v>278</v>
      </c>
      <c r="K58" s="8" t="n">
        <f aca="false">ROUND((IF(E58="Transactional",5,IF(E58="Commercial",4,IF(E58="Comparison",3,IF(E58="Informational",2,3))))*LOG10(IF(ISNUMBER(L58),L58,IFERROR(VALUE(LEFT(F58,FIND("-",F58)-1)),100))+1))/IF(IF(ISBLANK(M58),G58,M58)="High",5,IF(IF(ISBLANK(M58),G58,M58)="Medium",3,1)),2)</f>
        <v>2.4</v>
      </c>
      <c r="L58" s="6"/>
      <c r="M58" s="6"/>
      <c r="N58" s="6"/>
      <c r="O58" s="6" t="s">
        <v>123</v>
      </c>
      <c r="P58" s="7" t="s">
        <v>279</v>
      </c>
    </row>
    <row r="59" customFormat="false" ht="25.5" hidden="false" customHeight="true" outlineLevel="0" collapsed="false">
      <c r="A59" s="6" t="n">
        <v>58</v>
      </c>
      <c r="B59" s="6" t="n">
        <v>1</v>
      </c>
      <c r="C59" s="6" t="s">
        <v>125</v>
      </c>
      <c r="D59" s="9" t="s">
        <v>280</v>
      </c>
      <c r="E59" s="6" t="s">
        <v>117</v>
      </c>
      <c r="F59" s="7" t="s">
        <v>127</v>
      </c>
      <c r="G59" s="6" t="s">
        <v>119</v>
      </c>
      <c r="H59" s="6" t="s">
        <v>120</v>
      </c>
      <c r="I59" s="7" t="s">
        <v>272</v>
      </c>
      <c r="J59" s="9" t="s">
        <v>281</v>
      </c>
      <c r="K59" s="8" t="n">
        <f aca="false">ROUND((IF(E59="Transactional",5,IF(E59="Commercial",4,IF(E59="Comparison",3,IF(E59="Informational",2,3))))*LOG10(IF(ISNUMBER(L59),L59,IFERROR(VALUE(LEFT(F59,FIND("-",F59)-1)),100))+1))/IF(IF(ISBLANK(M59),G59,M59)="High",5,IF(IF(ISBLANK(M59),G59,M59)="Medium",3,1)),2)</f>
        <v>2.32</v>
      </c>
      <c r="L59" s="6"/>
      <c r="M59" s="6"/>
      <c r="N59" s="6"/>
      <c r="O59" s="6" t="s">
        <v>123</v>
      </c>
      <c r="P59" s="7" t="s">
        <v>129</v>
      </c>
    </row>
    <row r="60" customFormat="false" ht="25.5" hidden="false" customHeight="true" outlineLevel="0" collapsed="false">
      <c r="A60" s="6" t="n">
        <v>59</v>
      </c>
      <c r="B60" s="6" t="n">
        <v>1</v>
      </c>
      <c r="C60" s="6" t="s">
        <v>115</v>
      </c>
      <c r="D60" s="7" t="s">
        <v>282</v>
      </c>
      <c r="E60" s="6" t="s">
        <v>117</v>
      </c>
      <c r="F60" s="7" t="s">
        <v>118</v>
      </c>
      <c r="G60" s="6" t="s">
        <v>119</v>
      </c>
      <c r="H60" s="6" t="s">
        <v>120</v>
      </c>
      <c r="I60" s="7" t="s">
        <v>272</v>
      </c>
      <c r="J60" s="7" t="s">
        <v>283</v>
      </c>
      <c r="K60" s="8" t="n">
        <f aca="false">ROUND((IF(E60="Transactional",5,IF(E60="Commercial",4,IF(E60="Comparison",3,IF(E60="Informational",2,3))))*LOG10(IF(ISNUMBER(L60),L60,IFERROR(VALUE(LEFT(F60,FIND("-",F60)-1)),100))+1))/IF(IF(ISBLANK(M60),G60,M60)="High",5,IF(IF(ISBLANK(M60),G60,M60)="Medium",3,1)),2)</f>
        <v>2.4</v>
      </c>
      <c r="L60" s="6"/>
      <c r="M60" s="6"/>
      <c r="N60" s="6"/>
      <c r="O60" s="6" t="s">
        <v>123</v>
      </c>
      <c r="P60" s="7" t="s">
        <v>284</v>
      </c>
    </row>
    <row r="61" customFormat="false" ht="25.5" hidden="false" customHeight="true" outlineLevel="0" collapsed="false">
      <c r="A61" s="6" t="n">
        <v>60</v>
      </c>
      <c r="B61" s="6" t="n">
        <v>1</v>
      </c>
      <c r="C61" s="6" t="s">
        <v>125</v>
      </c>
      <c r="D61" s="9" t="s">
        <v>285</v>
      </c>
      <c r="E61" s="6" t="s">
        <v>117</v>
      </c>
      <c r="F61" s="7" t="s">
        <v>127</v>
      </c>
      <c r="G61" s="6" t="s">
        <v>119</v>
      </c>
      <c r="H61" s="6" t="s">
        <v>120</v>
      </c>
      <c r="I61" s="7" t="s">
        <v>272</v>
      </c>
      <c r="J61" s="9" t="s">
        <v>286</v>
      </c>
      <c r="K61" s="8" t="n">
        <f aca="false">ROUND((IF(E61="Transactional",5,IF(E61="Commercial",4,IF(E61="Comparison",3,IF(E61="Informational",2,3))))*LOG10(IF(ISNUMBER(L61),L61,IFERROR(VALUE(LEFT(F61,FIND("-",F61)-1)),100))+1))/IF(IF(ISBLANK(M61),G61,M61)="High",5,IF(IF(ISBLANK(M61),G61,M61)="Medium",3,1)),2)</f>
        <v>2.32</v>
      </c>
      <c r="L61" s="6"/>
      <c r="M61" s="6"/>
      <c r="N61" s="6"/>
      <c r="O61" s="6" t="s">
        <v>123</v>
      </c>
      <c r="P61" s="7" t="s">
        <v>129</v>
      </c>
    </row>
    <row r="62" customFormat="false" ht="25.5" hidden="false" customHeight="true" outlineLevel="0" collapsed="false">
      <c r="A62" s="6" t="n">
        <v>61</v>
      </c>
      <c r="B62" s="6" t="n">
        <v>1</v>
      </c>
      <c r="C62" s="6" t="s">
        <v>115</v>
      </c>
      <c r="D62" s="7" t="s">
        <v>287</v>
      </c>
      <c r="E62" s="6" t="s">
        <v>117</v>
      </c>
      <c r="F62" s="7" t="s">
        <v>136</v>
      </c>
      <c r="G62" s="6" t="s">
        <v>137</v>
      </c>
      <c r="H62" s="6" t="s">
        <v>120</v>
      </c>
      <c r="I62" s="7" t="s">
        <v>272</v>
      </c>
      <c r="J62" s="7" t="s">
        <v>288</v>
      </c>
      <c r="K62" s="8" t="n">
        <f aca="false">ROUND((IF(E62="Transactional",5,IF(E62="Commercial",4,IF(E62="Comparison",3,IF(E62="Informational",2,3))))*LOG10(IF(ISNUMBER(L62),L62,IFERROR(VALUE(LEFT(F62,FIND("-",F62)-1)),100))+1))/IF(IF(ISBLANK(M62),G62,M62)="High",5,IF(IF(ISBLANK(M62),G62,M62)="Medium",3,1)),2)</f>
        <v>3.47</v>
      </c>
      <c r="L62" s="6"/>
      <c r="M62" s="6"/>
      <c r="N62" s="6"/>
      <c r="O62" s="6" t="s">
        <v>123</v>
      </c>
      <c r="P62" s="7" t="s">
        <v>289</v>
      </c>
    </row>
    <row r="63" customFormat="false" ht="25.5" hidden="false" customHeight="true" outlineLevel="0" collapsed="false">
      <c r="A63" s="6" t="n">
        <v>62</v>
      </c>
      <c r="B63" s="6" t="n">
        <v>1</v>
      </c>
      <c r="C63" s="6" t="s">
        <v>125</v>
      </c>
      <c r="D63" s="9" t="s">
        <v>290</v>
      </c>
      <c r="E63" s="6" t="s">
        <v>117</v>
      </c>
      <c r="F63" s="7" t="s">
        <v>141</v>
      </c>
      <c r="G63" s="6" t="s">
        <v>137</v>
      </c>
      <c r="H63" s="6" t="s">
        <v>120</v>
      </c>
      <c r="I63" s="7" t="s">
        <v>272</v>
      </c>
      <c r="J63" s="9" t="s">
        <v>291</v>
      </c>
      <c r="K63" s="8" t="n">
        <f aca="false">ROUND((IF(E63="Transactional",5,IF(E63="Commercial",4,IF(E63="Comparison",3,IF(E63="Informational",2,3))))*LOG10(IF(ISNUMBER(L63),L63,IFERROR(VALUE(LEFT(F63,FIND("-",F63)-1)),100))+1))/IF(IF(ISBLANK(M63),G63,M63)="High",5,IF(IF(ISBLANK(M63),G63,M63)="Medium",3,1)),2)</f>
        <v>3.39</v>
      </c>
      <c r="L63" s="6"/>
      <c r="M63" s="6"/>
      <c r="N63" s="6"/>
      <c r="O63" s="6" t="s">
        <v>123</v>
      </c>
      <c r="P63" s="7" t="s">
        <v>129</v>
      </c>
    </row>
    <row r="64" customFormat="false" ht="25.5" hidden="false" customHeight="true" outlineLevel="0" collapsed="false">
      <c r="A64" s="6" t="n">
        <v>63</v>
      </c>
      <c r="B64" s="6" t="n">
        <v>1</v>
      </c>
      <c r="C64" s="6" t="s">
        <v>115</v>
      </c>
      <c r="D64" s="7" t="s">
        <v>292</v>
      </c>
      <c r="E64" s="6" t="s">
        <v>117</v>
      </c>
      <c r="F64" s="7" t="s">
        <v>136</v>
      </c>
      <c r="G64" s="6" t="s">
        <v>137</v>
      </c>
      <c r="H64" s="6" t="s">
        <v>120</v>
      </c>
      <c r="I64" s="7" t="s">
        <v>272</v>
      </c>
      <c r="J64" s="7" t="s">
        <v>293</v>
      </c>
      <c r="K64" s="8" t="n">
        <f aca="false">ROUND((IF(E64="Transactional",5,IF(E64="Commercial",4,IF(E64="Comparison",3,IF(E64="Informational",2,3))))*LOG10(IF(ISNUMBER(L64),L64,IFERROR(VALUE(LEFT(F64,FIND("-",F64)-1)),100))+1))/IF(IF(ISBLANK(M64),G64,M64)="High",5,IF(IF(ISBLANK(M64),G64,M64)="Medium",3,1)),2)</f>
        <v>3.47</v>
      </c>
      <c r="L64" s="6"/>
      <c r="M64" s="6"/>
      <c r="N64" s="6"/>
      <c r="O64" s="6" t="s">
        <v>123</v>
      </c>
      <c r="P64" s="7" t="s">
        <v>294</v>
      </c>
    </row>
    <row r="65" customFormat="false" ht="25.5" hidden="false" customHeight="true" outlineLevel="0" collapsed="false">
      <c r="A65" s="6" t="n">
        <v>64</v>
      </c>
      <c r="B65" s="6" t="n">
        <v>1</v>
      </c>
      <c r="C65" s="6" t="s">
        <v>125</v>
      </c>
      <c r="D65" s="9" t="s">
        <v>295</v>
      </c>
      <c r="E65" s="6" t="s">
        <v>117</v>
      </c>
      <c r="F65" s="7" t="s">
        <v>141</v>
      </c>
      <c r="G65" s="6" t="s">
        <v>137</v>
      </c>
      <c r="H65" s="6" t="s">
        <v>120</v>
      </c>
      <c r="I65" s="7" t="s">
        <v>272</v>
      </c>
      <c r="J65" s="9" t="s">
        <v>296</v>
      </c>
      <c r="K65" s="8" t="n">
        <f aca="false">ROUND((IF(E65="Transactional",5,IF(E65="Commercial",4,IF(E65="Comparison",3,IF(E65="Informational",2,3))))*LOG10(IF(ISNUMBER(L65),L65,IFERROR(VALUE(LEFT(F65,FIND("-",F65)-1)),100))+1))/IF(IF(ISBLANK(M65),G65,M65)="High",5,IF(IF(ISBLANK(M65),G65,M65)="Medium",3,1)),2)</f>
        <v>3.39</v>
      </c>
      <c r="L65" s="6"/>
      <c r="M65" s="6"/>
      <c r="N65" s="6"/>
      <c r="O65" s="6" t="s">
        <v>123</v>
      </c>
      <c r="P65" s="7" t="s">
        <v>129</v>
      </c>
    </row>
    <row r="66" customFormat="false" ht="25.5" hidden="false" customHeight="true" outlineLevel="0" collapsed="false">
      <c r="A66" s="6" t="n">
        <v>65</v>
      </c>
      <c r="B66" s="6" t="n">
        <v>1</v>
      </c>
      <c r="C66" s="6" t="s">
        <v>115</v>
      </c>
      <c r="D66" s="7" t="s">
        <v>297</v>
      </c>
      <c r="E66" s="6" t="s">
        <v>117</v>
      </c>
      <c r="F66" s="7" t="s">
        <v>118</v>
      </c>
      <c r="G66" s="6" t="s">
        <v>119</v>
      </c>
      <c r="H66" s="6" t="s">
        <v>120</v>
      </c>
      <c r="I66" s="7" t="s">
        <v>298</v>
      </c>
      <c r="J66" s="7" t="s">
        <v>299</v>
      </c>
      <c r="K66" s="8" t="n">
        <f aca="false">ROUND((IF(E66="Transactional",5,IF(E66="Commercial",4,IF(E66="Comparison",3,IF(E66="Informational",2,3))))*LOG10(IF(ISNUMBER(L66),L66,IFERROR(VALUE(LEFT(F66,FIND("-",F66)-1)),100))+1))/IF(IF(ISBLANK(M66),G66,M66)="High",5,IF(IF(ISBLANK(M66),G66,M66)="Medium",3,1)),2)</f>
        <v>2.4</v>
      </c>
      <c r="L66" s="6"/>
      <c r="M66" s="6"/>
      <c r="N66" s="6"/>
      <c r="O66" s="6" t="s">
        <v>123</v>
      </c>
      <c r="P66" s="7" t="s">
        <v>300</v>
      </c>
    </row>
    <row r="67" customFormat="false" ht="25.5" hidden="false" customHeight="true" outlineLevel="0" collapsed="false">
      <c r="A67" s="6" t="n">
        <v>66</v>
      </c>
      <c r="B67" s="6" t="n">
        <v>1</v>
      </c>
      <c r="C67" s="6" t="s">
        <v>125</v>
      </c>
      <c r="D67" s="9" t="s">
        <v>301</v>
      </c>
      <c r="E67" s="6" t="s">
        <v>117</v>
      </c>
      <c r="F67" s="7" t="s">
        <v>127</v>
      </c>
      <c r="G67" s="6" t="s">
        <v>119</v>
      </c>
      <c r="H67" s="6" t="s">
        <v>120</v>
      </c>
      <c r="I67" s="7" t="s">
        <v>298</v>
      </c>
      <c r="J67" s="9" t="s">
        <v>302</v>
      </c>
      <c r="K67" s="8" t="n">
        <f aca="false">ROUND((IF(E67="Transactional",5,IF(E67="Commercial",4,IF(E67="Comparison",3,IF(E67="Informational",2,3))))*LOG10(IF(ISNUMBER(L67),L67,IFERROR(VALUE(LEFT(F67,FIND("-",F67)-1)),100))+1))/IF(IF(ISBLANK(M67),G67,M67)="High",5,IF(IF(ISBLANK(M67),G67,M67)="Medium",3,1)),2)</f>
        <v>2.32</v>
      </c>
      <c r="L67" s="6"/>
      <c r="M67" s="6"/>
      <c r="N67" s="6"/>
      <c r="O67" s="6" t="s">
        <v>123</v>
      </c>
      <c r="P67" s="7" t="s">
        <v>129</v>
      </c>
    </row>
    <row r="68" customFormat="false" ht="25.5" hidden="false" customHeight="true" outlineLevel="0" collapsed="false">
      <c r="A68" s="6" t="n">
        <v>67</v>
      </c>
      <c r="B68" s="6" t="n">
        <v>1</v>
      </c>
      <c r="C68" s="6" t="s">
        <v>115</v>
      </c>
      <c r="D68" s="7" t="s">
        <v>303</v>
      </c>
      <c r="E68" s="6" t="s">
        <v>117</v>
      </c>
      <c r="F68" s="7" t="s">
        <v>136</v>
      </c>
      <c r="G68" s="6" t="s">
        <v>137</v>
      </c>
      <c r="H68" s="6" t="s">
        <v>120</v>
      </c>
      <c r="I68" s="7" t="s">
        <v>298</v>
      </c>
      <c r="J68" s="7" t="s">
        <v>304</v>
      </c>
      <c r="K68" s="8" t="n">
        <f aca="false">ROUND((IF(E68="Transactional",5,IF(E68="Commercial",4,IF(E68="Comparison",3,IF(E68="Informational",2,3))))*LOG10(IF(ISNUMBER(L68),L68,IFERROR(VALUE(LEFT(F68,FIND("-",F68)-1)),100))+1))/IF(IF(ISBLANK(M68),G68,M68)="High",5,IF(IF(ISBLANK(M68),G68,M68)="Medium",3,1)),2)</f>
        <v>3.47</v>
      </c>
      <c r="L68" s="6"/>
      <c r="M68" s="6"/>
      <c r="N68" s="6"/>
      <c r="O68" s="6" t="s">
        <v>123</v>
      </c>
      <c r="P68" s="7" t="s">
        <v>305</v>
      </c>
    </row>
    <row r="69" customFormat="false" ht="25.5" hidden="false" customHeight="true" outlineLevel="0" collapsed="false">
      <c r="A69" s="6" t="n">
        <v>68</v>
      </c>
      <c r="B69" s="6" t="n">
        <v>1</v>
      </c>
      <c r="C69" s="6" t="s">
        <v>125</v>
      </c>
      <c r="D69" s="9" t="s">
        <v>306</v>
      </c>
      <c r="E69" s="6" t="s">
        <v>117</v>
      </c>
      <c r="F69" s="7" t="s">
        <v>141</v>
      </c>
      <c r="G69" s="6" t="s">
        <v>137</v>
      </c>
      <c r="H69" s="6" t="s">
        <v>120</v>
      </c>
      <c r="I69" s="7" t="s">
        <v>298</v>
      </c>
      <c r="J69" s="9" t="s">
        <v>307</v>
      </c>
      <c r="K69" s="8" t="n">
        <f aca="false">ROUND((IF(E69="Transactional",5,IF(E69="Commercial",4,IF(E69="Comparison",3,IF(E69="Informational",2,3))))*LOG10(IF(ISNUMBER(L69),L69,IFERROR(VALUE(LEFT(F69,FIND("-",F69)-1)),100))+1))/IF(IF(ISBLANK(M69),G69,M69)="High",5,IF(IF(ISBLANK(M69),G69,M69)="Medium",3,1)),2)</f>
        <v>3.39</v>
      </c>
      <c r="L69" s="6"/>
      <c r="M69" s="6"/>
      <c r="N69" s="6"/>
      <c r="O69" s="6" t="s">
        <v>123</v>
      </c>
      <c r="P69" s="7" t="s">
        <v>129</v>
      </c>
    </row>
    <row r="70" customFormat="false" ht="25.5" hidden="false" customHeight="true" outlineLevel="0" collapsed="false">
      <c r="A70" s="6" t="n">
        <v>69</v>
      </c>
      <c r="B70" s="6" t="n">
        <v>1</v>
      </c>
      <c r="C70" s="6" t="s">
        <v>115</v>
      </c>
      <c r="D70" s="7" t="s">
        <v>308</v>
      </c>
      <c r="E70" s="6" t="s">
        <v>117</v>
      </c>
      <c r="F70" s="7" t="s">
        <v>118</v>
      </c>
      <c r="G70" s="6" t="s">
        <v>119</v>
      </c>
      <c r="H70" s="6" t="s">
        <v>120</v>
      </c>
      <c r="I70" s="7" t="s">
        <v>309</v>
      </c>
      <c r="J70" s="7" t="s">
        <v>310</v>
      </c>
      <c r="K70" s="8" t="n">
        <f aca="false">ROUND((IF(E70="Transactional",5,IF(E70="Commercial",4,IF(E70="Comparison",3,IF(E70="Informational",2,3))))*LOG10(IF(ISNUMBER(L70),L70,IFERROR(VALUE(LEFT(F70,FIND("-",F70)-1)),100))+1))/IF(IF(ISBLANK(M70),G70,M70)="High",5,IF(IF(ISBLANK(M70),G70,M70)="Medium",3,1)),2)</f>
        <v>2.4</v>
      </c>
      <c r="L70" s="6"/>
      <c r="M70" s="6"/>
      <c r="N70" s="6"/>
      <c r="O70" s="6" t="s">
        <v>123</v>
      </c>
      <c r="P70" s="7" t="s">
        <v>311</v>
      </c>
    </row>
    <row r="71" customFormat="false" ht="25.5" hidden="false" customHeight="true" outlineLevel="0" collapsed="false">
      <c r="A71" s="6" t="n">
        <v>70</v>
      </c>
      <c r="B71" s="6" t="n">
        <v>1</v>
      </c>
      <c r="C71" s="6" t="s">
        <v>125</v>
      </c>
      <c r="D71" s="9" t="s">
        <v>312</v>
      </c>
      <c r="E71" s="6" t="s">
        <v>117</v>
      </c>
      <c r="F71" s="7" t="s">
        <v>127</v>
      </c>
      <c r="G71" s="6" t="s">
        <v>119</v>
      </c>
      <c r="H71" s="6" t="s">
        <v>120</v>
      </c>
      <c r="I71" s="7" t="s">
        <v>309</v>
      </c>
      <c r="J71" s="9" t="s">
        <v>313</v>
      </c>
      <c r="K71" s="8" t="n">
        <f aca="false">ROUND((IF(E71="Transactional",5,IF(E71="Commercial",4,IF(E71="Comparison",3,IF(E71="Informational",2,3))))*LOG10(IF(ISNUMBER(L71),L71,IFERROR(VALUE(LEFT(F71,FIND("-",F71)-1)),100))+1))/IF(IF(ISBLANK(M71),G71,M71)="High",5,IF(IF(ISBLANK(M71),G71,M71)="Medium",3,1)),2)</f>
        <v>2.32</v>
      </c>
      <c r="L71" s="6"/>
      <c r="M71" s="6"/>
      <c r="N71" s="6"/>
      <c r="O71" s="6" t="s">
        <v>123</v>
      </c>
      <c r="P71" s="7" t="s">
        <v>129</v>
      </c>
    </row>
    <row r="72" customFormat="false" ht="25.5" hidden="false" customHeight="true" outlineLevel="0" collapsed="false">
      <c r="A72" s="6" t="n">
        <v>71</v>
      </c>
      <c r="B72" s="6" t="n">
        <v>1</v>
      </c>
      <c r="C72" s="6" t="s">
        <v>115</v>
      </c>
      <c r="D72" s="7" t="s">
        <v>314</v>
      </c>
      <c r="E72" s="6" t="s">
        <v>117</v>
      </c>
      <c r="F72" s="7" t="s">
        <v>118</v>
      </c>
      <c r="G72" s="6" t="s">
        <v>119</v>
      </c>
      <c r="H72" s="6" t="s">
        <v>120</v>
      </c>
      <c r="I72" s="7" t="s">
        <v>309</v>
      </c>
      <c r="J72" s="7" t="s">
        <v>315</v>
      </c>
      <c r="K72" s="8" t="n">
        <f aca="false">ROUND((IF(E72="Transactional",5,IF(E72="Commercial",4,IF(E72="Comparison",3,IF(E72="Informational",2,3))))*LOG10(IF(ISNUMBER(L72),L72,IFERROR(VALUE(LEFT(F72,FIND("-",F72)-1)),100))+1))/IF(IF(ISBLANK(M72),G72,M72)="High",5,IF(IF(ISBLANK(M72),G72,M72)="Medium",3,1)),2)</f>
        <v>2.4</v>
      </c>
      <c r="L72" s="6"/>
      <c r="M72" s="6"/>
      <c r="N72" s="6"/>
      <c r="O72" s="6" t="s">
        <v>123</v>
      </c>
      <c r="P72" s="7" t="s">
        <v>316</v>
      </c>
    </row>
    <row r="73" customFormat="false" ht="25.5" hidden="false" customHeight="true" outlineLevel="0" collapsed="false">
      <c r="A73" s="6" t="n">
        <v>72</v>
      </c>
      <c r="B73" s="6" t="n">
        <v>1</v>
      </c>
      <c r="C73" s="6" t="s">
        <v>125</v>
      </c>
      <c r="D73" s="9" t="s">
        <v>317</v>
      </c>
      <c r="E73" s="6" t="s">
        <v>117</v>
      </c>
      <c r="F73" s="7" t="s">
        <v>127</v>
      </c>
      <c r="G73" s="6" t="s">
        <v>119</v>
      </c>
      <c r="H73" s="6" t="s">
        <v>120</v>
      </c>
      <c r="I73" s="7" t="s">
        <v>309</v>
      </c>
      <c r="J73" s="9" t="s">
        <v>318</v>
      </c>
      <c r="K73" s="8" t="n">
        <f aca="false">ROUND((IF(E73="Transactional",5,IF(E73="Commercial",4,IF(E73="Comparison",3,IF(E73="Informational",2,3))))*LOG10(IF(ISNUMBER(L73),L73,IFERROR(VALUE(LEFT(F73,FIND("-",F73)-1)),100))+1))/IF(IF(ISBLANK(M73),G73,M73)="High",5,IF(IF(ISBLANK(M73),G73,M73)="Medium",3,1)),2)</f>
        <v>2.32</v>
      </c>
      <c r="L73" s="6"/>
      <c r="M73" s="6"/>
      <c r="N73" s="6"/>
      <c r="O73" s="6" t="s">
        <v>123</v>
      </c>
      <c r="P73" s="7" t="s">
        <v>129</v>
      </c>
    </row>
    <row r="74" customFormat="false" ht="25.5" hidden="false" customHeight="true" outlineLevel="0" collapsed="false">
      <c r="A74" s="6" t="n">
        <v>73</v>
      </c>
      <c r="B74" s="6" t="n">
        <v>1</v>
      </c>
      <c r="C74" s="6" t="s">
        <v>115</v>
      </c>
      <c r="D74" s="7" t="s">
        <v>319</v>
      </c>
      <c r="E74" s="6" t="s">
        <v>117</v>
      </c>
      <c r="F74" s="7" t="s">
        <v>136</v>
      </c>
      <c r="G74" s="6" t="s">
        <v>137</v>
      </c>
      <c r="H74" s="6" t="s">
        <v>120</v>
      </c>
      <c r="I74" s="7" t="s">
        <v>309</v>
      </c>
      <c r="J74" s="7" t="s">
        <v>320</v>
      </c>
      <c r="K74" s="8" t="n">
        <f aca="false">ROUND((IF(E74="Transactional",5,IF(E74="Commercial",4,IF(E74="Comparison",3,IF(E74="Informational",2,3))))*LOG10(IF(ISNUMBER(L74),L74,IFERROR(VALUE(LEFT(F74,FIND("-",F74)-1)),100))+1))/IF(IF(ISBLANK(M74),G74,M74)="High",5,IF(IF(ISBLANK(M74),G74,M74)="Medium",3,1)),2)</f>
        <v>3.47</v>
      </c>
      <c r="L74" s="6"/>
      <c r="M74" s="6"/>
      <c r="N74" s="6"/>
      <c r="O74" s="6" t="s">
        <v>123</v>
      </c>
      <c r="P74" s="7" t="s">
        <v>321</v>
      </c>
    </row>
    <row r="75" customFormat="false" ht="25.5" hidden="false" customHeight="true" outlineLevel="0" collapsed="false">
      <c r="A75" s="6" t="n">
        <v>74</v>
      </c>
      <c r="B75" s="6" t="n">
        <v>1</v>
      </c>
      <c r="C75" s="6" t="s">
        <v>125</v>
      </c>
      <c r="D75" s="9" t="s">
        <v>322</v>
      </c>
      <c r="E75" s="6" t="s">
        <v>117</v>
      </c>
      <c r="F75" s="7" t="s">
        <v>141</v>
      </c>
      <c r="G75" s="6" t="s">
        <v>137</v>
      </c>
      <c r="H75" s="6" t="s">
        <v>120</v>
      </c>
      <c r="I75" s="7" t="s">
        <v>309</v>
      </c>
      <c r="J75" s="9" t="s">
        <v>323</v>
      </c>
      <c r="K75" s="8" t="n">
        <f aca="false">ROUND((IF(E75="Transactional",5,IF(E75="Commercial",4,IF(E75="Comparison",3,IF(E75="Informational",2,3))))*LOG10(IF(ISNUMBER(L75),L75,IFERROR(VALUE(LEFT(F75,FIND("-",F75)-1)),100))+1))/IF(IF(ISBLANK(M75),G75,M75)="High",5,IF(IF(ISBLANK(M75),G75,M75)="Medium",3,1)),2)</f>
        <v>3.39</v>
      </c>
      <c r="L75" s="6"/>
      <c r="M75" s="6"/>
      <c r="N75" s="6"/>
      <c r="O75" s="6" t="s">
        <v>123</v>
      </c>
      <c r="P75" s="7" t="s">
        <v>129</v>
      </c>
    </row>
    <row r="76" customFormat="false" ht="25.5" hidden="false" customHeight="true" outlineLevel="0" collapsed="false">
      <c r="A76" s="6" t="n">
        <v>75</v>
      </c>
      <c r="B76" s="6" t="n">
        <v>1</v>
      </c>
      <c r="C76" s="6" t="s">
        <v>115</v>
      </c>
      <c r="D76" s="7" t="s">
        <v>324</v>
      </c>
      <c r="E76" s="6" t="s">
        <v>117</v>
      </c>
      <c r="F76" s="7" t="s">
        <v>136</v>
      </c>
      <c r="G76" s="6" t="s">
        <v>137</v>
      </c>
      <c r="H76" s="6" t="s">
        <v>120</v>
      </c>
      <c r="I76" s="7" t="s">
        <v>325</v>
      </c>
      <c r="J76" s="7" t="s">
        <v>326</v>
      </c>
      <c r="K76" s="8" t="n">
        <f aca="false">ROUND((IF(E76="Transactional",5,IF(E76="Commercial",4,IF(E76="Comparison",3,IF(E76="Informational",2,3))))*LOG10(IF(ISNUMBER(L76),L76,IFERROR(VALUE(LEFT(F76,FIND("-",F76)-1)),100))+1))/IF(IF(ISBLANK(M76),G76,M76)="High",5,IF(IF(ISBLANK(M76),G76,M76)="Medium",3,1)),2)</f>
        <v>3.47</v>
      </c>
      <c r="L76" s="6"/>
      <c r="M76" s="6"/>
      <c r="N76" s="6"/>
      <c r="O76" s="6" t="s">
        <v>123</v>
      </c>
      <c r="P76" s="7" t="s">
        <v>327</v>
      </c>
    </row>
    <row r="77" customFormat="false" ht="25.5" hidden="false" customHeight="true" outlineLevel="0" collapsed="false">
      <c r="A77" s="6" t="n">
        <v>76</v>
      </c>
      <c r="B77" s="6" t="n">
        <v>1</v>
      </c>
      <c r="C77" s="6" t="s">
        <v>125</v>
      </c>
      <c r="D77" s="9" t="s">
        <v>328</v>
      </c>
      <c r="E77" s="6" t="s">
        <v>117</v>
      </c>
      <c r="F77" s="7" t="s">
        <v>141</v>
      </c>
      <c r="G77" s="6" t="s">
        <v>137</v>
      </c>
      <c r="H77" s="6" t="s">
        <v>120</v>
      </c>
      <c r="I77" s="7" t="s">
        <v>325</v>
      </c>
      <c r="J77" s="9" t="s">
        <v>329</v>
      </c>
      <c r="K77" s="8" t="n">
        <f aca="false">ROUND((IF(E77="Transactional",5,IF(E77="Commercial",4,IF(E77="Comparison",3,IF(E77="Informational",2,3))))*LOG10(IF(ISNUMBER(L77),L77,IFERROR(VALUE(LEFT(F77,FIND("-",F77)-1)),100))+1))/IF(IF(ISBLANK(M77),G77,M77)="High",5,IF(IF(ISBLANK(M77),G77,M77)="Medium",3,1)),2)</f>
        <v>3.39</v>
      </c>
      <c r="L77" s="6"/>
      <c r="M77" s="6"/>
      <c r="N77" s="6"/>
      <c r="O77" s="6" t="s">
        <v>123</v>
      </c>
      <c r="P77" s="7" t="s">
        <v>129</v>
      </c>
    </row>
    <row r="78" customFormat="false" ht="25.5" hidden="false" customHeight="true" outlineLevel="0" collapsed="false">
      <c r="A78" s="6" t="n">
        <v>77</v>
      </c>
      <c r="B78" s="6" t="n">
        <v>1</v>
      </c>
      <c r="C78" s="6" t="s">
        <v>115</v>
      </c>
      <c r="D78" s="7" t="s">
        <v>330</v>
      </c>
      <c r="E78" s="6" t="s">
        <v>117</v>
      </c>
      <c r="F78" s="7" t="s">
        <v>118</v>
      </c>
      <c r="G78" s="6" t="s">
        <v>119</v>
      </c>
      <c r="H78" s="6" t="s">
        <v>120</v>
      </c>
      <c r="I78" s="7" t="s">
        <v>325</v>
      </c>
      <c r="J78" s="7" t="s">
        <v>331</v>
      </c>
      <c r="K78" s="8" t="n">
        <f aca="false">ROUND((IF(E78="Transactional",5,IF(E78="Commercial",4,IF(E78="Comparison",3,IF(E78="Informational",2,3))))*LOG10(IF(ISNUMBER(L78),L78,IFERROR(VALUE(LEFT(F78,FIND("-",F78)-1)),100))+1))/IF(IF(ISBLANK(M78),G78,M78)="High",5,IF(IF(ISBLANK(M78),G78,M78)="Medium",3,1)),2)</f>
        <v>2.4</v>
      </c>
      <c r="L78" s="6"/>
      <c r="M78" s="6"/>
      <c r="N78" s="6"/>
      <c r="O78" s="6" t="s">
        <v>123</v>
      </c>
      <c r="P78" s="7" t="s">
        <v>332</v>
      </c>
    </row>
    <row r="79" customFormat="false" ht="25.5" hidden="false" customHeight="true" outlineLevel="0" collapsed="false">
      <c r="A79" s="6" t="n">
        <v>78</v>
      </c>
      <c r="B79" s="6" t="n">
        <v>1</v>
      </c>
      <c r="C79" s="6" t="s">
        <v>125</v>
      </c>
      <c r="D79" s="9" t="s">
        <v>333</v>
      </c>
      <c r="E79" s="6" t="s">
        <v>117</v>
      </c>
      <c r="F79" s="7" t="s">
        <v>127</v>
      </c>
      <c r="G79" s="6" t="s">
        <v>119</v>
      </c>
      <c r="H79" s="6" t="s">
        <v>120</v>
      </c>
      <c r="I79" s="7" t="s">
        <v>325</v>
      </c>
      <c r="J79" s="9" t="s">
        <v>334</v>
      </c>
      <c r="K79" s="8" t="n">
        <f aca="false">ROUND((IF(E79="Transactional",5,IF(E79="Commercial",4,IF(E79="Comparison",3,IF(E79="Informational",2,3))))*LOG10(IF(ISNUMBER(L79),L79,IFERROR(VALUE(LEFT(F79,FIND("-",F79)-1)),100))+1))/IF(IF(ISBLANK(M79),G79,M79)="High",5,IF(IF(ISBLANK(M79),G79,M79)="Medium",3,1)),2)</f>
        <v>2.32</v>
      </c>
      <c r="L79" s="6"/>
      <c r="M79" s="6"/>
      <c r="N79" s="6"/>
      <c r="O79" s="6" t="s">
        <v>123</v>
      </c>
      <c r="P79" s="7" t="s">
        <v>129</v>
      </c>
    </row>
    <row r="80" customFormat="false" ht="25.5" hidden="false" customHeight="true" outlineLevel="0" collapsed="false">
      <c r="A80" s="6" t="n">
        <v>79</v>
      </c>
      <c r="B80" s="6" t="n">
        <v>1</v>
      </c>
      <c r="C80" s="6" t="s">
        <v>115</v>
      </c>
      <c r="D80" s="7" t="s">
        <v>335</v>
      </c>
      <c r="E80" s="6" t="s">
        <v>117</v>
      </c>
      <c r="F80" s="7" t="s">
        <v>136</v>
      </c>
      <c r="G80" s="6" t="s">
        <v>137</v>
      </c>
      <c r="H80" s="6" t="s">
        <v>120</v>
      </c>
      <c r="I80" s="7" t="s">
        <v>325</v>
      </c>
      <c r="J80" s="7" t="s">
        <v>336</v>
      </c>
      <c r="K80" s="8" t="n">
        <f aca="false">ROUND((IF(E80="Transactional",5,IF(E80="Commercial",4,IF(E80="Comparison",3,IF(E80="Informational",2,3))))*LOG10(IF(ISNUMBER(L80),L80,IFERROR(VALUE(LEFT(F80,FIND("-",F80)-1)),100))+1))/IF(IF(ISBLANK(M80),G80,M80)="High",5,IF(IF(ISBLANK(M80),G80,M80)="Medium",3,1)),2)</f>
        <v>3.47</v>
      </c>
      <c r="L80" s="6"/>
      <c r="M80" s="6"/>
      <c r="N80" s="6"/>
      <c r="O80" s="6" t="s">
        <v>123</v>
      </c>
      <c r="P80" s="7" t="s">
        <v>337</v>
      </c>
    </row>
    <row r="81" customFormat="false" ht="25.5" hidden="false" customHeight="true" outlineLevel="0" collapsed="false">
      <c r="A81" s="6" t="n">
        <v>80</v>
      </c>
      <c r="B81" s="6" t="n">
        <v>1</v>
      </c>
      <c r="C81" s="6" t="s">
        <v>125</v>
      </c>
      <c r="D81" s="9" t="s">
        <v>338</v>
      </c>
      <c r="E81" s="6" t="s">
        <v>117</v>
      </c>
      <c r="F81" s="7" t="s">
        <v>141</v>
      </c>
      <c r="G81" s="6" t="s">
        <v>137</v>
      </c>
      <c r="H81" s="6" t="s">
        <v>120</v>
      </c>
      <c r="I81" s="7" t="s">
        <v>325</v>
      </c>
      <c r="J81" s="9" t="s">
        <v>339</v>
      </c>
      <c r="K81" s="8" t="n">
        <f aca="false">ROUND((IF(E81="Transactional",5,IF(E81="Commercial",4,IF(E81="Comparison",3,IF(E81="Informational",2,3))))*LOG10(IF(ISNUMBER(L81),L81,IFERROR(VALUE(LEFT(F81,FIND("-",F81)-1)),100))+1))/IF(IF(ISBLANK(M81),G81,M81)="High",5,IF(IF(ISBLANK(M81),G81,M81)="Medium",3,1)),2)</f>
        <v>3.39</v>
      </c>
      <c r="L81" s="6"/>
      <c r="M81" s="6"/>
      <c r="N81" s="6"/>
      <c r="O81" s="6" t="s">
        <v>123</v>
      </c>
      <c r="P81" s="7" t="s">
        <v>129</v>
      </c>
    </row>
    <row r="82" customFormat="false" ht="25.5" hidden="false" customHeight="true" outlineLevel="0" collapsed="false">
      <c r="A82" s="6" t="n">
        <v>81</v>
      </c>
      <c r="B82" s="6" t="n">
        <v>1</v>
      </c>
      <c r="C82" s="6" t="s">
        <v>115</v>
      </c>
      <c r="D82" s="7" t="s">
        <v>340</v>
      </c>
      <c r="E82" s="6" t="s">
        <v>117</v>
      </c>
      <c r="F82" s="7" t="s">
        <v>136</v>
      </c>
      <c r="G82" s="6" t="s">
        <v>137</v>
      </c>
      <c r="H82" s="6" t="s">
        <v>120</v>
      </c>
      <c r="I82" s="7" t="s">
        <v>341</v>
      </c>
      <c r="J82" s="7" t="s">
        <v>342</v>
      </c>
      <c r="K82" s="8" t="n">
        <f aca="false">ROUND((IF(E82="Transactional",5,IF(E82="Commercial",4,IF(E82="Comparison",3,IF(E82="Informational",2,3))))*LOG10(IF(ISNUMBER(L82),L82,IFERROR(VALUE(LEFT(F82,FIND("-",F82)-1)),100))+1))/IF(IF(ISBLANK(M82),G82,M82)="High",5,IF(IF(ISBLANK(M82),G82,M82)="Medium",3,1)),2)</f>
        <v>3.47</v>
      </c>
      <c r="L82" s="6"/>
      <c r="M82" s="6"/>
      <c r="N82" s="6"/>
      <c r="O82" s="6" t="s">
        <v>123</v>
      </c>
      <c r="P82" s="7" t="s">
        <v>343</v>
      </c>
    </row>
    <row r="83" customFormat="false" ht="25.5" hidden="false" customHeight="true" outlineLevel="0" collapsed="false">
      <c r="A83" s="6" t="n">
        <v>82</v>
      </c>
      <c r="B83" s="6" t="n">
        <v>1</v>
      </c>
      <c r="C83" s="6" t="s">
        <v>125</v>
      </c>
      <c r="D83" s="9" t="s">
        <v>344</v>
      </c>
      <c r="E83" s="6" t="s">
        <v>117</v>
      </c>
      <c r="F83" s="7" t="s">
        <v>141</v>
      </c>
      <c r="G83" s="6" t="s">
        <v>137</v>
      </c>
      <c r="H83" s="6" t="s">
        <v>120</v>
      </c>
      <c r="I83" s="7" t="s">
        <v>341</v>
      </c>
      <c r="J83" s="9" t="s">
        <v>345</v>
      </c>
      <c r="K83" s="8" t="n">
        <f aca="false">ROUND((IF(E83="Transactional",5,IF(E83="Commercial",4,IF(E83="Comparison",3,IF(E83="Informational",2,3))))*LOG10(IF(ISNUMBER(L83),L83,IFERROR(VALUE(LEFT(F83,FIND("-",F83)-1)),100))+1))/IF(IF(ISBLANK(M83),G83,M83)="High",5,IF(IF(ISBLANK(M83),G83,M83)="Medium",3,1)),2)</f>
        <v>3.39</v>
      </c>
      <c r="L83" s="6"/>
      <c r="M83" s="6"/>
      <c r="N83" s="6"/>
      <c r="O83" s="6" t="s">
        <v>123</v>
      </c>
      <c r="P83" s="7" t="s">
        <v>129</v>
      </c>
    </row>
    <row r="84" customFormat="false" ht="25.5" hidden="false" customHeight="true" outlineLevel="0" collapsed="false">
      <c r="A84" s="6" t="n">
        <v>83</v>
      </c>
      <c r="B84" s="6" t="n">
        <v>1</v>
      </c>
      <c r="C84" s="6" t="s">
        <v>115</v>
      </c>
      <c r="D84" s="7" t="s">
        <v>346</v>
      </c>
      <c r="E84" s="6" t="s">
        <v>117</v>
      </c>
      <c r="F84" s="7" t="s">
        <v>136</v>
      </c>
      <c r="G84" s="6" t="s">
        <v>137</v>
      </c>
      <c r="H84" s="6" t="s">
        <v>120</v>
      </c>
      <c r="I84" s="7" t="s">
        <v>341</v>
      </c>
      <c r="J84" s="7" t="s">
        <v>347</v>
      </c>
      <c r="K84" s="8" t="n">
        <f aca="false">ROUND((IF(E84="Transactional",5,IF(E84="Commercial",4,IF(E84="Comparison",3,IF(E84="Informational",2,3))))*LOG10(IF(ISNUMBER(L84),L84,IFERROR(VALUE(LEFT(F84,FIND("-",F84)-1)),100))+1))/IF(IF(ISBLANK(M84),G84,M84)="High",5,IF(IF(ISBLANK(M84),G84,M84)="Medium",3,1)),2)</f>
        <v>3.47</v>
      </c>
      <c r="L84" s="6"/>
      <c r="M84" s="6"/>
      <c r="N84" s="6"/>
      <c r="O84" s="6" t="s">
        <v>123</v>
      </c>
      <c r="P84" s="7" t="s">
        <v>348</v>
      </c>
    </row>
    <row r="85" customFormat="false" ht="25.5" hidden="false" customHeight="true" outlineLevel="0" collapsed="false">
      <c r="A85" s="6" t="n">
        <v>84</v>
      </c>
      <c r="B85" s="6" t="n">
        <v>1</v>
      </c>
      <c r="C85" s="6" t="s">
        <v>125</v>
      </c>
      <c r="D85" s="9" t="s">
        <v>349</v>
      </c>
      <c r="E85" s="6" t="s">
        <v>117</v>
      </c>
      <c r="F85" s="7" t="s">
        <v>141</v>
      </c>
      <c r="G85" s="6" t="s">
        <v>137</v>
      </c>
      <c r="H85" s="6" t="s">
        <v>120</v>
      </c>
      <c r="I85" s="7" t="s">
        <v>341</v>
      </c>
      <c r="J85" s="9" t="s">
        <v>350</v>
      </c>
      <c r="K85" s="8" t="n">
        <f aca="false">ROUND((IF(E85="Transactional",5,IF(E85="Commercial",4,IF(E85="Comparison",3,IF(E85="Informational",2,3))))*LOG10(IF(ISNUMBER(L85),L85,IFERROR(VALUE(LEFT(F85,FIND("-",F85)-1)),100))+1))/IF(IF(ISBLANK(M85),G85,M85)="High",5,IF(IF(ISBLANK(M85),G85,M85)="Medium",3,1)),2)</f>
        <v>3.39</v>
      </c>
      <c r="L85" s="6"/>
      <c r="M85" s="6"/>
      <c r="N85" s="6"/>
      <c r="O85" s="6" t="s">
        <v>123</v>
      </c>
      <c r="P85" s="7" t="s">
        <v>129</v>
      </c>
    </row>
    <row r="86" customFormat="false" ht="25.5" hidden="false" customHeight="true" outlineLevel="0" collapsed="false">
      <c r="A86" s="6" t="n">
        <v>85</v>
      </c>
      <c r="B86" s="6" t="n">
        <v>1</v>
      </c>
      <c r="C86" s="6" t="s">
        <v>115</v>
      </c>
      <c r="D86" s="7" t="s">
        <v>351</v>
      </c>
      <c r="E86" s="6" t="s">
        <v>117</v>
      </c>
      <c r="F86" s="7" t="s">
        <v>118</v>
      </c>
      <c r="G86" s="6" t="s">
        <v>119</v>
      </c>
      <c r="H86" s="6" t="s">
        <v>120</v>
      </c>
      <c r="I86" s="7" t="s">
        <v>352</v>
      </c>
      <c r="J86" s="7" t="s">
        <v>353</v>
      </c>
      <c r="K86" s="8" t="n">
        <f aca="false">ROUND((IF(E86="Transactional",5,IF(E86="Commercial",4,IF(E86="Comparison",3,IF(E86="Informational",2,3))))*LOG10(IF(ISNUMBER(L86),L86,IFERROR(VALUE(LEFT(F86,FIND("-",F86)-1)),100))+1))/IF(IF(ISBLANK(M86),G86,M86)="High",5,IF(IF(ISBLANK(M86),G86,M86)="Medium",3,1)),2)</f>
        <v>2.4</v>
      </c>
      <c r="L86" s="6"/>
      <c r="M86" s="6"/>
      <c r="N86" s="6"/>
      <c r="O86" s="6" t="s">
        <v>123</v>
      </c>
      <c r="P86" s="7" t="s">
        <v>354</v>
      </c>
    </row>
    <row r="87" customFormat="false" ht="25.5" hidden="false" customHeight="true" outlineLevel="0" collapsed="false">
      <c r="A87" s="6" t="n">
        <v>86</v>
      </c>
      <c r="B87" s="6" t="n">
        <v>1</v>
      </c>
      <c r="C87" s="6" t="s">
        <v>125</v>
      </c>
      <c r="D87" s="9" t="s">
        <v>355</v>
      </c>
      <c r="E87" s="6" t="s">
        <v>117</v>
      </c>
      <c r="F87" s="7" t="s">
        <v>127</v>
      </c>
      <c r="G87" s="6" t="s">
        <v>119</v>
      </c>
      <c r="H87" s="6" t="s">
        <v>120</v>
      </c>
      <c r="I87" s="7" t="s">
        <v>352</v>
      </c>
      <c r="J87" s="9" t="s">
        <v>356</v>
      </c>
      <c r="K87" s="8" t="n">
        <f aca="false">ROUND((IF(E87="Transactional",5,IF(E87="Commercial",4,IF(E87="Comparison",3,IF(E87="Informational",2,3))))*LOG10(IF(ISNUMBER(L87),L87,IFERROR(VALUE(LEFT(F87,FIND("-",F87)-1)),100))+1))/IF(IF(ISBLANK(M87),G87,M87)="High",5,IF(IF(ISBLANK(M87),G87,M87)="Medium",3,1)),2)</f>
        <v>2.32</v>
      </c>
      <c r="L87" s="6"/>
      <c r="M87" s="6"/>
      <c r="N87" s="6"/>
      <c r="O87" s="6" t="s">
        <v>123</v>
      </c>
      <c r="P87" s="7" t="s">
        <v>129</v>
      </c>
    </row>
    <row r="88" customFormat="false" ht="25.5" hidden="false" customHeight="true" outlineLevel="0" collapsed="false">
      <c r="A88" s="6" t="n">
        <v>87</v>
      </c>
      <c r="B88" s="6" t="n">
        <v>1</v>
      </c>
      <c r="C88" s="6" t="s">
        <v>115</v>
      </c>
      <c r="D88" s="7" t="s">
        <v>357</v>
      </c>
      <c r="E88" s="6" t="s">
        <v>117</v>
      </c>
      <c r="F88" s="7" t="s">
        <v>136</v>
      </c>
      <c r="G88" s="6" t="s">
        <v>137</v>
      </c>
      <c r="H88" s="6" t="s">
        <v>120</v>
      </c>
      <c r="I88" s="7" t="s">
        <v>352</v>
      </c>
      <c r="J88" s="7" t="s">
        <v>358</v>
      </c>
      <c r="K88" s="8" t="n">
        <f aca="false">ROUND((IF(E88="Transactional",5,IF(E88="Commercial",4,IF(E88="Comparison",3,IF(E88="Informational",2,3))))*LOG10(IF(ISNUMBER(L88),L88,IFERROR(VALUE(LEFT(F88,FIND("-",F88)-1)),100))+1))/IF(IF(ISBLANK(M88),G88,M88)="High",5,IF(IF(ISBLANK(M88),G88,M88)="Medium",3,1)),2)</f>
        <v>3.47</v>
      </c>
      <c r="L88" s="6"/>
      <c r="M88" s="6"/>
      <c r="N88" s="6"/>
      <c r="O88" s="6" t="s">
        <v>123</v>
      </c>
      <c r="P88" s="7" t="s">
        <v>359</v>
      </c>
    </row>
    <row r="89" customFormat="false" ht="25.5" hidden="false" customHeight="true" outlineLevel="0" collapsed="false">
      <c r="A89" s="6" t="n">
        <v>88</v>
      </c>
      <c r="B89" s="6" t="n">
        <v>1</v>
      </c>
      <c r="C89" s="6" t="s">
        <v>125</v>
      </c>
      <c r="D89" s="9" t="s">
        <v>360</v>
      </c>
      <c r="E89" s="6" t="s">
        <v>117</v>
      </c>
      <c r="F89" s="7" t="s">
        <v>141</v>
      </c>
      <c r="G89" s="6" t="s">
        <v>137</v>
      </c>
      <c r="H89" s="6" t="s">
        <v>120</v>
      </c>
      <c r="I89" s="7" t="s">
        <v>352</v>
      </c>
      <c r="J89" s="9" t="s">
        <v>361</v>
      </c>
      <c r="K89" s="8" t="n">
        <f aca="false">ROUND((IF(E89="Transactional",5,IF(E89="Commercial",4,IF(E89="Comparison",3,IF(E89="Informational",2,3))))*LOG10(IF(ISNUMBER(L89),L89,IFERROR(VALUE(LEFT(F89,FIND("-",F89)-1)),100))+1))/IF(IF(ISBLANK(M89),G89,M89)="High",5,IF(IF(ISBLANK(M89),G89,M89)="Medium",3,1)),2)</f>
        <v>3.39</v>
      </c>
      <c r="L89" s="6"/>
      <c r="M89" s="6"/>
      <c r="N89" s="6"/>
      <c r="O89" s="6" t="s">
        <v>123</v>
      </c>
      <c r="P89" s="7" t="s">
        <v>129</v>
      </c>
    </row>
    <row r="90" customFormat="false" ht="25.5" hidden="false" customHeight="true" outlineLevel="0" collapsed="false">
      <c r="A90" s="6" t="n">
        <v>89</v>
      </c>
      <c r="B90" s="6" t="n">
        <v>1</v>
      </c>
      <c r="C90" s="6" t="s">
        <v>115</v>
      </c>
      <c r="D90" s="7" t="s">
        <v>362</v>
      </c>
      <c r="E90" s="6" t="s">
        <v>117</v>
      </c>
      <c r="F90" s="7" t="s">
        <v>118</v>
      </c>
      <c r="G90" s="6" t="s">
        <v>119</v>
      </c>
      <c r="H90" s="6" t="s">
        <v>120</v>
      </c>
      <c r="I90" s="7" t="s">
        <v>352</v>
      </c>
      <c r="J90" s="7" t="s">
        <v>363</v>
      </c>
      <c r="K90" s="8" t="n">
        <f aca="false">ROUND((IF(E90="Transactional",5,IF(E90="Commercial",4,IF(E90="Comparison",3,IF(E90="Informational",2,3))))*LOG10(IF(ISNUMBER(L90),L90,IFERROR(VALUE(LEFT(F90,FIND("-",F90)-1)),100))+1))/IF(IF(ISBLANK(M90),G90,M90)="High",5,IF(IF(ISBLANK(M90),G90,M90)="Medium",3,1)),2)</f>
        <v>2.4</v>
      </c>
      <c r="L90" s="6"/>
      <c r="M90" s="6"/>
      <c r="N90" s="6"/>
      <c r="O90" s="6" t="s">
        <v>123</v>
      </c>
      <c r="P90" s="7" t="s">
        <v>364</v>
      </c>
    </row>
    <row r="91" customFormat="false" ht="25.5" hidden="false" customHeight="true" outlineLevel="0" collapsed="false">
      <c r="A91" s="6" t="n">
        <v>90</v>
      </c>
      <c r="B91" s="6" t="n">
        <v>1</v>
      </c>
      <c r="C91" s="6" t="s">
        <v>125</v>
      </c>
      <c r="D91" s="9" t="s">
        <v>365</v>
      </c>
      <c r="E91" s="6" t="s">
        <v>117</v>
      </c>
      <c r="F91" s="7" t="s">
        <v>127</v>
      </c>
      <c r="G91" s="6" t="s">
        <v>119</v>
      </c>
      <c r="H91" s="6" t="s">
        <v>120</v>
      </c>
      <c r="I91" s="7" t="s">
        <v>352</v>
      </c>
      <c r="J91" s="9" t="s">
        <v>366</v>
      </c>
      <c r="K91" s="8" t="n">
        <f aca="false">ROUND((IF(E91="Transactional",5,IF(E91="Commercial",4,IF(E91="Comparison",3,IF(E91="Informational",2,3))))*LOG10(IF(ISNUMBER(L91),L91,IFERROR(VALUE(LEFT(F91,FIND("-",F91)-1)),100))+1))/IF(IF(ISBLANK(M91),G91,M91)="High",5,IF(IF(ISBLANK(M91),G91,M91)="Medium",3,1)),2)</f>
        <v>2.32</v>
      </c>
      <c r="L91" s="6"/>
      <c r="M91" s="6"/>
      <c r="N91" s="6"/>
      <c r="O91" s="6" t="s">
        <v>123</v>
      </c>
      <c r="P91" s="7" t="s">
        <v>129</v>
      </c>
    </row>
    <row r="92" customFormat="false" ht="25.5" hidden="false" customHeight="true" outlineLevel="0" collapsed="false">
      <c r="A92" s="6" t="n">
        <v>91</v>
      </c>
      <c r="B92" s="6" t="n">
        <v>1</v>
      </c>
      <c r="C92" s="6" t="s">
        <v>115</v>
      </c>
      <c r="D92" s="7" t="s">
        <v>367</v>
      </c>
      <c r="E92" s="6" t="s">
        <v>117</v>
      </c>
      <c r="F92" s="7" t="s">
        <v>118</v>
      </c>
      <c r="G92" s="6" t="s">
        <v>119</v>
      </c>
      <c r="H92" s="6" t="s">
        <v>120</v>
      </c>
      <c r="I92" s="7" t="s">
        <v>368</v>
      </c>
      <c r="J92" s="7" t="s">
        <v>369</v>
      </c>
      <c r="K92" s="8" t="n">
        <f aca="false">ROUND((IF(E92="Transactional",5,IF(E92="Commercial",4,IF(E92="Comparison",3,IF(E92="Informational",2,3))))*LOG10(IF(ISNUMBER(L92),L92,IFERROR(VALUE(LEFT(F92,FIND("-",F92)-1)),100))+1))/IF(IF(ISBLANK(M92),G92,M92)="High",5,IF(IF(ISBLANK(M92),G92,M92)="Medium",3,1)),2)</f>
        <v>2.4</v>
      </c>
      <c r="L92" s="6"/>
      <c r="M92" s="6"/>
      <c r="N92" s="6"/>
      <c r="O92" s="6" t="s">
        <v>123</v>
      </c>
      <c r="P92" s="7" t="s">
        <v>370</v>
      </c>
    </row>
    <row r="93" customFormat="false" ht="25.5" hidden="false" customHeight="true" outlineLevel="0" collapsed="false">
      <c r="A93" s="6" t="n">
        <v>92</v>
      </c>
      <c r="B93" s="6" t="n">
        <v>1</v>
      </c>
      <c r="C93" s="6" t="s">
        <v>125</v>
      </c>
      <c r="D93" s="9" t="s">
        <v>371</v>
      </c>
      <c r="E93" s="6" t="s">
        <v>117</v>
      </c>
      <c r="F93" s="7" t="s">
        <v>127</v>
      </c>
      <c r="G93" s="6" t="s">
        <v>119</v>
      </c>
      <c r="H93" s="6" t="s">
        <v>120</v>
      </c>
      <c r="I93" s="7" t="s">
        <v>368</v>
      </c>
      <c r="J93" s="9" t="s">
        <v>372</v>
      </c>
      <c r="K93" s="8" t="n">
        <f aca="false">ROUND((IF(E93="Transactional",5,IF(E93="Commercial",4,IF(E93="Comparison",3,IF(E93="Informational",2,3))))*LOG10(IF(ISNUMBER(L93),L93,IFERROR(VALUE(LEFT(F93,FIND("-",F93)-1)),100))+1))/IF(IF(ISBLANK(M93),G93,M93)="High",5,IF(IF(ISBLANK(M93),G93,M93)="Medium",3,1)),2)</f>
        <v>2.32</v>
      </c>
      <c r="L93" s="6"/>
      <c r="M93" s="6"/>
      <c r="N93" s="6"/>
      <c r="O93" s="6" t="s">
        <v>123</v>
      </c>
      <c r="P93" s="7" t="s">
        <v>129</v>
      </c>
    </row>
    <row r="94" customFormat="false" ht="25.5" hidden="false" customHeight="true" outlineLevel="0" collapsed="false">
      <c r="A94" s="6" t="n">
        <v>93</v>
      </c>
      <c r="B94" s="6" t="n">
        <v>1</v>
      </c>
      <c r="C94" s="6" t="s">
        <v>115</v>
      </c>
      <c r="D94" s="7" t="s">
        <v>373</v>
      </c>
      <c r="E94" s="6" t="s">
        <v>117</v>
      </c>
      <c r="F94" s="7" t="s">
        <v>136</v>
      </c>
      <c r="G94" s="6" t="s">
        <v>137</v>
      </c>
      <c r="H94" s="6" t="s">
        <v>120</v>
      </c>
      <c r="I94" s="7" t="s">
        <v>368</v>
      </c>
      <c r="J94" s="7" t="s">
        <v>374</v>
      </c>
      <c r="K94" s="8" t="n">
        <f aca="false">ROUND((IF(E94="Transactional",5,IF(E94="Commercial",4,IF(E94="Comparison",3,IF(E94="Informational",2,3))))*LOG10(IF(ISNUMBER(L94),L94,IFERROR(VALUE(LEFT(F94,FIND("-",F94)-1)),100))+1))/IF(IF(ISBLANK(M94),G94,M94)="High",5,IF(IF(ISBLANK(M94),G94,M94)="Medium",3,1)),2)</f>
        <v>3.47</v>
      </c>
      <c r="L94" s="6"/>
      <c r="M94" s="6"/>
      <c r="N94" s="6"/>
      <c r="O94" s="6" t="s">
        <v>123</v>
      </c>
      <c r="P94" s="7" t="s">
        <v>375</v>
      </c>
    </row>
    <row r="95" customFormat="false" ht="25.5" hidden="false" customHeight="true" outlineLevel="0" collapsed="false">
      <c r="A95" s="6" t="n">
        <v>94</v>
      </c>
      <c r="B95" s="6" t="n">
        <v>1</v>
      </c>
      <c r="C95" s="6" t="s">
        <v>125</v>
      </c>
      <c r="D95" s="9" t="s">
        <v>376</v>
      </c>
      <c r="E95" s="6" t="s">
        <v>117</v>
      </c>
      <c r="F95" s="7" t="s">
        <v>141</v>
      </c>
      <c r="G95" s="6" t="s">
        <v>137</v>
      </c>
      <c r="H95" s="6" t="s">
        <v>120</v>
      </c>
      <c r="I95" s="7" t="s">
        <v>368</v>
      </c>
      <c r="J95" s="9" t="s">
        <v>377</v>
      </c>
      <c r="K95" s="8" t="n">
        <f aca="false">ROUND((IF(E95="Transactional",5,IF(E95="Commercial",4,IF(E95="Comparison",3,IF(E95="Informational",2,3))))*LOG10(IF(ISNUMBER(L95),L95,IFERROR(VALUE(LEFT(F95,FIND("-",F95)-1)),100))+1))/IF(IF(ISBLANK(M95),G95,M95)="High",5,IF(IF(ISBLANK(M95),G95,M95)="Medium",3,1)),2)</f>
        <v>3.39</v>
      </c>
      <c r="L95" s="6"/>
      <c r="M95" s="6"/>
      <c r="N95" s="6"/>
      <c r="O95" s="6" t="s">
        <v>123</v>
      </c>
      <c r="P95" s="7" t="s">
        <v>129</v>
      </c>
    </row>
    <row r="96" customFormat="false" ht="25.5" hidden="false" customHeight="true" outlineLevel="0" collapsed="false">
      <c r="A96" s="6" t="n">
        <v>95</v>
      </c>
      <c r="B96" s="6" t="n">
        <v>1</v>
      </c>
      <c r="C96" s="6" t="s">
        <v>115</v>
      </c>
      <c r="D96" s="7" t="s">
        <v>378</v>
      </c>
      <c r="E96" s="6" t="s">
        <v>117</v>
      </c>
      <c r="F96" s="7" t="s">
        <v>136</v>
      </c>
      <c r="G96" s="6" t="s">
        <v>137</v>
      </c>
      <c r="H96" s="6" t="s">
        <v>120</v>
      </c>
      <c r="I96" s="7" t="s">
        <v>379</v>
      </c>
      <c r="J96" s="7" t="s">
        <v>380</v>
      </c>
      <c r="K96" s="8" t="n">
        <f aca="false">ROUND((IF(E96="Transactional",5,IF(E96="Commercial",4,IF(E96="Comparison",3,IF(E96="Informational",2,3))))*LOG10(IF(ISNUMBER(L96),L96,IFERROR(VALUE(LEFT(F96,FIND("-",F96)-1)),100))+1))/IF(IF(ISBLANK(M96),G96,M96)="High",5,IF(IF(ISBLANK(M96),G96,M96)="Medium",3,1)),2)</f>
        <v>3.47</v>
      </c>
      <c r="L96" s="6"/>
      <c r="M96" s="6"/>
      <c r="N96" s="6"/>
      <c r="O96" s="6" t="s">
        <v>123</v>
      </c>
      <c r="P96" s="7" t="s">
        <v>381</v>
      </c>
    </row>
    <row r="97" customFormat="false" ht="25.5" hidden="false" customHeight="true" outlineLevel="0" collapsed="false">
      <c r="A97" s="6" t="n">
        <v>96</v>
      </c>
      <c r="B97" s="6" t="n">
        <v>1</v>
      </c>
      <c r="C97" s="6" t="s">
        <v>125</v>
      </c>
      <c r="D97" s="9" t="s">
        <v>382</v>
      </c>
      <c r="E97" s="6" t="s">
        <v>117</v>
      </c>
      <c r="F97" s="7" t="s">
        <v>141</v>
      </c>
      <c r="G97" s="6" t="s">
        <v>137</v>
      </c>
      <c r="H97" s="6" t="s">
        <v>120</v>
      </c>
      <c r="I97" s="7" t="s">
        <v>379</v>
      </c>
      <c r="J97" s="9" t="s">
        <v>383</v>
      </c>
      <c r="K97" s="8" t="n">
        <f aca="false">ROUND((IF(E97="Transactional",5,IF(E97="Commercial",4,IF(E97="Comparison",3,IF(E97="Informational",2,3))))*LOG10(IF(ISNUMBER(L97),L97,IFERROR(VALUE(LEFT(F97,FIND("-",F97)-1)),100))+1))/IF(IF(ISBLANK(M97),G97,M97)="High",5,IF(IF(ISBLANK(M97),G97,M97)="Medium",3,1)),2)</f>
        <v>3.39</v>
      </c>
      <c r="L97" s="6"/>
      <c r="M97" s="6"/>
      <c r="N97" s="6"/>
      <c r="O97" s="6" t="s">
        <v>123</v>
      </c>
      <c r="P97" s="7" t="s">
        <v>129</v>
      </c>
    </row>
    <row r="98" customFormat="false" ht="25.5" hidden="false" customHeight="true" outlineLevel="0" collapsed="false">
      <c r="A98" s="6" t="n">
        <v>97</v>
      </c>
      <c r="B98" s="6" t="n">
        <v>1</v>
      </c>
      <c r="C98" s="6" t="s">
        <v>115</v>
      </c>
      <c r="D98" s="7" t="s">
        <v>384</v>
      </c>
      <c r="E98" s="6" t="s">
        <v>117</v>
      </c>
      <c r="F98" s="7" t="s">
        <v>136</v>
      </c>
      <c r="G98" s="6" t="s">
        <v>137</v>
      </c>
      <c r="H98" s="6" t="s">
        <v>120</v>
      </c>
      <c r="I98" s="7" t="s">
        <v>385</v>
      </c>
      <c r="J98" s="7" t="s">
        <v>386</v>
      </c>
      <c r="K98" s="8" t="n">
        <f aca="false">ROUND((IF(E98="Transactional",5,IF(E98="Commercial",4,IF(E98="Comparison",3,IF(E98="Informational",2,3))))*LOG10(IF(ISNUMBER(L98),L98,IFERROR(VALUE(LEFT(F98,FIND("-",F98)-1)),100))+1))/IF(IF(ISBLANK(M98),G98,M98)="High",5,IF(IF(ISBLANK(M98),G98,M98)="Medium",3,1)),2)</f>
        <v>3.47</v>
      </c>
      <c r="L98" s="6"/>
      <c r="M98" s="6"/>
      <c r="N98" s="6"/>
      <c r="O98" s="6" t="s">
        <v>123</v>
      </c>
      <c r="P98" s="7" t="s">
        <v>387</v>
      </c>
    </row>
    <row r="99" customFormat="false" ht="25.5" hidden="false" customHeight="true" outlineLevel="0" collapsed="false">
      <c r="A99" s="6" t="n">
        <v>98</v>
      </c>
      <c r="B99" s="6" t="n">
        <v>1</v>
      </c>
      <c r="C99" s="6" t="s">
        <v>125</v>
      </c>
      <c r="D99" s="9" t="s">
        <v>388</v>
      </c>
      <c r="E99" s="6" t="s">
        <v>117</v>
      </c>
      <c r="F99" s="7" t="s">
        <v>141</v>
      </c>
      <c r="G99" s="6" t="s">
        <v>137</v>
      </c>
      <c r="H99" s="6" t="s">
        <v>120</v>
      </c>
      <c r="I99" s="7" t="s">
        <v>385</v>
      </c>
      <c r="J99" s="9" t="s">
        <v>389</v>
      </c>
      <c r="K99" s="8" t="n">
        <f aca="false">ROUND((IF(E99="Transactional",5,IF(E99="Commercial",4,IF(E99="Comparison",3,IF(E99="Informational",2,3))))*LOG10(IF(ISNUMBER(L99),L99,IFERROR(VALUE(LEFT(F99,FIND("-",F99)-1)),100))+1))/IF(IF(ISBLANK(M99),G99,M99)="High",5,IF(IF(ISBLANK(M99),G99,M99)="Medium",3,1)),2)</f>
        <v>3.39</v>
      </c>
      <c r="L99" s="6"/>
      <c r="M99" s="6"/>
      <c r="N99" s="6"/>
      <c r="O99" s="6" t="s">
        <v>123</v>
      </c>
      <c r="P99" s="7" t="s">
        <v>129</v>
      </c>
    </row>
    <row r="100" customFormat="false" ht="25.5" hidden="false" customHeight="true" outlineLevel="0" collapsed="false">
      <c r="A100" s="6" t="n">
        <v>99</v>
      </c>
      <c r="B100" s="6" t="n">
        <v>1</v>
      </c>
      <c r="C100" s="6" t="s">
        <v>115</v>
      </c>
      <c r="D100" s="7" t="s">
        <v>390</v>
      </c>
      <c r="E100" s="6" t="s">
        <v>117</v>
      </c>
      <c r="F100" s="7" t="s">
        <v>136</v>
      </c>
      <c r="G100" s="6" t="s">
        <v>137</v>
      </c>
      <c r="H100" s="6" t="s">
        <v>120</v>
      </c>
      <c r="I100" s="7" t="s">
        <v>391</v>
      </c>
      <c r="J100" s="7" t="s">
        <v>392</v>
      </c>
      <c r="K100" s="8" t="n">
        <f aca="false">ROUND((IF(E100="Transactional",5,IF(E100="Commercial",4,IF(E100="Comparison",3,IF(E100="Informational",2,3))))*LOG10(IF(ISNUMBER(L100),L100,IFERROR(VALUE(LEFT(F100,FIND("-",F100)-1)),100))+1))/IF(IF(ISBLANK(M100),G100,M100)="High",5,IF(IF(ISBLANK(M100),G100,M100)="Medium",3,1)),2)</f>
        <v>3.47</v>
      </c>
      <c r="L100" s="6"/>
      <c r="M100" s="6"/>
      <c r="N100" s="6"/>
      <c r="O100" s="6" t="s">
        <v>123</v>
      </c>
      <c r="P100" s="7" t="s">
        <v>393</v>
      </c>
    </row>
    <row r="101" customFormat="false" ht="25.5" hidden="false" customHeight="true" outlineLevel="0" collapsed="false">
      <c r="A101" s="6" t="n">
        <v>100</v>
      </c>
      <c r="B101" s="6" t="n">
        <v>1</v>
      </c>
      <c r="C101" s="6" t="s">
        <v>125</v>
      </c>
      <c r="D101" s="9" t="s">
        <v>394</v>
      </c>
      <c r="E101" s="6" t="s">
        <v>117</v>
      </c>
      <c r="F101" s="7" t="s">
        <v>141</v>
      </c>
      <c r="G101" s="6" t="s">
        <v>137</v>
      </c>
      <c r="H101" s="6" t="s">
        <v>120</v>
      </c>
      <c r="I101" s="7" t="s">
        <v>391</v>
      </c>
      <c r="J101" s="9" t="s">
        <v>395</v>
      </c>
      <c r="K101" s="8" t="n">
        <f aca="false">ROUND((IF(E101="Transactional",5,IF(E101="Commercial",4,IF(E101="Comparison",3,IF(E101="Informational",2,3))))*LOG10(IF(ISNUMBER(L101),L101,IFERROR(VALUE(LEFT(F101,FIND("-",F101)-1)),100))+1))/IF(IF(ISBLANK(M101),G101,M101)="High",5,IF(IF(ISBLANK(M101),G101,M101)="Medium",3,1)),2)</f>
        <v>3.39</v>
      </c>
      <c r="L101" s="6"/>
      <c r="M101" s="6"/>
      <c r="N101" s="6"/>
      <c r="O101" s="6" t="s">
        <v>123</v>
      </c>
      <c r="P101" s="7" t="s">
        <v>129</v>
      </c>
    </row>
    <row r="102" customFormat="false" ht="25.5" hidden="false" customHeight="true" outlineLevel="0" collapsed="false">
      <c r="A102" s="6" t="n">
        <v>101</v>
      </c>
      <c r="B102" s="6" t="n">
        <v>1</v>
      </c>
      <c r="C102" s="6" t="s">
        <v>115</v>
      </c>
      <c r="D102" s="7" t="s">
        <v>396</v>
      </c>
      <c r="E102" s="6" t="s">
        <v>117</v>
      </c>
      <c r="F102" s="7" t="s">
        <v>118</v>
      </c>
      <c r="G102" s="6" t="s">
        <v>119</v>
      </c>
      <c r="H102" s="6" t="s">
        <v>120</v>
      </c>
      <c r="I102" s="7" t="s">
        <v>397</v>
      </c>
      <c r="J102" s="7" t="s">
        <v>398</v>
      </c>
      <c r="K102" s="8" t="n">
        <f aca="false">ROUND((IF(E102="Transactional",5,IF(E102="Commercial",4,IF(E102="Comparison",3,IF(E102="Informational",2,3))))*LOG10(IF(ISNUMBER(L102),L102,IFERROR(VALUE(LEFT(F102,FIND("-",F102)-1)),100))+1))/IF(IF(ISBLANK(M102),G102,M102)="High",5,IF(IF(ISBLANK(M102),G102,M102)="Medium",3,1)),2)</f>
        <v>2.4</v>
      </c>
      <c r="L102" s="6"/>
      <c r="M102" s="6"/>
      <c r="N102" s="6"/>
      <c r="O102" s="6" t="s">
        <v>123</v>
      </c>
      <c r="P102" s="7" t="s">
        <v>399</v>
      </c>
    </row>
    <row r="103" customFormat="false" ht="25.5" hidden="false" customHeight="true" outlineLevel="0" collapsed="false">
      <c r="A103" s="6" t="n">
        <v>102</v>
      </c>
      <c r="B103" s="6" t="n">
        <v>1</v>
      </c>
      <c r="C103" s="6" t="s">
        <v>125</v>
      </c>
      <c r="D103" s="9" t="s">
        <v>400</v>
      </c>
      <c r="E103" s="6" t="s">
        <v>117</v>
      </c>
      <c r="F103" s="7" t="s">
        <v>127</v>
      </c>
      <c r="G103" s="6" t="s">
        <v>119</v>
      </c>
      <c r="H103" s="6" t="s">
        <v>120</v>
      </c>
      <c r="I103" s="7" t="s">
        <v>397</v>
      </c>
      <c r="J103" s="9" t="s">
        <v>401</v>
      </c>
      <c r="K103" s="8" t="n">
        <f aca="false">ROUND((IF(E103="Transactional",5,IF(E103="Commercial",4,IF(E103="Comparison",3,IF(E103="Informational",2,3))))*LOG10(IF(ISNUMBER(L103),L103,IFERROR(VALUE(LEFT(F103,FIND("-",F103)-1)),100))+1))/IF(IF(ISBLANK(M103),G103,M103)="High",5,IF(IF(ISBLANK(M103),G103,M103)="Medium",3,1)),2)</f>
        <v>2.32</v>
      </c>
      <c r="L103" s="6"/>
      <c r="M103" s="6"/>
      <c r="N103" s="6"/>
      <c r="O103" s="6" t="s">
        <v>123</v>
      </c>
      <c r="P103" s="7" t="s">
        <v>129</v>
      </c>
    </row>
    <row r="104" customFormat="false" ht="25.5" hidden="false" customHeight="true" outlineLevel="0" collapsed="false">
      <c r="A104" s="6" t="n">
        <v>103</v>
      </c>
      <c r="B104" s="6" t="n">
        <v>1</v>
      </c>
      <c r="C104" s="6" t="s">
        <v>115</v>
      </c>
      <c r="D104" s="7" t="s">
        <v>402</v>
      </c>
      <c r="E104" s="6" t="s">
        <v>117</v>
      </c>
      <c r="F104" s="7" t="s">
        <v>118</v>
      </c>
      <c r="G104" s="6" t="s">
        <v>119</v>
      </c>
      <c r="H104" s="6" t="s">
        <v>120</v>
      </c>
      <c r="I104" s="7" t="s">
        <v>403</v>
      </c>
      <c r="J104" s="7" t="s">
        <v>404</v>
      </c>
      <c r="K104" s="8" t="n">
        <f aca="false">ROUND((IF(E104="Transactional",5,IF(E104="Commercial",4,IF(E104="Comparison",3,IF(E104="Informational",2,3))))*LOG10(IF(ISNUMBER(L104),L104,IFERROR(VALUE(LEFT(F104,FIND("-",F104)-1)),100))+1))/IF(IF(ISBLANK(M104),G104,M104)="High",5,IF(IF(ISBLANK(M104),G104,M104)="Medium",3,1)),2)</f>
        <v>2.4</v>
      </c>
      <c r="L104" s="6"/>
      <c r="M104" s="6"/>
      <c r="N104" s="6"/>
      <c r="O104" s="6" t="s">
        <v>123</v>
      </c>
      <c r="P104" s="7" t="s">
        <v>405</v>
      </c>
    </row>
    <row r="105" customFormat="false" ht="25.5" hidden="false" customHeight="true" outlineLevel="0" collapsed="false">
      <c r="A105" s="6" t="n">
        <v>104</v>
      </c>
      <c r="B105" s="6" t="n">
        <v>1</v>
      </c>
      <c r="C105" s="6" t="s">
        <v>125</v>
      </c>
      <c r="D105" s="9" t="s">
        <v>406</v>
      </c>
      <c r="E105" s="6" t="s">
        <v>117</v>
      </c>
      <c r="F105" s="7" t="s">
        <v>127</v>
      </c>
      <c r="G105" s="6" t="s">
        <v>119</v>
      </c>
      <c r="H105" s="6" t="s">
        <v>120</v>
      </c>
      <c r="I105" s="7" t="s">
        <v>403</v>
      </c>
      <c r="J105" s="9" t="s">
        <v>407</v>
      </c>
      <c r="K105" s="8" t="n">
        <f aca="false">ROUND((IF(E105="Transactional",5,IF(E105="Commercial",4,IF(E105="Comparison",3,IF(E105="Informational",2,3))))*LOG10(IF(ISNUMBER(L105),L105,IFERROR(VALUE(LEFT(F105,FIND("-",F105)-1)),100))+1))/IF(IF(ISBLANK(M105),G105,M105)="High",5,IF(IF(ISBLANK(M105),G105,M105)="Medium",3,1)),2)</f>
        <v>2.32</v>
      </c>
      <c r="L105" s="6"/>
      <c r="M105" s="6"/>
      <c r="N105" s="6"/>
      <c r="O105" s="6" t="s">
        <v>123</v>
      </c>
      <c r="P105" s="7" t="s">
        <v>129</v>
      </c>
    </row>
    <row r="106" customFormat="false" ht="25.5" hidden="false" customHeight="true" outlineLevel="0" collapsed="false">
      <c r="A106" s="6" t="n">
        <v>105</v>
      </c>
      <c r="B106" s="6" t="n">
        <v>1</v>
      </c>
      <c r="C106" s="6" t="s">
        <v>115</v>
      </c>
      <c r="D106" s="7" t="s">
        <v>408</v>
      </c>
      <c r="E106" s="6" t="s">
        <v>117</v>
      </c>
      <c r="F106" s="7" t="s">
        <v>136</v>
      </c>
      <c r="G106" s="6" t="s">
        <v>137</v>
      </c>
      <c r="H106" s="6" t="s">
        <v>120</v>
      </c>
      <c r="I106" s="7" t="s">
        <v>403</v>
      </c>
      <c r="J106" s="7" t="s">
        <v>409</v>
      </c>
      <c r="K106" s="8" t="n">
        <f aca="false">ROUND((IF(E106="Transactional",5,IF(E106="Commercial",4,IF(E106="Comparison",3,IF(E106="Informational",2,3))))*LOG10(IF(ISNUMBER(L106),L106,IFERROR(VALUE(LEFT(F106,FIND("-",F106)-1)),100))+1))/IF(IF(ISBLANK(M106),G106,M106)="High",5,IF(IF(ISBLANK(M106),G106,M106)="Medium",3,1)),2)</f>
        <v>3.47</v>
      </c>
      <c r="L106" s="6"/>
      <c r="M106" s="6"/>
      <c r="N106" s="6"/>
      <c r="O106" s="6" t="s">
        <v>123</v>
      </c>
      <c r="P106" s="7" t="s">
        <v>410</v>
      </c>
    </row>
    <row r="107" customFormat="false" ht="25.5" hidden="false" customHeight="true" outlineLevel="0" collapsed="false">
      <c r="A107" s="6" t="n">
        <v>106</v>
      </c>
      <c r="B107" s="6" t="n">
        <v>1</v>
      </c>
      <c r="C107" s="6" t="s">
        <v>125</v>
      </c>
      <c r="D107" s="9" t="s">
        <v>411</v>
      </c>
      <c r="E107" s="6" t="s">
        <v>117</v>
      </c>
      <c r="F107" s="7" t="s">
        <v>141</v>
      </c>
      <c r="G107" s="6" t="s">
        <v>137</v>
      </c>
      <c r="H107" s="6" t="s">
        <v>120</v>
      </c>
      <c r="I107" s="7" t="s">
        <v>403</v>
      </c>
      <c r="J107" s="9" t="s">
        <v>412</v>
      </c>
      <c r="K107" s="8" t="n">
        <f aca="false">ROUND((IF(E107="Transactional",5,IF(E107="Commercial",4,IF(E107="Comparison",3,IF(E107="Informational",2,3))))*LOG10(IF(ISNUMBER(L107),L107,IFERROR(VALUE(LEFT(F107,FIND("-",F107)-1)),100))+1))/IF(IF(ISBLANK(M107),G107,M107)="High",5,IF(IF(ISBLANK(M107),G107,M107)="Medium",3,1)),2)</f>
        <v>3.39</v>
      </c>
      <c r="L107" s="6"/>
      <c r="M107" s="6"/>
      <c r="N107" s="6"/>
      <c r="O107" s="6" t="s">
        <v>123</v>
      </c>
      <c r="P107" s="7" t="s">
        <v>129</v>
      </c>
    </row>
    <row r="108" customFormat="false" ht="25.5" hidden="false" customHeight="true" outlineLevel="0" collapsed="false">
      <c r="A108" s="6" t="n">
        <v>107</v>
      </c>
      <c r="B108" s="6" t="n">
        <v>1</v>
      </c>
      <c r="C108" s="6" t="s">
        <v>115</v>
      </c>
      <c r="D108" s="7" t="s">
        <v>413</v>
      </c>
      <c r="E108" s="6" t="s">
        <v>117</v>
      </c>
      <c r="F108" s="7" t="s">
        <v>118</v>
      </c>
      <c r="G108" s="6" t="s">
        <v>119</v>
      </c>
      <c r="H108" s="6" t="s">
        <v>120</v>
      </c>
      <c r="I108" s="7" t="s">
        <v>403</v>
      </c>
      <c r="J108" s="7" t="s">
        <v>414</v>
      </c>
      <c r="K108" s="8" t="n">
        <f aca="false">ROUND((IF(E108="Transactional",5,IF(E108="Commercial",4,IF(E108="Comparison",3,IF(E108="Informational",2,3))))*LOG10(IF(ISNUMBER(L108),L108,IFERROR(VALUE(LEFT(F108,FIND("-",F108)-1)),100))+1))/IF(IF(ISBLANK(M108),G108,M108)="High",5,IF(IF(ISBLANK(M108),G108,M108)="Medium",3,1)),2)</f>
        <v>2.4</v>
      </c>
      <c r="L108" s="6"/>
      <c r="M108" s="6"/>
      <c r="N108" s="6"/>
      <c r="O108" s="6" t="s">
        <v>123</v>
      </c>
      <c r="P108" s="7" t="s">
        <v>415</v>
      </c>
    </row>
    <row r="109" customFormat="false" ht="25.5" hidden="false" customHeight="true" outlineLevel="0" collapsed="false">
      <c r="A109" s="6" t="n">
        <v>108</v>
      </c>
      <c r="B109" s="6" t="n">
        <v>1</v>
      </c>
      <c r="C109" s="6" t="s">
        <v>125</v>
      </c>
      <c r="D109" s="9" t="s">
        <v>416</v>
      </c>
      <c r="E109" s="6" t="s">
        <v>117</v>
      </c>
      <c r="F109" s="7" t="s">
        <v>127</v>
      </c>
      <c r="G109" s="6" t="s">
        <v>119</v>
      </c>
      <c r="H109" s="6" t="s">
        <v>120</v>
      </c>
      <c r="I109" s="7" t="s">
        <v>403</v>
      </c>
      <c r="J109" s="9" t="s">
        <v>417</v>
      </c>
      <c r="K109" s="8" t="n">
        <f aca="false">ROUND((IF(E109="Transactional",5,IF(E109="Commercial",4,IF(E109="Comparison",3,IF(E109="Informational",2,3))))*LOG10(IF(ISNUMBER(L109),L109,IFERROR(VALUE(LEFT(F109,FIND("-",F109)-1)),100))+1))/IF(IF(ISBLANK(M109),G109,M109)="High",5,IF(IF(ISBLANK(M109),G109,M109)="Medium",3,1)),2)</f>
        <v>2.32</v>
      </c>
      <c r="L109" s="6"/>
      <c r="M109" s="6"/>
      <c r="N109" s="6"/>
      <c r="O109" s="6" t="s">
        <v>123</v>
      </c>
      <c r="P109" s="7" t="s">
        <v>129</v>
      </c>
    </row>
    <row r="110" customFormat="false" ht="25.5" hidden="false" customHeight="true" outlineLevel="0" collapsed="false">
      <c r="A110" s="6" t="n">
        <v>109</v>
      </c>
      <c r="B110" s="6" t="n">
        <v>1</v>
      </c>
      <c r="C110" s="6" t="s">
        <v>115</v>
      </c>
      <c r="D110" s="7" t="s">
        <v>418</v>
      </c>
      <c r="E110" s="6" t="s">
        <v>117</v>
      </c>
      <c r="F110" s="7" t="s">
        <v>118</v>
      </c>
      <c r="G110" s="6" t="s">
        <v>119</v>
      </c>
      <c r="H110" s="6" t="s">
        <v>120</v>
      </c>
      <c r="I110" s="7" t="s">
        <v>419</v>
      </c>
      <c r="J110" s="7" t="s">
        <v>420</v>
      </c>
      <c r="K110" s="8" t="n">
        <f aca="false">ROUND((IF(E110="Transactional",5,IF(E110="Commercial",4,IF(E110="Comparison",3,IF(E110="Informational",2,3))))*LOG10(IF(ISNUMBER(L110),L110,IFERROR(VALUE(LEFT(F110,FIND("-",F110)-1)),100))+1))/IF(IF(ISBLANK(M110),G110,M110)="High",5,IF(IF(ISBLANK(M110),G110,M110)="Medium",3,1)),2)</f>
        <v>2.4</v>
      </c>
      <c r="L110" s="6"/>
      <c r="M110" s="6"/>
      <c r="N110" s="6"/>
      <c r="O110" s="6" t="s">
        <v>123</v>
      </c>
      <c r="P110" s="7" t="s">
        <v>421</v>
      </c>
    </row>
    <row r="111" customFormat="false" ht="25.5" hidden="false" customHeight="true" outlineLevel="0" collapsed="false">
      <c r="A111" s="6" t="n">
        <v>110</v>
      </c>
      <c r="B111" s="6" t="n">
        <v>1</v>
      </c>
      <c r="C111" s="6" t="s">
        <v>125</v>
      </c>
      <c r="D111" s="9" t="s">
        <v>422</v>
      </c>
      <c r="E111" s="6" t="s">
        <v>117</v>
      </c>
      <c r="F111" s="7" t="s">
        <v>127</v>
      </c>
      <c r="G111" s="6" t="s">
        <v>119</v>
      </c>
      <c r="H111" s="6" t="s">
        <v>120</v>
      </c>
      <c r="I111" s="7" t="s">
        <v>419</v>
      </c>
      <c r="J111" s="9" t="s">
        <v>423</v>
      </c>
      <c r="K111" s="8" t="n">
        <f aca="false">ROUND((IF(E111="Transactional",5,IF(E111="Commercial",4,IF(E111="Comparison",3,IF(E111="Informational",2,3))))*LOG10(IF(ISNUMBER(L111),L111,IFERROR(VALUE(LEFT(F111,FIND("-",F111)-1)),100))+1))/IF(IF(ISBLANK(M111),G111,M111)="High",5,IF(IF(ISBLANK(M111),G111,M111)="Medium",3,1)),2)</f>
        <v>2.32</v>
      </c>
      <c r="L111" s="6"/>
      <c r="M111" s="6"/>
      <c r="N111" s="6"/>
      <c r="O111" s="6" t="s">
        <v>123</v>
      </c>
      <c r="P111" s="7" t="s">
        <v>129</v>
      </c>
    </row>
    <row r="112" customFormat="false" ht="25.5" hidden="false" customHeight="true" outlineLevel="0" collapsed="false">
      <c r="A112" s="6" t="n">
        <v>111</v>
      </c>
      <c r="B112" s="6" t="n">
        <v>1</v>
      </c>
      <c r="C112" s="6" t="s">
        <v>115</v>
      </c>
      <c r="D112" s="7" t="s">
        <v>424</v>
      </c>
      <c r="E112" s="6" t="s">
        <v>117</v>
      </c>
      <c r="F112" s="7" t="s">
        <v>136</v>
      </c>
      <c r="G112" s="6" t="s">
        <v>137</v>
      </c>
      <c r="H112" s="6" t="s">
        <v>120</v>
      </c>
      <c r="I112" s="7" t="s">
        <v>419</v>
      </c>
      <c r="J112" s="7" t="s">
        <v>425</v>
      </c>
      <c r="K112" s="8" t="n">
        <f aca="false">ROUND((IF(E112="Transactional",5,IF(E112="Commercial",4,IF(E112="Comparison",3,IF(E112="Informational",2,3))))*LOG10(IF(ISNUMBER(L112),L112,IFERROR(VALUE(LEFT(F112,FIND("-",F112)-1)),100))+1))/IF(IF(ISBLANK(M112),G112,M112)="High",5,IF(IF(ISBLANK(M112),G112,M112)="Medium",3,1)),2)</f>
        <v>3.47</v>
      </c>
      <c r="L112" s="6"/>
      <c r="M112" s="6"/>
      <c r="N112" s="6"/>
      <c r="O112" s="6" t="s">
        <v>123</v>
      </c>
      <c r="P112" s="7" t="s">
        <v>426</v>
      </c>
    </row>
    <row r="113" customFormat="false" ht="25.5" hidden="false" customHeight="true" outlineLevel="0" collapsed="false">
      <c r="A113" s="6" t="n">
        <v>112</v>
      </c>
      <c r="B113" s="6" t="n">
        <v>1</v>
      </c>
      <c r="C113" s="6" t="s">
        <v>125</v>
      </c>
      <c r="D113" s="9" t="s">
        <v>427</v>
      </c>
      <c r="E113" s="6" t="s">
        <v>117</v>
      </c>
      <c r="F113" s="7" t="s">
        <v>141</v>
      </c>
      <c r="G113" s="6" t="s">
        <v>137</v>
      </c>
      <c r="H113" s="6" t="s">
        <v>120</v>
      </c>
      <c r="I113" s="7" t="s">
        <v>419</v>
      </c>
      <c r="J113" s="9" t="s">
        <v>428</v>
      </c>
      <c r="K113" s="8" t="n">
        <f aca="false">ROUND((IF(E113="Transactional",5,IF(E113="Commercial",4,IF(E113="Comparison",3,IF(E113="Informational",2,3))))*LOG10(IF(ISNUMBER(L113),L113,IFERROR(VALUE(LEFT(F113,FIND("-",F113)-1)),100))+1))/IF(IF(ISBLANK(M113),G113,M113)="High",5,IF(IF(ISBLANK(M113),G113,M113)="Medium",3,1)),2)</f>
        <v>3.39</v>
      </c>
      <c r="L113" s="6"/>
      <c r="M113" s="6"/>
      <c r="N113" s="6"/>
      <c r="O113" s="6" t="s">
        <v>123</v>
      </c>
      <c r="P113" s="7" t="s">
        <v>129</v>
      </c>
    </row>
    <row r="114" customFormat="false" ht="25.5" hidden="false" customHeight="true" outlineLevel="0" collapsed="false">
      <c r="A114" s="6" t="n">
        <v>113</v>
      </c>
      <c r="B114" s="6" t="n">
        <v>1</v>
      </c>
      <c r="C114" s="6" t="s">
        <v>115</v>
      </c>
      <c r="D114" s="7" t="s">
        <v>429</v>
      </c>
      <c r="E114" s="6" t="s">
        <v>117</v>
      </c>
      <c r="F114" s="7" t="s">
        <v>136</v>
      </c>
      <c r="G114" s="6" t="s">
        <v>137</v>
      </c>
      <c r="H114" s="6" t="s">
        <v>120</v>
      </c>
      <c r="I114" s="7" t="s">
        <v>419</v>
      </c>
      <c r="J114" s="7" t="s">
        <v>430</v>
      </c>
      <c r="K114" s="8" t="n">
        <f aca="false">ROUND((IF(E114="Transactional",5,IF(E114="Commercial",4,IF(E114="Comparison",3,IF(E114="Informational",2,3))))*LOG10(IF(ISNUMBER(L114),L114,IFERROR(VALUE(LEFT(F114,FIND("-",F114)-1)),100))+1))/IF(IF(ISBLANK(M114),G114,M114)="High",5,IF(IF(ISBLANK(M114),G114,M114)="Medium",3,1)),2)</f>
        <v>3.47</v>
      </c>
      <c r="L114" s="6"/>
      <c r="M114" s="6"/>
      <c r="N114" s="6"/>
      <c r="O114" s="6" t="s">
        <v>123</v>
      </c>
      <c r="P114" s="7" t="s">
        <v>431</v>
      </c>
    </row>
    <row r="115" customFormat="false" ht="25.5" hidden="false" customHeight="true" outlineLevel="0" collapsed="false">
      <c r="A115" s="6" t="n">
        <v>114</v>
      </c>
      <c r="B115" s="6" t="n">
        <v>1</v>
      </c>
      <c r="C115" s="6" t="s">
        <v>125</v>
      </c>
      <c r="D115" s="9" t="s">
        <v>432</v>
      </c>
      <c r="E115" s="6" t="s">
        <v>117</v>
      </c>
      <c r="F115" s="7" t="s">
        <v>141</v>
      </c>
      <c r="G115" s="6" t="s">
        <v>137</v>
      </c>
      <c r="H115" s="6" t="s">
        <v>120</v>
      </c>
      <c r="I115" s="7" t="s">
        <v>419</v>
      </c>
      <c r="J115" s="9" t="s">
        <v>433</v>
      </c>
      <c r="K115" s="8" t="n">
        <f aca="false">ROUND((IF(E115="Transactional",5,IF(E115="Commercial",4,IF(E115="Comparison",3,IF(E115="Informational",2,3))))*LOG10(IF(ISNUMBER(L115),L115,IFERROR(VALUE(LEFT(F115,FIND("-",F115)-1)),100))+1))/IF(IF(ISBLANK(M115),G115,M115)="High",5,IF(IF(ISBLANK(M115),G115,M115)="Medium",3,1)),2)</f>
        <v>3.39</v>
      </c>
      <c r="L115" s="6"/>
      <c r="M115" s="6"/>
      <c r="N115" s="6"/>
      <c r="O115" s="6" t="s">
        <v>123</v>
      </c>
      <c r="P115" s="7" t="s">
        <v>129</v>
      </c>
    </row>
    <row r="116" customFormat="false" ht="25.5" hidden="false" customHeight="true" outlineLevel="0" collapsed="false">
      <c r="A116" s="6" t="n">
        <v>115</v>
      </c>
      <c r="B116" s="6" t="n">
        <v>1</v>
      </c>
      <c r="C116" s="6" t="s">
        <v>115</v>
      </c>
      <c r="D116" s="7" t="s">
        <v>434</v>
      </c>
      <c r="E116" s="6" t="s">
        <v>117</v>
      </c>
      <c r="F116" s="7" t="s">
        <v>136</v>
      </c>
      <c r="G116" s="6" t="s">
        <v>137</v>
      </c>
      <c r="H116" s="6" t="s">
        <v>120</v>
      </c>
      <c r="I116" s="7" t="s">
        <v>419</v>
      </c>
      <c r="J116" s="7" t="s">
        <v>435</v>
      </c>
      <c r="K116" s="8" t="n">
        <f aca="false">ROUND((IF(E116="Transactional",5,IF(E116="Commercial",4,IF(E116="Comparison",3,IF(E116="Informational",2,3))))*LOG10(IF(ISNUMBER(L116),L116,IFERROR(VALUE(LEFT(F116,FIND("-",F116)-1)),100))+1))/IF(IF(ISBLANK(M116),G116,M116)="High",5,IF(IF(ISBLANK(M116),G116,M116)="Medium",3,1)),2)</f>
        <v>3.47</v>
      </c>
      <c r="L116" s="6"/>
      <c r="M116" s="6"/>
      <c r="N116" s="6"/>
      <c r="O116" s="6" t="s">
        <v>123</v>
      </c>
      <c r="P116" s="7" t="s">
        <v>436</v>
      </c>
    </row>
    <row r="117" customFormat="false" ht="25.5" hidden="false" customHeight="true" outlineLevel="0" collapsed="false">
      <c r="A117" s="6" t="n">
        <v>116</v>
      </c>
      <c r="B117" s="6" t="n">
        <v>1</v>
      </c>
      <c r="C117" s="6" t="s">
        <v>125</v>
      </c>
      <c r="D117" s="9" t="s">
        <v>437</v>
      </c>
      <c r="E117" s="6" t="s">
        <v>117</v>
      </c>
      <c r="F117" s="7" t="s">
        <v>141</v>
      </c>
      <c r="G117" s="6" t="s">
        <v>137</v>
      </c>
      <c r="H117" s="6" t="s">
        <v>120</v>
      </c>
      <c r="I117" s="7" t="s">
        <v>419</v>
      </c>
      <c r="J117" s="9" t="s">
        <v>438</v>
      </c>
      <c r="K117" s="8" t="n">
        <f aca="false">ROUND((IF(E117="Transactional",5,IF(E117="Commercial",4,IF(E117="Comparison",3,IF(E117="Informational",2,3))))*LOG10(IF(ISNUMBER(L117),L117,IFERROR(VALUE(LEFT(F117,FIND("-",F117)-1)),100))+1))/IF(IF(ISBLANK(M117),G117,M117)="High",5,IF(IF(ISBLANK(M117),G117,M117)="Medium",3,1)),2)</f>
        <v>3.39</v>
      </c>
      <c r="L117" s="6"/>
      <c r="M117" s="6"/>
      <c r="N117" s="6"/>
      <c r="O117" s="6" t="s">
        <v>123</v>
      </c>
      <c r="P117" s="7" t="s">
        <v>129</v>
      </c>
    </row>
    <row r="118" customFormat="false" ht="25.5" hidden="false" customHeight="true" outlineLevel="0" collapsed="false">
      <c r="A118" s="6" t="n">
        <v>117</v>
      </c>
      <c r="B118" s="6" t="n">
        <v>1</v>
      </c>
      <c r="C118" s="6" t="s">
        <v>115</v>
      </c>
      <c r="D118" s="7" t="s">
        <v>439</v>
      </c>
      <c r="E118" s="6" t="s">
        <v>117</v>
      </c>
      <c r="F118" s="7" t="s">
        <v>136</v>
      </c>
      <c r="G118" s="6" t="s">
        <v>137</v>
      </c>
      <c r="H118" s="6" t="s">
        <v>120</v>
      </c>
      <c r="I118" s="7" t="s">
        <v>419</v>
      </c>
      <c r="J118" s="7" t="s">
        <v>440</v>
      </c>
      <c r="K118" s="8" t="n">
        <f aca="false">ROUND((IF(E118="Transactional",5,IF(E118="Commercial",4,IF(E118="Comparison",3,IF(E118="Informational",2,3))))*LOG10(IF(ISNUMBER(L118),L118,IFERROR(VALUE(LEFT(F118,FIND("-",F118)-1)),100))+1))/IF(IF(ISBLANK(M118),G118,M118)="High",5,IF(IF(ISBLANK(M118),G118,M118)="Medium",3,1)),2)</f>
        <v>3.47</v>
      </c>
      <c r="L118" s="6"/>
      <c r="M118" s="6"/>
      <c r="N118" s="6"/>
      <c r="O118" s="6" t="s">
        <v>123</v>
      </c>
      <c r="P118" s="7" t="s">
        <v>441</v>
      </c>
    </row>
    <row r="119" customFormat="false" ht="25.5" hidden="false" customHeight="true" outlineLevel="0" collapsed="false">
      <c r="A119" s="6" t="n">
        <v>118</v>
      </c>
      <c r="B119" s="6" t="n">
        <v>1</v>
      </c>
      <c r="C119" s="6" t="s">
        <v>125</v>
      </c>
      <c r="D119" s="9" t="s">
        <v>442</v>
      </c>
      <c r="E119" s="6" t="s">
        <v>117</v>
      </c>
      <c r="F119" s="7" t="s">
        <v>141</v>
      </c>
      <c r="G119" s="6" t="s">
        <v>137</v>
      </c>
      <c r="H119" s="6" t="s">
        <v>120</v>
      </c>
      <c r="I119" s="7" t="s">
        <v>419</v>
      </c>
      <c r="J119" s="9" t="s">
        <v>443</v>
      </c>
      <c r="K119" s="8" t="n">
        <f aca="false">ROUND((IF(E119="Transactional",5,IF(E119="Commercial",4,IF(E119="Comparison",3,IF(E119="Informational",2,3))))*LOG10(IF(ISNUMBER(L119),L119,IFERROR(VALUE(LEFT(F119,FIND("-",F119)-1)),100))+1))/IF(IF(ISBLANK(M119),G119,M119)="High",5,IF(IF(ISBLANK(M119),G119,M119)="Medium",3,1)),2)</f>
        <v>3.39</v>
      </c>
      <c r="L119" s="6"/>
      <c r="M119" s="6"/>
      <c r="N119" s="6"/>
      <c r="O119" s="6" t="s">
        <v>123</v>
      </c>
      <c r="P119" s="7" t="s">
        <v>129</v>
      </c>
    </row>
    <row r="120" customFormat="false" ht="25.5" hidden="false" customHeight="true" outlineLevel="0" collapsed="false">
      <c r="A120" s="6" t="n">
        <v>119</v>
      </c>
      <c r="B120" s="6" t="n">
        <v>1</v>
      </c>
      <c r="C120" s="6" t="s">
        <v>115</v>
      </c>
      <c r="D120" s="7" t="s">
        <v>444</v>
      </c>
      <c r="E120" s="6" t="s">
        <v>117</v>
      </c>
      <c r="F120" s="7" t="s">
        <v>118</v>
      </c>
      <c r="G120" s="6" t="s">
        <v>119</v>
      </c>
      <c r="H120" s="6" t="s">
        <v>120</v>
      </c>
      <c r="I120" s="7" t="s">
        <v>445</v>
      </c>
      <c r="J120" s="7" t="s">
        <v>446</v>
      </c>
      <c r="K120" s="8" t="n">
        <f aca="false">ROUND((IF(E120="Transactional",5,IF(E120="Commercial",4,IF(E120="Comparison",3,IF(E120="Informational",2,3))))*LOG10(IF(ISNUMBER(L120),L120,IFERROR(VALUE(LEFT(F120,FIND("-",F120)-1)),100))+1))/IF(IF(ISBLANK(M120),G120,M120)="High",5,IF(IF(ISBLANK(M120),G120,M120)="Medium",3,1)),2)</f>
        <v>2.4</v>
      </c>
      <c r="L120" s="6"/>
      <c r="M120" s="6"/>
      <c r="N120" s="6"/>
      <c r="O120" s="6" t="s">
        <v>123</v>
      </c>
      <c r="P120" s="7" t="s">
        <v>447</v>
      </c>
    </row>
    <row r="121" customFormat="false" ht="25.5" hidden="false" customHeight="true" outlineLevel="0" collapsed="false">
      <c r="A121" s="6" t="n">
        <v>120</v>
      </c>
      <c r="B121" s="6" t="n">
        <v>1</v>
      </c>
      <c r="C121" s="6" t="s">
        <v>125</v>
      </c>
      <c r="D121" s="9" t="s">
        <v>448</v>
      </c>
      <c r="E121" s="6" t="s">
        <v>117</v>
      </c>
      <c r="F121" s="7" t="s">
        <v>127</v>
      </c>
      <c r="G121" s="6" t="s">
        <v>119</v>
      </c>
      <c r="H121" s="6" t="s">
        <v>120</v>
      </c>
      <c r="I121" s="7" t="s">
        <v>445</v>
      </c>
      <c r="J121" s="9" t="s">
        <v>449</v>
      </c>
      <c r="K121" s="8" t="n">
        <f aca="false">ROUND((IF(E121="Transactional",5,IF(E121="Commercial",4,IF(E121="Comparison",3,IF(E121="Informational",2,3))))*LOG10(IF(ISNUMBER(L121),L121,IFERROR(VALUE(LEFT(F121,FIND("-",F121)-1)),100))+1))/IF(IF(ISBLANK(M121),G121,M121)="High",5,IF(IF(ISBLANK(M121),G121,M121)="Medium",3,1)),2)</f>
        <v>2.32</v>
      </c>
      <c r="L121" s="6"/>
      <c r="M121" s="6"/>
      <c r="N121" s="6"/>
      <c r="O121" s="6" t="s">
        <v>123</v>
      </c>
      <c r="P121" s="7" t="s">
        <v>129</v>
      </c>
    </row>
    <row r="122" customFormat="false" ht="25.5" hidden="false" customHeight="true" outlineLevel="0" collapsed="false">
      <c r="A122" s="6" t="n">
        <v>121</v>
      </c>
      <c r="B122" s="6" t="n">
        <v>1</v>
      </c>
      <c r="C122" s="6" t="s">
        <v>115</v>
      </c>
      <c r="D122" s="7" t="s">
        <v>450</v>
      </c>
      <c r="E122" s="6" t="s">
        <v>117</v>
      </c>
      <c r="F122" s="7" t="s">
        <v>118</v>
      </c>
      <c r="G122" s="6" t="s">
        <v>119</v>
      </c>
      <c r="H122" s="6" t="s">
        <v>120</v>
      </c>
      <c r="I122" s="7" t="s">
        <v>445</v>
      </c>
      <c r="J122" s="7" t="s">
        <v>451</v>
      </c>
      <c r="K122" s="8" t="n">
        <f aca="false">ROUND((IF(E122="Transactional",5,IF(E122="Commercial",4,IF(E122="Comparison",3,IF(E122="Informational",2,3))))*LOG10(IF(ISNUMBER(L122),L122,IFERROR(VALUE(LEFT(F122,FIND("-",F122)-1)),100))+1))/IF(IF(ISBLANK(M122),G122,M122)="High",5,IF(IF(ISBLANK(M122),G122,M122)="Medium",3,1)),2)</f>
        <v>2.4</v>
      </c>
      <c r="L122" s="6"/>
      <c r="M122" s="6"/>
      <c r="N122" s="6"/>
      <c r="O122" s="6" t="s">
        <v>123</v>
      </c>
      <c r="P122" s="7" t="s">
        <v>452</v>
      </c>
    </row>
    <row r="123" customFormat="false" ht="25.5" hidden="false" customHeight="true" outlineLevel="0" collapsed="false">
      <c r="A123" s="6" t="n">
        <v>122</v>
      </c>
      <c r="B123" s="6" t="n">
        <v>1</v>
      </c>
      <c r="C123" s="6" t="s">
        <v>125</v>
      </c>
      <c r="D123" s="9" t="s">
        <v>453</v>
      </c>
      <c r="E123" s="6" t="s">
        <v>117</v>
      </c>
      <c r="F123" s="7" t="s">
        <v>127</v>
      </c>
      <c r="G123" s="6" t="s">
        <v>119</v>
      </c>
      <c r="H123" s="6" t="s">
        <v>120</v>
      </c>
      <c r="I123" s="7" t="s">
        <v>445</v>
      </c>
      <c r="J123" s="9" t="s">
        <v>454</v>
      </c>
      <c r="K123" s="8" t="n">
        <f aca="false">ROUND((IF(E123="Transactional",5,IF(E123="Commercial",4,IF(E123="Comparison",3,IF(E123="Informational",2,3))))*LOG10(IF(ISNUMBER(L123),L123,IFERROR(VALUE(LEFT(F123,FIND("-",F123)-1)),100))+1))/IF(IF(ISBLANK(M123),G123,M123)="High",5,IF(IF(ISBLANK(M123),G123,M123)="Medium",3,1)),2)</f>
        <v>2.32</v>
      </c>
      <c r="L123" s="6"/>
      <c r="M123" s="6"/>
      <c r="N123" s="6"/>
      <c r="O123" s="6" t="s">
        <v>123</v>
      </c>
      <c r="P123" s="7" t="s">
        <v>129</v>
      </c>
    </row>
    <row r="124" customFormat="false" ht="25.5" hidden="false" customHeight="true" outlineLevel="0" collapsed="false">
      <c r="A124" s="6" t="n">
        <v>123</v>
      </c>
      <c r="B124" s="6" t="n">
        <v>1</v>
      </c>
      <c r="C124" s="6" t="s">
        <v>115</v>
      </c>
      <c r="D124" s="7" t="s">
        <v>455</v>
      </c>
      <c r="E124" s="6" t="s">
        <v>117</v>
      </c>
      <c r="F124" s="7" t="s">
        <v>136</v>
      </c>
      <c r="G124" s="6" t="s">
        <v>137</v>
      </c>
      <c r="H124" s="6" t="s">
        <v>120</v>
      </c>
      <c r="I124" s="7" t="s">
        <v>445</v>
      </c>
      <c r="J124" s="7" t="s">
        <v>456</v>
      </c>
      <c r="K124" s="8" t="n">
        <f aca="false">ROUND((IF(E124="Transactional",5,IF(E124="Commercial",4,IF(E124="Comparison",3,IF(E124="Informational",2,3))))*LOG10(IF(ISNUMBER(L124),L124,IFERROR(VALUE(LEFT(F124,FIND("-",F124)-1)),100))+1))/IF(IF(ISBLANK(M124),G124,M124)="High",5,IF(IF(ISBLANK(M124),G124,M124)="Medium",3,1)),2)</f>
        <v>3.47</v>
      </c>
      <c r="L124" s="6"/>
      <c r="M124" s="6"/>
      <c r="N124" s="6"/>
      <c r="O124" s="6" t="s">
        <v>123</v>
      </c>
      <c r="P124" s="7" t="s">
        <v>457</v>
      </c>
    </row>
    <row r="125" customFormat="false" ht="25.5" hidden="false" customHeight="true" outlineLevel="0" collapsed="false">
      <c r="A125" s="6" t="n">
        <v>124</v>
      </c>
      <c r="B125" s="6" t="n">
        <v>1</v>
      </c>
      <c r="C125" s="6" t="s">
        <v>125</v>
      </c>
      <c r="D125" s="9" t="s">
        <v>458</v>
      </c>
      <c r="E125" s="6" t="s">
        <v>117</v>
      </c>
      <c r="F125" s="7" t="s">
        <v>141</v>
      </c>
      <c r="G125" s="6" t="s">
        <v>137</v>
      </c>
      <c r="H125" s="6" t="s">
        <v>120</v>
      </c>
      <c r="I125" s="7" t="s">
        <v>445</v>
      </c>
      <c r="J125" s="9" t="s">
        <v>459</v>
      </c>
      <c r="K125" s="8" t="n">
        <f aca="false">ROUND((IF(E125="Transactional",5,IF(E125="Commercial",4,IF(E125="Comparison",3,IF(E125="Informational",2,3))))*LOG10(IF(ISNUMBER(L125),L125,IFERROR(VALUE(LEFT(F125,FIND("-",F125)-1)),100))+1))/IF(IF(ISBLANK(M125),G125,M125)="High",5,IF(IF(ISBLANK(M125),G125,M125)="Medium",3,1)),2)</f>
        <v>3.39</v>
      </c>
      <c r="L125" s="6"/>
      <c r="M125" s="6"/>
      <c r="N125" s="6"/>
      <c r="O125" s="6" t="s">
        <v>123</v>
      </c>
      <c r="P125" s="7" t="s">
        <v>129</v>
      </c>
    </row>
    <row r="126" customFormat="false" ht="25.5" hidden="false" customHeight="true" outlineLevel="0" collapsed="false">
      <c r="A126" s="6" t="n">
        <v>125</v>
      </c>
      <c r="B126" s="6" t="n">
        <v>1</v>
      </c>
      <c r="C126" s="6" t="s">
        <v>115</v>
      </c>
      <c r="D126" s="7" t="s">
        <v>460</v>
      </c>
      <c r="E126" s="6" t="s">
        <v>117</v>
      </c>
      <c r="F126" s="7" t="s">
        <v>118</v>
      </c>
      <c r="G126" s="6" t="s">
        <v>119</v>
      </c>
      <c r="H126" s="6" t="s">
        <v>120</v>
      </c>
      <c r="I126" s="7" t="s">
        <v>461</v>
      </c>
      <c r="J126" s="7" t="s">
        <v>462</v>
      </c>
      <c r="K126" s="8" t="n">
        <f aca="false">ROUND((IF(E126="Transactional",5,IF(E126="Commercial",4,IF(E126="Comparison",3,IF(E126="Informational",2,3))))*LOG10(IF(ISNUMBER(L126),L126,IFERROR(VALUE(LEFT(F126,FIND("-",F126)-1)),100))+1))/IF(IF(ISBLANK(M126),G126,M126)="High",5,IF(IF(ISBLANK(M126),G126,M126)="Medium",3,1)),2)</f>
        <v>2.4</v>
      </c>
      <c r="L126" s="6"/>
      <c r="M126" s="6"/>
      <c r="N126" s="6"/>
      <c r="O126" s="6" t="s">
        <v>123</v>
      </c>
      <c r="P126" s="7" t="s">
        <v>463</v>
      </c>
    </row>
    <row r="127" customFormat="false" ht="25.5" hidden="false" customHeight="true" outlineLevel="0" collapsed="false">
      <c r="A127" s="6" t="n">
        <v>126</v>
      </c>
      <c r="B127" s="6" t="n">
        <v>1</v>
      </c>
      <c r="C127" s="6" t="s">
        <v>125</v>
      </c>
      <c r="D127" s="9" t="s">
        <v>464</v>
      </c>
      <c r="E127" s="6" t="s">
        <v>117</v>
      </c>
      <c r="F127" s="7" t="s">
        <v>127</v>
      </c>
      <c r="G127" s="6" t="s">
        <v>119</v>
      </c>
      <c r="H127" s="6" t="s">
        <v>120</v>
      </c>
      <c r="I127" s="7" t="s">
        <v>461</v>
      </c>
      <c r="J127" s="9" t="s">
        <v>465</v>
      </c>
      <c r="K127" s="8" t="n">
        <f aca="false">ROUND((IF(E127="Transactional",5,IF(E127="Commercial",4,IF(E127="Comparison",3,IF(E127="Informational",2,3))))*LOG10(IF(ISNUMBER(L127),L127,IFERROR(VALUE(LEFT(F127,FIND("-",F127)-1)),100))+1))/IF(IF(ISBLANK(M127),G127,M127)="High",5,IF(IF(ISBLANK(M127),G127,M127)="Medium",3,1)),2)</f>
        <v>2.32</v>
      </c>
      <c r="L127" s="6"/>
      <c r="M127" s="6"/>
      <c r="N127" s="6"/>
      <c r="O127" s="6" t="s">
        <v>123</v>
      </c>
      <c r="P127" s="7" t="s">
        <v>129</v>
      </c>
    </row>
    <row r="128" customFormat="false" ht="25.5" hidden="false" customHeight="true" outlineLevel="0" collapsed="false">
      <c r="A128" s="6" t="n">
        <v>127</v>
      </c>
      <c r="B128" s="6" t="n">
        <v>1</v>
      </c>
      <c r="C128" s="6" t="s">
        <v>115</v>
      </c>
      <c r="D128" s="7" t="s">
        <v>466</v>
      </c>
      <c r="E128" s="6" t="s">
        <v>117</v>
      </c>
      <c r="F128" s="7" t="s">
        <v>118</v>
      </c>
      <c r="G128" s="6" t="s">
        <v>119</v>
      </c>
      <c r="H128" s="6" t="s">
        <v>120</v>
      </c>
      <c r="I128" s="7" t="s">
        <v>461</v>
      </c>
      <c r="J128" s="7" t="s">
        <v>467</v>
      </c>
      <c r="K128" s="8" t="n">
        <f aca="false">ROUND((IF(E128="Transactional",5,IF(E128="Commercial",4,IF(E128="Comparison",3,IF(E128="Informational",2,3))))*LOG10(IF(ISNUMBER(L128),L128,IFERROR(VALUE(LEFT(F128,FIND("-",F128)-1)),100))+1))/IF(IF(ISBLANK(M128),G128,M128)="High",5,IF(IF(ISBLANK(M128),G128,M128)="Medium",3,1)),2)</f>
        <v>2.4</v>
      </c>
      <c r="L128" s="6"/>
      <c r="M128" s="6"/>
      <c r="N128" s="6"/>
      <c r="O128" s="6" t="s">
        <v>123</v>
      </c>
      <c r="P128" s="7" t="s">
        <v>468</v>
      </c>
    </row>
    <row r="129" customFormat="false" ht="25.5" hidden="false" customHeight="true" outlineLevel="0" collapsed="false">
      <c r="A129" s="6" t="n">
        <v>128</v>
      </c>
      <c r="B129" s="6" t="n">
        <v>1</v>
      </c>
      <c r="C129" s="6" t="s">
        <v>125</v>
      </c>
      <c r="D129" s="9" t="s">
        <v>469</v>
      </c>
      <c r="E129" s="6" t="s">
        <v>117</v>
      </c>
      <c r="F129" s="7" t="s">
        <v>127</v>
      </c>
      <c r="G129" s="6" t="s">
        <v>119</v>
      </c>
      <c r="H129" s="6" t="s">
        <v>120</v>
      </c>
      <c r="I129" s="7" t="s">
        <v>461</v>
      </c>
      <c r="J129" s="9" t="s">
        <v>470</v>
      </c>
      <c r="K129" s="8" t="n">
        <f aca="false">ROUND((IF(E129="Transactional",5,IF(E129="Commercial",4,IF(E129="Comparison",3,IF(E129="Informational",2,3))))*LOG10(IF(ISNUMBER(L129),L129,IFERROR(VALUE(LEFT(F129,FIND("-",F129)-1)),100))+1))/IF(IF(ISBLANK(M129),G129,M129)="High",5,IF(IF(ISBLANK(M129),G129,M129)="Medium",3,1)),2)</f>
        <v>2.32</v>
      </c>
      <c r="L129" s="6"/>
      <c r="M129" s="6"/>
      <c r="N129" s="6"/>
      <c r="O129" s="6" t="s">
        <v>123</v>
      </c>
      <c r="P129" s="7" t="s">
        <v>129</v>
      </c>
    </row>
    <row r="130" customFormat="false" ht="25.5" hidden="false" customHeight="true" outlineLevel="0" collapsed="false">
      <c r="A130" s="6" t="n">
        <v>129</v>
      </c>
      <c r="B130" s="6" t="n">
        <v>1</v>
      </c>
      <c r="C130" s="6" t="s">
        <v>115</v>
      </c>
      <c r="D130" s="7" t="s">
        <v>471</v>
      </c>
      <c r="E130" s="6" t="s">
        <v>117</v>
      </c>
      <c r="F130" s="7" t="s">
        <v>136</v>
      </c>
      <c r="G130" s="6" t="s">
        <v>137</v>
      </c>
      <c r="H130" s="6" t="s">
        <v>120</v>
      </c>
      <c r="I130" s="7" t="s">
        <v>472</v>
      </c>
      <c r="J130" s="7" t="s">
        <v>473</v>
      </c>
      <c r="K130" s="8" t="n">
        <f aca="false">ROUND((IF(E130="Transactional",5,IF(E130="Commercial",4,IF(E130="Comparison",3,IF(E130="Informational",2,3))))*LOG10(IF(ISNUMBER(L130),L130,IFERROR(VALUE(LEFT(F130,FIND("-",F130)-1)),100))+1))/IF(IF(ISBLANK(M130),G130,M130)="High",5,IF(IF(ISBLANK(M130),G130,M130)="Medium",3,1)),2)</f>
        <v>3.47</v>
      </c>
      <c r="L130" s="6"/>
      <c r="M130" s="6"/>
      <c r="N130" s="6"/>
      <c r="O130" s="6" t="s">
        <v>123</v>
      </c>
      <c r="P130" s="7" t="s">
        <v>474</v>
      </c>
    </row>
    <row r="131" customFormat="false" ht="25.5" hidden="false" customHeight="true" outlineLevel="0" collapsed="false">
      <c r="A131" s="6" t="n">
        <v>130</v>
      </c>
      <c r="B131" s="6" t="n">
        <v>1</v>
      </c>
      <c r="C131" s="6" t="s">
        <v>125</v>
      </c>
      <c r="D131" s="9" t="s">
        <v>475</v>
      </c>
      <c r="E131" s="6" t="s">
        <v>117</v>
      </c>
      <c r="F131" s="7" t="s">
        <v>141</v>
      </c>
      <c r="G131" s="6" t="s">
        <v>137</v>
      </c>
      <c r="H131" s="6" t="s">
        <v>120</v>
      </c>
      <c r="I131" s="7" t="s">
        <v>472</v>
      </c>
      <c r="J131" s="9" t="s">
        <v>476</v>
      </c>
      <c r="K131" s="8" t="n">
        <f aca="false">ROUND((IF(E131="Transactional",5,IF(E131="Commercial",4,IF(E131="Comparison",3,IF(E131="Informational",2,3))))*LOG10(IF(ISNUMBER(L131),L131,IFERROR(VALUE(LEFT(F131,FIND("-",F131)-1)),100))+1))/IF(IF(ISBLANK(M131),G131,M131)="High",5,IF(IF(ISBLANK(M131),G131,M131)="Medium",3,1)),2)</f>
        <v>3.39</v>
      </c>
      <c r="L131" s="6"/>
      <c r="M131" s="6"/>
      <c r="N131" s="6"/>
      <c r="O131" s="6" t="s">
        <v>123</v>
      </c>
      <c r="P131" s="7" t="s">
        <v>129</v>
      </c>
    </row>
    <row r="132" customFormat="false" ht="25.5" hidden="false" customHeight="true" outlineLevel="0" collapsed="false">
      <c r="A132" s="6" t="n">
        <v>131</v>
      </c>
      <c r="B132" s="6" t="n">
        <v>1</v>
      </c>
      <c r="C132" s="6" t="s">
        <v>115</v>
      </c>
      <c r="D132" s="7" t="s">
        <v>477</v>
      </c>
      <c r="E132" s="6" t="s">
        <v>117</v>
      </c>
      <c r="F132" s="7" t="s">
        <v>136</v>
      </c>
      <c r="G132" s="6" t="s">
        <v>137</v>
      </c>
      <c r="H132" s="6" t="s">
        <v>120</v>
      </c>
      <c r="I132" s="7" t="s">
        <v>472</v>
      </c>
      <c r="J132" s="7" t="s">
        <v>478</v>
      </c>
      <c r="K132" s="8" t="n">
        <f aca="false">ROUND((IF(E132="Transactional",5,IF(E132="Commercial",4,IF(E132="Comparison",3,IF(E132="Informational",2,3))))*LOG10(IF(ISNUMBER(L132),L132,IFERROR(VALUE(LEFT(F132,FIND("-",F132)-1)),100))+1))/IF(IF(ISBLANK(M132),G132,M132)="High",5,IF(IF(ISBLANK(M132),G132,M132)="Medium",3,1)),2)</f>
        <v>3.47</v>
      </c>
      <c r="L132" s="6"/>
      <c r="M132" s="6"/>
      <c r="N132" s="6"/>
      <c r="O132" s="6" t="s">
        <v>123</v>
      </c>
      <c r="P132" s="7" t="s">
        <v>479</v>
      </c>
    </row>
    <row r="133" customFormat="false" ht="25.5" hidden="false" customHeight="true" outlineLevel="0" collapsed="false">
      <c r="A133" s="6" t="n">
        <v>132</v>
      </c>
      <c r="B133" s="6" t="n">
        <v>1</v>
      </c>
      <c r="C133" s="6" t="s">
        <v>125</v>
      </c>
      <c r="D133" s="9" t="s">
        <v>480</v>
      </c>
      <c r="E133" s="6" t="s">
        <v>117</v>
      </c>
      <c r="F133" s="7" t="s">
        <v>141</v>
      </c>
      <c r="G133" s="6" t="s">
        <v>137</v>
      </c>
      <c r="H133" s="6" t="s">
        <v>120</v>
      </c>
      <c r="I133" s="7" t="s">
        <v>472</v>
      </c>
      <c r="J133" s="9" t="s">
        <v>481</v>
      </c>
      <c r="K133" s="8" t="n">
        <f aca="false">ROUND((IF(E133="Transactional",5,IF(E133="Commercial",4,IF(E133="Comparison",3,IF(E133="Informational",2,3))))*LOG10(IF(ISNUMBER(L133),L133,IFERROR(VALUE(LEFT(F133,FIND("-",F133)-1)),100))+1))/IF(IF(ISBLANK(M133),G133,M133)="High",5,IF(IF(ISBLANK(M133),G133,M133)="Medium",3,1)),2)</f>
        <v>3.39</v>
      </c>
      <c r="L133" s="6"/>
      <c r="M133" s="6"/>
      <c r="N133" s="6"/>
      <c r="O133" s="6" t="s">
        <v>123</v>
      </c>
      <c r="P133" s="7" t="s">
        <v>129</v>
      </c>
    </row>
    <row r="134" customFormat="false" ht="25.5" hidden="false" customHeight="true" outlineLevel="0" collapsed="false">
      <c r="A134" s="6" t="n">
        <v>133</v>
      </c>
      <c r="B134" s="6" t="n">
        <v>1</v>
      </c>
      <c r="C134" s="6" t="s">
        <v>115</v>
      </c>
      <c r="D134" s="7" t="s">
        <v>482</v>
      </c>
      <c r="E134" s="6" t="s">
        <v>117</v>
      </c>
      <c r="F134" s="7" t="s">
        <v>136</v>
      </c>
      <c r="G134" s="6" t="s">
        <v>137</v>
      </c>
      <c r="H134" s="6" t="s">
        <v>120</v>
      </c>
      <c r="I134" s="7" t="s">
        <v>472</v>
      </c>
      <c r="J134" s="7" t="s">
        <v>483</v>
      </c>
      <c r="K134" s="8" t="n">
        <f aca="false">ROUND((IF(E134="Transactional",5,IF(E134="Commercial",4,IF(E134="Comparison",3,IF(E134="Informational",2,3))))*LOG10(IF(ISNUMBER(L134),L134,IFERROR(VALUE(LEFT(F134,FIND("-",F134)-1)),100))+1))/IF(IF(ISBLANK(M134),G134,M134)="High",5,IF(IF(ISBLANK(M134),G134,M134)="Medium",3,1)),2)</f>
        <v>3.47</v>
      </c>
      <c r="L134" s="6"/>
      <c r="M134" s="6"/>
      <c r="N134" s="6"/>
      <c r="O134" s="6" t="s">
        <v>123</v>
      </c>
      <c r="P134" s="7" t="s">
        <v>484</v>
      </c>
    </row>
    <row r="135" customFormat="false" ht="25.5" hidden="false" customHeight="true" outlineLevel="0" collapsed="false">
      <c r="A135" s="6" t="n">
        <v>134</v>
      </c>
      <c r="B135" s="6" t="n">
        <v>1</v>
      </c>
      <c r="C135" s="6" t="s">
        <v>125</v>
      </c>
      <c r="D135" s="9" t="s">
        <v>485</v>
      </c>
      <c r="E135" s="6" t="s">
        <v>117</v>
      </c>
      <c r="F135" s="7" t="s">
        <v>141</v>
      </c>
      <c r="G135" s="6" t="s">
        <v>137</v>
      </c>
      <c r="H135" s="6" t="s">
        <v>120</v>
      </c>
      <c r="I135" s="7" t="s">
        <v>472</v>
      </c>
      <c r="J135" s="9" t="s">
        <v>486</v>
      </c>
      <c r="K135" s="8" t="n">
        <f aca="false">ROUND((IF(E135="Transactional",5,IF(E135="Commercial",4,IF(E135="Comparison",3,IF(E135="Informational",2,3))))*LOG10(IF(ISNUMBER(L135),L135,IFERROR(VALUE(LEFT(F135,FIND("-",F135)-1)),100))+1))/IF(IF(ISBLANK(M135),G135,M135)="High",5,IF(IF(ISBLANK(M135),G135,M135)="Medium",3,1)),2)</f>
        <v>3.39</v>
      </c>
      <c r="L135" s="6"/>
      <c r="M135" s="6"/>
      <c r="N135" s="6"/>
      <c r="O135" s="6" t="s">
        <v>123</v>
      </c>
      <c r="P135" s="7" t="s">
        <v>129</v>
      </c>
    </row>
    <row r="136" customFormat="false" ht="25.5" hidden="false" customHeight="true" outlineLevel="0" collapsed="false">
      <c r="A136" s="6" t="n">
        <v>135</v>
      </c>
      <c r="B136" s="6" t="n">
        <v>1</v>
      </c>
      <c r="C136" s="6" t="s">
        <v>115</v>
      </c>
      <c r="D136" s="7" t="s">
        <v>487</v>
      </c>
      <c r="E136" s="6" t="s">
        <v>117</v>
      </c>
      <c r="F136" s="7" t="s">
        <v>136</v>
      </c>
      <c r="G136" s="6" t="s">
        <v>137</v>
      </c>
      <c r="H136" s="6" t="s">
        <v>120</v>
      </c>
      <c r="I136" s="7" t="s">
        <v>472</v>
      </c>
      <c r="J136" s="7" t="s">
        <v>488</v>
      </c>
      <c r="K136" s="8" t="n">
        <f aca="false">ROUND((IF(E136="Transactional",5,IF(E136="Commercial",4,IF(E136="Comparison",3,IF(E136="Informational",2,3))))*LOG10(IF(ISNUMBER(L136),L136,IFERROR(VALUE(LEFT(F136,FIND("-",F136)-1)),100))+1))/IF(IF(ISBLANK(M136),G136,M136)="High",5,IF(IF(ISBLANK(M136),G136,M136)="Medium",3,1)),2)</f>
        <v>3.47</v>
      </c>
      <c r="L136" s="6"/>
      <c r="M136" s="6"/>
      <c r="N136" s="6"/>
      <c r="O136" s="6" t="s">
        <v>123</v>
      </c>
      <c r="P136" s="7" t="s">
        <v>489</v>
      </c>
    </row>
    <row r="137" customFormat="false" ht="25.5" hidden="false" customHeight="true" outlineLevel="0" collapsed="false">
      <c r="A137" s="6" t="n">
        <v>136</v>
      </c>
      <c r="B137" s="6" t="n">
        <v>1</v>
      </c>
      <c r="C137" s="6" t="s">
        <v>125</v>
      </c>
      <c r="D137" s="9" t="s">
        <v>490</v>
      </c>
      <c r="E137" s="6" t="s">
        <v>117</v>
      </c>
      <c r="F137" s="7" t="s">
        <v>141</v>
      </c>
      <c r="G137" s="6" t="s">
        <v>137</v>
      </c>
      <c r="H137" s="6" t="s">
        <v>120</v>
      </c>
      <c r="I137" s="7" t="s">
        <v>472</v>
      </c>
      <c r="J137" s="9" t="s">
        <v>491</v>
      </c>
      <c r="K137" s="8" t="n">
        <f aca="false">ROUND((IF(E137="Transactional",5,IF(E137="Commercial",4,IF(E137="Comparison",3,IF(E137="Informational",2,3))))*LOG10(IF(ISNUMBER(L137),L137,IFERROR(VALUE(LEFT(F137,FIND("-",F137)-1)),100))+1))/IF(IF(ISBLANK(M137),G137,M137)="High",5,IF(IF(ISBLANK(M137),G137,M137)="Medium",3,1)),2)</f>
        <v>3.39</v>
      </c>
      <c r="L137" s="6"/>
      <c r="M137" s="6"/>
      <c r="N137" s="6"/>
      <c r="O137" s="6" t="s">
        <v>123</v>
      </c>
      <c r="P137" s="7" t="s">
        <v>129</v>
      </c>
    </row>
    <row r="138" customFormat="false" ht="25.5" hidden="false" customHeight="true" outlineLevel="0" collapsed="false">
      <c r="A138" s="6" t="n">
        <v>137</v>
      </c>
      <c r="B138" s="6" t="n">
        <v>1</v>
      </c>
      <c r="C138" s="6" t="s">
        <v>115</v>
      </c>
      <c r="D138" s="7" t="s">
        <v>492</v>
      </c>
      <c r="E138" s="6" t="s">
        <v>117</v>
      </c>
      <c r="F138" s="7" t="s">
        <v>136</v>
      </c>
      <c r="G138" s="6" t="s">
        <v>137</v>
      </c>
      <c r="H138" s="6" t="s">
        <v>120</v>
      </c>
      <c r="I138" s="7" t="s">
        <v>472</v>
      </c>
      <c r="J138" s="7" t="s">
        <v>493</v>
      </c>
      <c r="K138" s="8" t="n">
        <f aca="false">ROUND((IF(E138="Transactional",5,IF(E138="Commercial",4,IF(E138="Comparison",3,IF(E138="Informational",2,3))))*LOG10(IF(ISNUMBER(L138),L138,IFERROR(VALUE(LEFT(F138,FIND("-",F138)-1)),100))+1))/IF(IF(ISBLANK(M138),G138,M138)="High",5,IF(IF(ISBLANK(M138),G138,M138)="Medium",3,1)),2)</f>
        <v>3.47</v>
      </c>
      <c r="L138" s="6"/>
      <c r="M138" s="6"/>
      <c r="N138" s="6"/>
      <c r="O138" s="6" t="s">
        <v>123</v>
      </c>
      <c r="P138" s="7" t="s">
        <v>494</v>
      </c>
    </row>
    <row r="139" customFormat="false" ht="25.5" hidden="false" customHeight="true" outlineLevel="0" collapsed="false">
      <c r="A139" s="6" t="n">
        <v>138</v>
      </c>
      <c r="B139" s="6" t="n">
        <v>1</v>
      </c>
      <c r="C139" s="6" t="s">
        <v>125</v>
      </c>
      <c r="D139" s="9" t="s">
        <v>495</v>
      </c>
      <c r="E139" s="6" t="s">
        <v>117</v>
      </c>
      <c r="F139" s="7" t="s">
        <v>141</v>
      </c>
      <c r="G139" s="6" t="s">
        <v>137</v>
      </c>
      <c r="H139" s="6" t="s">
        <v>120</v>
      </c>
      <c r="I139" s="7" t="s">
        <v>472</v>
      </c>
      <c r="J139" s="9" t="s">
        <v>496</v>
      </c>
      <c r="K139" s="8" t="n">
        <f aca="false">ROUND((IF(E139="Transactional",5,IF(E139="Commercial",4,IF(E139="Comparison",3,IF(E139="Informational",2,3))))*LOG10(IF(ISNUMBER(L139),L139,IFERROR(VALUE(LEFT(F139,FIND("-",F139)-1)),100))+1))/IF(IF(ISBLANK(M139),G139,M139)="High",5,IF(IF(ISBLANK(M139),G139,M139)="Medium",3,1)),2)</f>
        <v>3.39</v>
      </c>
      <c r="L139" s="6"/>
      <c r="M139" s="6"/>
      <c r="N139" s="6"/>
      <c r="O139" s="6" t="s">
        <v>123</v>
      </c>
      <c r="P139" s="7" t="s">
        <v>129</v>
      </c>
    </row>
    <row r="140" customFormat="false" ht="25.5" hidden="false" customHeight="true" outlineLevel="0" collapsed="false">
      <c r="A140" s="6" t="n">
        <v>139</v>
      </c>
      <c r="B140" s="6" t="n">
        <v>1</v>
      </c>
      <c r="C140" s="6" t="s">
        <v>115</v>
      </c>
      <c r="D140" s="7" t="s">
        <v>497</v>
      </c>
      <c r="E140" s="6" t="s">
        <v>117</v>
      </c>
      <c r="F140" s="7" t="s">
        <v>136</v>
      </c>
      <c r="G140" s="6" t="s">
        <v>137</v>
      </c>
      <c r="H140" s="6" t="s">
        <v>120</v>
      </c>
      <c r="I140" s="7" t="s">
        <v>498</v>
      </c>
      <c r="J140" s="7" t="s">
        <v>499</v>
      </c>
      <c r="K140" s="8" t="n">
        <f aca="false">ROUND((IF(E140="Transactional",5,IF(E140="Commercial",4,IF(E140="Comparison",3,IF(E140="Informational",2,3))))*LOG10(IF(ISNUMBER(L140),L140,IFERROR(VALUE(LEFT(F140,FIND("-",F140)-1)),100))+1))/IF(IF(ISBLANK(M140),G140,M140)="High",5,IF(IF(ISBLANK(M140),G140,M140)="Medium",3,1)),2)</f>
        <v>3.47</v>
      </c>
      <c r="L140" s="6"/>
      <c r="M140" s="6"/>
      <c r="N140" s="6"/>
      <c r="O140" s="6" t="s">
        <v>123</v>
      </c>
      <c r="P140" s="7" t="s">
        <v>500</v>
      </c>
    </row>
    <row r="141" customFormat="false" ht="25.5" hidden="false" customHeight="true" outlineLevel="0" collapsed="false">
      <c r="A141" s="6" t="n">
        <v>140</v>
      </c>
      <c r="B141" s="6" t="n">
        <v>1</v>
      </c>
      <c r="C141" s="6" t="s">
        <v>125</v>
      </c>
      <c r="D141" s="9" t="s">
        <v>501</v>
      </c>
      <c r="E141" s="6" t="s">
        <v>117</v>
      </c>
      <c r="F141" s="7" t="s">
        <v>141</v>
      </c>
      <c r="G141" s="6" t="s">
        <v>137</v>
      </c>
      <c r="H141" s="6" t="s">
        <v>120</v>
      </c>
      <c r="I141" s="7" t="s">
        <v>498</v>
      </c>
      <c r="J141" s="9" t="s">
        <v>502</v>
      </c>
      <c r="K141" s="8" t="n">
        <f aca="false">ROUND((IF(E141="Transactional",5,IF(E141="Commercial",4,IF(E141="Comparison",3,IF(E141="Informational",2,3))))*LOG10(IF(ISNUMBER(L141),L141,IFERROR(VALUE(LEFT(F141,FIND("-",F141)-1)),100))+1))/IF(IF(ISBLANK(M141),G141,M141)="High",5,IF(IF(ISBLANK(M141),G141,M141)="Medium",3,1)),2)</f>
        <v>3.39</v>
      </c>
      <c r="L141" s="6"/>
      <c r="M141" s="6"/>
      <c r="N141" s="6"/>
      <c r="O141" s="6" t="s">
        <v>123</v>
      </c>
      <c r="P141" s="7" t="s">
        <v>129</v>
      </c>
    </row>
  </sheetData>
  <conditionalFormatting sqref="K2:K141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141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141" type="list">
      <formula1>"EN,AR,FA"</formula1>
      <formula2>0</formula2>
    </dataValidation>
    <dataValidation allowBlank="true" errorStyle="stop" operator="between" showDropDown="false" showErrorMessage="false" showInputMessage="false" sqref="E2:E141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141 M2:M141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10" t="n">
        <v>141</v>
      </c>
      <c r="B2" s="10" t="n">
        <v>2</v>
      </c>
      <c r="C2" s="10" t="s">
        <v>115</v>
      </c>
      <c r="D2" s="11" t="s">
        <v>503</v>
      </c>
      <c r="E2" s="10" t="s">
        <v>117</v>
      </c>
      <c r="F2" s="11" t="s">
        <v>504</v>
      </c>
      <c r="G2" s="10" t="s">
        <v>505</v>
      </c>
      <c r="H2" s="10" t="s">
        <v>506</v>
      </c>
      <c r="I2" s="11" t="s">
        <v>121</v>
      </c>
      <c r="J2" s="11" t="s">
        <v>507</v>
      </c>
      <c r="K2" s="12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6.45</v>
      </c>
      <c r="L2" s="10"/>
      <c r="M2" s="10"/>
      <c r="N2" s="10"/>
      <c r="O2" s="10" t="s">
        <v>123</v>
      </c>
      <c r="P2" s="11" t="s">
        <v>508</v>
      </c>
    </row>
    <row r="3" customFormat="false" ht="25.5" hidden="false" customHeight="true" outlineLevel="0" collapsed="false">
      <c r="A3" s="10" t="n">
        <v>142</v>
      </c>
      <c r="B3" s="10" t="n">
        <v>2</v>
      </c>
      <c r="C3" s="10" t="s">
        <v>125</v>
      </c>
      <c r="D3" s="13" t="s">
        <v>509</v>
      </c>
      <c r="E3" s="10" t="s">
        <v>117</v>
      </c>
      <c r="F3" s="11" t="s">
        <v>504</v>
      </c>
      <c r="G3" s="10" t="s">
        <v>505</v>
      </c>
      <c r="H3" s="10" t="s">
        <v>506</v>
      </c>
      <c r="I3" s="11" t="s">
        <v>121</v>
      </c>
      <c r="J3" s="13" t="s">
        <v>510</v>
      </c>
      <c r="K3" s="12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6.45</v>
      </c>
      <c r="L3" s="10"/>
      <c r="M3" s="10"/>
      <c r="N3" s="10"/>
      <c r="O3" s="10" t="s">
        <v>123</v>
      </c>
      <c r="P3" s="11"/>
    </row>
    <row r="4" customFormat="false" ht="25.5" hidden="false" customHeight="true" outlineLevel="0" collapsed="false">
      <c r="A4" s="10" t="n">
        <v>143</v>
      </c>
      <c r="B4" s="10" t="n">
        <v>2</v>
      </c>
      <c r="C4" s="10" t="s">
        <v>115</v>
      </c>
      <c r="D4" s="11" t="s">
        <v>511</v>
      </c>
      <c r="E4" s="10" t="s">
        <v>117</v>
      </c>
      <c r="F4" s="11" t="s">
        <v>504</v>
      </c>
      <c r="G4" s="10" t="s">
        <v>505</v>
      </c>
      <c r="H4" s="10" t="s">
        <v>506</v>
      </c>
      <c r="I4" s="11" t="s">
        <v>121</v>
      </c>
      <c r="J4" s="11" t="s">
        <v>512</v>
      </c>
      <c r="K4" s="12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6.45</v>
      </c>
      <c r="L4" s="10"/>
      <c r="M4" s="10"/>
      <c r="N4" s="10"/>
      <c r="O4" s="10" t="s">
        <v>123</v>
      </c>
      <c r="P4" s="11" t="s">
        <v>508</v>
      </c>
    </row>
    <row r="5" customFormat="false" ht="25.5" hidden="false" customHeight="true" outlineLevel="0" collapsed="false">
      <c r="A5" s="10" t="n">
        <v>144</v>
      </c>
      <c r="B5" s="10" t="n">
        <v>2</v>
      </c>
      <c r="C5" s="10" t="s">
        <v>125</v>
      </c>
      <c r="D5" s="13" t="s">
        <v>513</v>
      </c>
      <c r="E5" s="10" t="s">
        <v>117</v>
      </c>
      <c r="F5" s="11" t="s">
        <v>504</v>
      </c>
      <c r="G5" s="10" t="s">
        <v>505</v>
      </c>
      <c r="H5" s="10" t="s">
        <v>506</v>
      </c>
      <c r="I5" s="11" t="s">
        <v>121</v>
      </c>
      <c r="J5" s="13" t="s">
        <v>514</v>
      </c>
      <c r="K5" s="12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6.45</v>
      </c>
      <c r="L5" s="10"/>
      <c r="M5" s="10"/>
      <c r="N5" s="10"/>
      <c r="O5" s="10" t="s">
        <v>123</v>
      </c>
      <c r="P5" s="11"/>
    </row>
    <row r="6" customFormat="false" ht="25.5" hidden="false" customHeight="true" outlineLevel="0" collapsed="false">
      <c r="A6" s="10" t="n">
        <v>145</v>
      </c>
      <c r="B6" s="10" t="n">
        <v>2</v>
      </c>
      <c r="C6" s="10" t="s">
        <v>115</v>
      </c>
      <c r="D6" s="11" t="s">
        <v>515</v>
      </c>
      <c r="E6" s="10" t="s">
        <v>117</v>
      </c>
      <c r="F6" s="11" t="s">
        <v>504</v>
      </c>
      <c r="G6" s="10" t="s">
        <v>505</v>
      </c>
      <c r="H6" s="10" t="s">
        <v>506</v>
      </c>
      <c r="I6" s="11" t="s">
        <v>121</v>
      </c>
      <c r="J6" s="11" t="s">
        <v>516</v>
      </c>
      <c r="K6" s="12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6.45</v>
      </c>
      <c r="L6" s="10"/>
      <c r="M6" s="10"/>
      <c r="N6" s="10"/>
      <c r="O6" s="10" t="s">
        <v>123</v>
      </c>
      <c r="P6" s="11" t="s">
        <v>508</v>
      </c>
    </row>
    <row r="7" customFormat="false" ht="25.5" hidden="false" customHeight="true" outlineLevel="0" collapsed="false">
      <c r="A7" s="10" t="n">
        <v>146</v>
      </c>
      <c r="B7" s="10" t="n">
        <v>2</v>
      </c>
      <c r="C7" s="10" t="s">
        <v>125</v>
      </c>
      <c r="D7" s="13" t="s">
        <v>517</v>
      </c>
      <c r="E7" s="10" t="s">
        <v>117</v>
      </c>
      <c r="F7" s="11" t="s">
        <v>504</v>
      </c>
      <c r="G7" s="10" t="s">
        <v>505</v>
      </c>
      <c r="H7" s="10" t="s">
        <v>506</v>
      </c>
      <c r="I7" s="11" t="s">
        <v>121</v>
      </c>
      <c r="J7" s="13" t="s">
        <v>518</v>
      </c>
      <c r="K7" s="12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6.45</v>
      </c>
      <c r="L7" s="10"/>
      <c r="M7" s="10"/>
      <c r="N7" s="10"/>
      <c r="O7" s="10" t="s">
        <v>123</v>
      </c>
      <c r="P7" s="11"/>
    </row>
    <row r="8" customFormat="false" ht="25.5" hidden="false" customHeight="true" outlineLevel="0" collapsed="false">
      <c r="A8" s="10" t="n">
        <v>147</v>
      </c>
      <c r="B8" s="10" t="n">
        <v>2</v>
      </c>
      <c r="C8" s="10" t="s">
        <v>115</v>
      </c>
      <c r="D8" s="11" t="s">
        <v>519</v>
      </c>
      <c r="E8" s="10" t="s">
        <v>117</v>
      </c>
      <c r="F8" s="11" t="s">
        <v>504</v>
      </c>
      <c r="G8" s="10" t="s">
        <v>505</v>
      </c>
      <c r="H8" s="10" t="s">
        <v>506</v>
      </c>
      <c r="I8" s="11" t="s">
        <v>121</v>
      </c>
      <c r="J8" s="11" t="s">
        <v>520</v>
      </c>
      <c r="K8" s="12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6.45</v>
      </c>
      <c r="L8" s="10"/>
      <c r="M8" s="10"/>
      <c r="N8" s="10"/>
      <c r="O8" s="10" t="s">
        <v>123</v>
      </c>
      <c r="P8" s="11" t="s">
        <v>508</v>
      </c>
    </row>
    <row r="9" customFormat="false" ht="25.5" hidden="false" customHeight="true" outlineLevel="0" collapsed="false">
      <c r="A9" s="10" t="n">
        <v>148</v>
      </c>
      <c r="B9" s="10" t="n">
        <v>2</v>
      </c>
      <c r="C9" s="10" t="s">
        <v>125</v>
      </c>
      <c r="D9" s="13" t="s">
        <v>521</v>
      </c>
      <c r="E9" s="10" t="s">
        <v>117</v>
      </c>
      <c r="F9" s="11" t="s">
        <v>504</v>
      </c>
      <c r="G9" s="10" t="s">
        <v>505</v>
      </c>
      <c r="H9" s="10" t="s">
        <v>506</v>
      </c>
      <c r="I9" s="11" t="s">
        <v>121</v>
      </c>
      <c r="J9" s="13" t="s">
        <v>522</v>
      </c>
      <c r="K9" s="12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6.45</v>
      </c>
      <c r="L9" s="10"/>
      <c r="M9" s="10"/>
      <c r="N9" s="10"/>
      <c r="O9" s="10" t="s">
        <v>123</v>
      </c>
      <c r="P9" s="11"/>
    </row>
    <row r="10" customFormat="false" ht="25.5" hidden="false" customHeight="true" outlineLevel="0" collapsed="false">
      <c r="A10" s="10" t="n">
        <v>149</v>
      </c>
      <c r="B10" s="10" t="n">
        <v>2</v>
      </c>
      <c r="C10" s="10" t="s">
        <v>115</v>
      </c>
      <c r="D10" s="11" t="s">
        <v>523</v>
      </c>
      <c r="E10" s="10" t="s">
        <v>117</v>
      </c>
      <c r="F10" s="11" t="s">
        <v>504</v>
      </c>
      <c r="G10" s="10" t="s">
        <v>505</v>
      </c>
      <c r="H10" s="10" t="s">
        <v>506</v>
      </c>
      <c r="I10" s="11" t="s">
        <v>121</v>
      </c>
      <c r="J10" s="11" t="s">
        <v>524</v>
      </c>
      <c r="K10" s="12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6.45</v>
      </c>
      <c r="L10" s="10"/>
      <c r="M10" s="10"/>
      <c r="N10" s="10"/>
      <c r="O10" s="10" t="s">
        <v>123</v>
      </c>
      <c r="P10" s="11" t="s">
        <v>508</v>
      </c>
    </row>
    <row r="11" customFormat="false" ht="25.5" hidden="false" customHeight="true" outlineLevel="0" collapsed="false">
      <c r="A11" s="10" t="n">
        <v>150</v>
      </c>
      <c r="B11" s="10" t="n">
        <v>2</v>
      </c>
      <c r="C11" s="10" t="s">
        <v>125</v>
      </c>
      <c r="D11" s="13" t="s">
        <v>525</v>
      </c>
      <c r="E11" s="10" t="s">
        <v>117</v>
      </c>
      <c r="F11" s="11" t="s">
        <v>504</v>
      </c>
      <c r="G11" s="10" t="s">
        <v>505</v>
      </c>
      <c r="H11" s="10" t="s">
        <v>506</v>
      </c>
      <c r="I11" s="11" t="s">
        <v>121</v>
      </c>
      <c r="J11" s="13" t="s">
        <v>526</v>
      </c>
      <c r="K11" s="12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6.45</v>
      </c>
      <c r="L11" s="10"/>
      <c r="M11" s="10"/>
      <c r="N11" s="10"/>
      <c r="O11" s="10" t="s">
        <v>123</v>
      </c>
      <c r="P11" s="11"/>
    </row>
    <row r="12" customFormat="false" ht="25.5" hidden="false" customHeight="true" outlineLevel="0" collapsed="false">
      <c r="A12" s="10" t="n">
        <v>151</v>
      </c>
      <c r="B12" s="10" t="n">
        <v>2</v>
      </c>
      <c r="C12" s="10" t="s">
        <v>115</v>
      </c>
      <c r="D12" s="11" t="s">
        <v>527</v>
      </c>
      <c r="E12" s="10" t="s">
        <v>117</v>
      </c>
      <c r="F12" s="11" t="s">
        <v>504</v>
      </c>
      <c r="G12" s="10" t="s">
        <v>505</v>
      </c>
      <c r="H12" s="10" t="s">
        <v>506</v>
      </c>
      <c r="I12" s="11" t="s">
        <v>121</v>
      </c>
      <c r="J12" s="11" t="s">
        <v>528</v>
      </c>
      <c r="K12" s="12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6.45</v>
      </c>
      <c r="L12" s="10"/>
      <c r="M12" s="10"/>
      <c r="N12" s="10"/>
      <c r="O12" s="10" t="s">
        <v>123</v>
      </c>
      <c r="P12" s="11" t="s">
        <v>508</v>
      </c>
    </row>
    <row r="13" customFormat="false" ht="25.5" hidden="false" customHeight="true" outlineLevel="0" collapsed="false">
      <c r="A13" s="10" t="n">
        <v>152</v>
      </c>
      <c r="B13" s="10" t="n">
        <v>2</v>
      </c>
      <c r="C13" s="10" t="s">
        <v>125</v>
      </c>
      <c r="D13" s="13" t="s">
        <v>529</v>
      </c>
      <c r="E13" s="10" t="s">
        <v>117</v>
      </c>
      <c r="F13" s="11" t="s">
        <v>504</v>
      </c>
      <c r="G13" s="10" t="s">
        <v>505</v>
      </c>
      <c r="H13" s="10" t="s">
        <v>506</v>
      </c>
      <c r="I13" s="11" t="s">
        <v>121</v>
      </c>
      <c r="J13" s="13" t="s">
        <v>530</v>
      </c>
      <c r="K13" s="12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6.45</v>
      </c>
      <c r="L13" s="10"/>
      <c r="M13" s="10"/>
      <c r="N13" s="10"/>
      <c r="O13" s="10" t="s">
        <v>123</v>
      </c>
      <c r="P13" s="11"/>
    </row>
    <row r="14" customFormat="false" ht="25.5" hidden="false" customHeight="true" outlineLevel="0" collapsed="false">
      <c r="A14" s="10" t="n">
        <v>153</v>
      </c>
      <c r="B14" s="10" t="n">
        <v>2</v>
      </c>
      <c r="C14" s="10" t="s">
        <v>115</v>
      </c>
      <c r="D14" s="11" t="s">
        <v>531</v>
      </c>
      <c r="E14" s="10" t="s">
        <v>117</v>
      </c>
      <c r="F14" s="11" t="s">
        <v>504</v>
      </c>
      <c r="G14" s="10" t="s">
        <v>505</v>
      </c>
      <c r="H14" s="10" t="s">
        <v>506</v>
      </c>
      <c r="I14" s="11" t="s">
        <v>121</v>
      </c>
      <c r="J14" s="11" t="s">
        <v>532</v>
      </c>
      <c r="K14" s="12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6.45</v>
      </c>
      <c r="L14" s="10"/>
      <c r="M14" s="10"/>
      <c r="N14" s="10"/>
      <c r="O14" s="10" t="s">
        <v>123</v>
      </c>
      <c r="P14" s="11" t="s">
        <v>508</v>
      </c>
    </row>
    <row r="15" customFormat="false" ht="25.5" hidden="false" customHeight="true" outlineLevel="0" collapsed="false">
      <c r="A15" s="10" t="n">
        <v>154</v>
      </c>
      <c r="B15" s="10" t="n">
        <v>2</v>
      </c>
      <c r="C15" s="10" t="s">
        <v>125</v>
      </c>
      <c r="D15" s="13" t="s">
        <v>533</v>
      </c>
      <c r="E15" s="10" t="s">
        <v>117</v>
      </c>
      <c r="F15" s="11" t="s">
        <v>504</v>
      </c>
      <c r="G15" s="10" t="s">
        <v>505</v>
      </c>
      <c r="H15" s="10" t="s">
        <v>506</v>
      </c>
      <c r="I15" s="11" t="s">
        <v>121</v>
      </c>
      <c r="J15" s="13" t="s">
        <v>534</v>
      </c>
      <c r="K15" s="12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6.45</v>
      </c>
      <c r="L15" s="10"/>
      <c r="M15" s="10"/>
      <c r="N15" s="10"/>
      <c r="O15" s="10" t="s">
        <v>123</v>
      </c>
      <c r="P15" s="11"/>
    </row>
    <row r="16" customFormat="false" ht="25.5" hidden="false" customHeight="true" outlineLevel="0" collapsed="false">
      <c r="A16" s="10" t="n">
        <v>155</v>
      </c>
      <c r="B16" s="10" t="n">
        <v>2</v>
      </c>
      <c r="C16" s="10" t="s">
        <v>115</v>
      </c>
      <c r="D16" s="11" t="s">
        <v>535</v>
      </c>
      <c r="E16" s="10" t="s">
        <v>117</v>
      </c>
      <c r="F16" s="11" t="s">
        <v>504</v>
      </c>
      <c r="G16" s="10" t="s">
        <v>505</v>
      </c>
      <c r="H16" s="10" t="s">
        <v>506</v>
      </c>
      <c r="I16" s="11" t="s">
        <v>121</v>
      </c>
      <c r="J16" s="11" t="s">
        <v>536</v>
      </c>
      <c r="K16" s="12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6.45</v>
      </c>
      <c r="L16" s="10"/>
      <c r="M16" s="10"/>
      <c r="N16" s="10"/>
      <c r="O16" s="10" t="s">
        <v>123</v>
      </c>
      <c r="P16" s="11" t="s">
        <v>508</v>
      </c>
    </row>
    <row r="17" customFormat="false" ht="25.5" hidden="false" customHeight="true" outlineLevel="0" collapsed="false">
      <c r="A17" s="10" t="n">
        <v>156</v>
      </c>
      <c r="B17" s="10" t="n">
        <v>2</v>
      </c>
      <c r="C17" s="10" t="s">
        <v>125</v>
      </c>
      <c r="D17" s="13" t="s">
        <v>537</v>
      </c>
      <c r="E17" s="10" t="s">
        <v>117</v>
      </c>
      <c r="F17" s="11" t="s">
        <v>504</v>
      </c>
      <c r="G17" s="10" t="s">
        <v>505</v>
      </c>
      <c r="H17" s="10" t="s">
        <v>506</v>
      </c>
      <c r="I17" s="11" t="s">
        <v>121</v>
      </c>
      <c r="J17" s="13" t="s">
        <v>538</v>
      </c>
      <c r="K17" s="12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6.45</v>
      </c>
      <c r="L17" s="10"/>
      <c r="M17" s="10"/>
      <c r="N17" s="10"/>
      <c r="O17" s="10" t="s">
        <v>123</v>
      </c>
      <c r="P17" s="11"/>
    </row>
    <row r="18" customFormat="false" ht="25.5" hidden="false" customHeight="true" outlineLevel="0" collapsed="false">
      <c r="A18" s="10" t="n">
        <v>157</v>
      </c>
      <c r="B18" s="10" t="n">
        <v>2</v>
      </c>
      <c r="C18" s="10" t="s">
        <v>115</v>
      </c>
      <c r="D18" s="11" t="s">
        <v>539</v>
      </c>
      <c r="E18" s="10" t="s">
        <v>117</v>
      </c>
      <c r="F18" s="11" t="s">
        <v>504</v>
      </c>
      <c r="G18" s="10" t="s">
        <v>505</v>
      </c>
      <c r="H18" s="10" t="s">
        <v>506</v>
      </c>
      <c r="I18" s="11" t="s">
        <v>121</v>
      </c>
      <c r="J18" s="11" t="s">
        <v>540</v>
      </c>
      <c r="K18" s="12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6.45</v>
      </c>
      <c r="L18" s="10"/>
      <c r="M18" s="10"/>
      <c r="N18" s="10"/>
      <c r="O18" s="10" t="s">
        <v>123</v>
      </c>
      <c r="P18" s="11" t="s">
        <v>508</v>
      </c>
    </row>
    <row r="19" customFormat="false" ht="25.5" hidden="false" customHeight="true" outlineLevel="0" collapsed="false">
      <c r="A19" s="10" t="n">
        <v>158</v>
      </c>
      <c r="B19" s="10" t="n">
        <v>2</v>
      </c>
      <c r="C19" s="10" t="s">
        <v>125</v>
      </c>
      <c r="D19" s="13" t="s">
        <v>541</v>
      </c>
      <c r="E19" s="10" t="s">
        <v>117</v>
      </c>
      <c r="F19" s="11" t="s">
        <v>504</v>
      </c>
      <c r="G19" s="10" t="s">
        <v>505</v>
      </c>
      <c r="H19" s="10" t="s">
        <v>506</v>
      </c>
      <c r="I19" s="11" t="s">
        <v>121</v>
      </c>
      <c r="J19" s="13" t="s">
        <v>542</v>
      </c>
      <c r="K19" s="12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6.45</v>
      </c>
      <c r="L19" s="10"/>
      <c r="M19" s="10"/>
      <c r="N19" s="10"/>
      <c r="O19" s="10" t="s">
        <v>123</v>
      </c>
      <c r="P19" s="11"/>
    </row>
    <row r="20" customFormat="false" ht="25.5" hidden="false" customHeight="true" outlineLevel="0" collapsed="false">
      <c r="A20" s="10" t="n">
        <v>159</v>
      </c>
      <c r="B20" s="10" t="n">
        <v>2</v>
      </c>
      <c r="C20" s="10" t="s">
        <v>115</v>
      </c>
      <c r="D20" s="11" t="s">
        <v>543</v>
      </c>
      <c r="E20" s="10" t="s">
        <v>117</v>
      </c>
      <c r="F20" s="11" t="s">
        <v>504</v>
      </c>
      <c r="G20" s="10" t="s">
        <v>505</v>
      </c>
      <c r="H20" s="10" t="s">
        <v>506</v>
      </c>
      <c r="I20" s="11" t="s">
        <v>121</v>
      </c>
      <c r="J20" s="11" t="s">
        <v>544</v>
      </c>
      <c r="K20" s="12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6.45</v>
      </c>
      <c r="L20" s="10"/>
      <c r="M20" s="10"/>
      <c r="N20" s="10"/>
      <c r="O20" s="10" t="s">
        <v>123</v>
      </c>
      <c r="P20" s="11" t="s">
        <v>508</v>
      </c>
    </row>
    <row r="21" customFormat="false" ht="25.5" hidden="false" customHeight="true" outlineLevel="0" collapsed="false">
      <c r="A21" s="10" t="n">
        <v>160</v>
      </c>
      <c r="B21" s="10" t="n">
        <v>2</v>
      </c>
      <c r="C21" s="10" t="s">
        <v>125</v>
      </c>
      <c r="D21" s="13" t="s">
        <v>545</v>
      </c>
      <c r="E21" s="10" t="s">
        <v>117</v>
      </c>
      <c r="F21" s="11" t="s">
        <v>504</v>
      </c>
      <c r="G21" s="10" t="s">
        <v>505</v>
      </c>
      <c r="H21" s="10" t="s">
        <v>506</v>
      </c>
      <c r="I21" s="11" t="s">
        <v>121</v>
      </c>
      <c r="J21" s="13" t="s">
        <v>546</v>
      </c>
      <c r="K21" s="12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6.45</v>
      </c>
      <c r="L21" s="10"/>
      <c r="M21" s="10"/>
      <c r="N21" s="10"/>
      <c r="O21" s="10" t="s">
        <v>123</v>
      </c>
      <c r="P21" s="11"/>
    </row>
    <row r="22" customFormat="false" ht="25.5" hidden="false" customHeight="true" outlineLevel="0" collapsed="false">
      <c r="A22" s="10" t="n">
        <v>161</v>
      </c>
      <c r="B22" s="10" t="n">
        <v>2</v>
      </c>
      <c r="C22" s="10" t="s">
        <v>115</v>
      </c>
      <c r="D22" s="11" t="s">
        <v>547</v>
      </c>
      <c r="E22" s="10" t="s">
        <v>117</v>
      </c>
      <c r="F22" s="11" t="s">
        <v>504</v>
      </c>
      <c r="G22" s="10" t="s">
        <v>505</v>
      </c>
      <c r="H22" s="10" t="s">
        <v>506</v>
      </c>
      <c r="I22" s="11" t="s">
        <v>121</v>
      </c>
      <c r="J22" s="11" t="s">
        <v>548</v>
      </c>
      <c r="K22" s="12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6.45</v>
      </c>
      <c r="L22" s="10"/>
      <c r="M22" s="10"/>
      <c r="N22" s="10"/>
      <c r="O22" s="10" t="s">
        <v>123</v>
      </c>
      <c r="P22" s="11" t="s">
        <v>508</v>
      </c>
    </row>
    <row r="23" customFormat="false" ht="25.5" hidden="false" customHeight="true" outlineLevel="0" collapsed="false">
      <c r="A23" s="10" t="n">
        <v>162</v>
      </c>
      <c r="B23" s="10" t="n">
        <v>2</v>
      </c>
      <c r="C23" s="10" t="s">
        <v>125</v>
      </c>
      <c r="D23" s="13" t="s">
        <v>549</v>
      </c>
      <c r="E23" s="10" t="s">
        <v>117</v>
      </c>
      <c r="F23" s="11" t="s">
        <v>504</v>
      </c>
      <c r="G23" s="10" t="s">
        <v>505</v>
      </c>
      <c r="H23" s="10" t="s">
        <v>506</v>
      </c>
      <c r="I23" s="11" t="s">
        <v>121</v>
      </c>
      <c r="J23" s="13" t="s">
        <v>550</v>
      </c>
      <c r="K23" s="12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6.45</v>
      </c>
      <c r="L23" s="10"/>
      <c r="M23" s="10"/>
      <c r="N23" s="10"/>
      <c r="O23" s="10" t="s">
        <v>123</v>
      </c>
      <c r="P23" s="11"/>
    </row>
    <row r="24" customFormat="false" ht="25.5" hidden="false" customHeight="true" outlineLevel="0" collapsed="false">
      <c r="A24" s="10" t="n">
        <v>163</v>
      </c>
      <c r="B24" s="10" t="n">
        <v>2</v>
      </c>
      <c r="C24" s="10" t="s">
        <v>115</v>
      </c>
      <c r="D24" s="11" t="s">
        <v>551</v>
      </c>
      <c r="E24" s="10" t="s">
        <v>117</v>
      </c>
      <c r="F24" s="11" t="s">
        <v>504</v>
      </c>
      <c r="G24" s="10" t="s">
        <v>505</v>
      </c>
      <c r="H24" s="10" t="s">
        <v>506</v>
      </c>
      <c r="I24" s="11" t="s">
        <v>121</v>
      </c>
      <c r="J24" s="11" t="s">
        <v>552</v>
      </c>
      <c r="K24" s="12" t="n">
        <f aca="false">ROUND((IF(E24="Transactional",5,IF(E24="Commercial",4,IF(E24="Comparison",3,IF(E24="Informational",2,3))))*LOG10(IF(ISNUMBER(L24),L24,IFERROR(VALUE(LEFT(F24,FIND("-",F24)-1)),100))+1))/IF(IF(ISBLANK(M24),G24,M24)="High",5,IF(IF(ISBLANK(M24),G24,M24)="Medium",3,1)),2)</f>
        <v>6.45</v>
      </c>
      <c r="L24" s="10"/>
      <c r="M24" s="10"/>
      <c r="N24" s="10"/>
      <c r="O24" s="10" t="s">
        <v>123</v>
      </c>
      <c r="P24" s="11" t="s">
        <v>508</v>
      </c>
    </row>
    <row r="25" customFormat="false" ht="25.5" hidden="false" customHeight="true" outlineLevel="0" collapsed="false">
      <c r="A25" s="10" t="n">
        <v>164</v>
      </c>
      <c r="B25" s="10" t="n">
        <v>2</v>
      </c>
      <c r="C25" s="10" t="s">
        <v>125</v>
      </c>
      <c r="D25" s="13" t="s">
        <v>553</v>
      </c>
      <c r="E25" s="10" t="s">
        <v>117</v>
      </c>
      <c r="F25" s="11" t="s">
        <v>504</v>
      </c>
      <c r="G25" s="10" t="s">
        <v>505</v>
      </c>
      <c r="H25" s="10" t="s">
        <v>506</v>
      </c>
      <c r="I25" s="11" t="s">
        <v>121</v>
      </c>
      <c r="J25" s="13" t="s">
        <v>554</v>
      </c>
      <c r="K25" s="12" t="n">
        <f aca="false">ROUND((IF(E25="Transactional",5,IF(E25="Commercial",4,IF(E25="Comparison",3,IF(E25="Informational",2,3))))*LOG10(IF(ISNUMBER(L25),L25,IFERROR(VALUE(LEFT(F25,FIND("-",F25)-1)),100))+1))/IF(IF(ISBLANK(M25),G25,M25)="High",5,IF(IF(ISBLANK(M25),G25,M25)="Medium",3,1)),2)</f>
        <v>6.45</v>
      </c>
      <c r="L25" s="10"/>
      <c r="M25" s="10"/>
      <c r="N25" s="10"/>
      <c r="O25" s="10" t="s">
        <v>123</v>
      </c>
      <c r="P25" s="11"/>
    </row>
    <row r="26" customFormat="false" ht="25.5" hidden="false" customHeight="true" outlineLevel="0" collapsed="false">
      <c r="A26" s="10" t="n">
        <v>165</v>
      </c>
      <c r="B26" s="10" t="n">
        <v>2</v>
      </c>
      <c r="C26" s="10" t="s">
        <v>115</v>
      </c>
      <c r="D26" s="11" t="s">
        <v>555</v>
      </c>
      <c r="E26" s="10" t="s">
        <v>117</v>
      </c>
      <c r="F26" s="11" t="s">
        <v>504</v>
      </c>
      <c r="G26" s="10" t="s">
        <v>505</v>
      </c>
      <c r="H26" s="10" t="s">
        <v>506</v>
      </c>
      <c r="I26" s="11" t="s">
        <v>121</v>
      </c>
      <c r="J26" s="11" t="s">
        <v>556</v>
      </c>
      <c r="K26" s="12" t="n">
        <f aca="false">ROUND((IF(E26="Transactional",5,IF(E26="Commercial",4,IF(E26="Comparison",3,IF(E26="Informational",2,3))))*LOG10(IF(ISNUMBER(L26),L26,IFERROR(VALUE(LEFT(F26,FIND("-",F26)-1)),100))+1))/IF(IF(ISBLANK(M26),G26,M26)="High",5,IF(IF(ISBLANK(M26),G26,M26)="Medium",3,1)),2)</f>
        <v>6.45</v>
      </c>
      <c r="L26" s="10"/>
      <c r="M26" s="10"/>
      <c r="N26" s="10"/>
      <c r="O26" s="10" t="s">
        <v>123</v>
      </c>
      <c r="P26" s="11" t="s">
        <v>508</v>
      </c>
    </row>
    <row r="27" customFormat="false" ht="25.5" hidden="false" customHeight="true" outlineLevel="0" collapsed="false">
      <c r="A27" s="10" t="n">
        <v>166</v>
      </c>
      <c r="B27" s="10" t="n">
        <v>2</v>
      </c>
      <c r="C27" s="10" t="s">
        <v>125</v>
      </c>
      <c r="D27" s="13" t="s">
        <v>557</v>
      </c>
      <c r="E27" s="10" t="s">
        <v>117</v>
      </c>
      <c r="F27" s="11" t="s">
        <v>504</v>
      </c>
      <c r="G27" s="10" t="s">
        <v>505</v>
      </c>
      <c r="H27" s="10" t="s">
        <v>506</v>
      </c>
      <c r="I27" s="11" t="s">
        <v>121</v>
      </c>
      <c r="J27" s="13" t="s">
        <v>558</v>
      </c>
      <c r="K27" s="12" t="n">
        <f aca="false">ROUND((IF(E27="Transactional",5,IF(E27="Commercial",4,IF(E27="Comparison",3,IF(E27="Informational",2,3))))*LOG10(IF(ISNUMBER(L27),L27,IFERROR(VALUE(LEFT(F27,FIND("-",F27)-1)),100))+1))/IF(IF(ISBLANK(M27),G27,M27)="High",5,IF(IF(ISBLANK(M27),G27,M27)="Medium",3,1)),2)</f>
        <v>6.45</v>
      </c>
      <c r="L27" s="10"/>
      <c r="M27" s="10"/>
      <c r="N27" s="10"/>
      <c r="O27" s="10" t="s">
        <v>123</v>
      </c>
      <c r="P27" s="11"/>
    </row>
    <row r="28" customFormat="false" ht="25.5" hidden="false" customHeight="true" outlineLevel="0" collapsed="false">
      <c r="A28" s="10" t="n">
        <v>167</v>
      </c>
      <c r="B28" s="10" t="n">
        <v>2</v>
      </c>
      <c r="C28" s="10" t="s">
        <v>115</v>
      </c>
      <c r="D28" s="11" t="s">
        <v>559</v>
      </c>
      <c r="E28" s="10" t="s">
        <v>117</v>
      </c>
      <c r="F28" s="11" t="s">
        <v>504</v>
      </c>
      <c r="G28" s="10" t="s">
        <v>505</v>
      </c>
      <c r="H28" s="10" t="s">
        <v>506</v>
      </c>
      <c r="I28" s="11" t="s">
        <v>121</v>
      </c>
      <c r="J28" s="11" t="s">
        <v>560</v>
      </c>
      <c r="K28" s="12" t="n">
        <f aca="false">ROUND((IF(E28="Transactional",5,IF(E28="Commercial",4,IF(E28="Comparison",3,IF(E28="Informational",2,3))))*LOG10(IF(ISNUMBER(L28),L28,IFERROR(VALUE(LEFT(F28,FIND("-",F28)-1)),100))+1))/IF(IF(ISBLANK(M28),G28,M28)="High",5,IF(IF(ISBLANK(M28),G28,M28)="Medium",3,1)),2)</f>
        <v>6.45</v>
      </c>
      <c r="L28" s="10"/>
      <c r="M28" s="10"/>
      <c r="N28" s="10"/>
      <c r="O28" s="10" t="s">
        <v>123</v>
      </c>
      <c r="P28" s="11" t="s">
        <v>508</v>
      </c>
    </row>
    <row r="29" customFormat="false" ht="25.5" hidden="false" customHeight="true" outlineLevel="0" collapsed="false">
      <c r="A29" s="10" t="n">
        <v>168</v>
      </c>
      <c r="B29" s="10" t="n">
        <v>2</v>
      </c>
      <c r="C29" s="10" t="s">
        <v>125</v>
      </c>
      <c r="D29" s="13" t="s">
        <v>561</v>
      </c>
      <c r="E29" s="10" t="s">
        <v>117</v>
      </c>
      <c r="F29" s="11" t="s">
        <v>504</v>
      </c>
      <c r="G29" s="10" t="s">
        <v>505</v>
      </c>
      <c r="H29" s="10" t="s">
        <v>506</v>
      </c>
      <c r="I29" s="11" t="s">
        <v>121</v>
      </c>
      <c r="J29" s="13" t="s">
        <v>562</v>
      </c>
      <c r="K29" s="12" t="n">
        <f aca="false">ROUND((IF(E29="Transactional",5,IF(E29="Commercial",4,IF(E29="Comparison",3,IF(E29="Informational",2,3))))*LOG10(IF(ISNUMBER(L29),L29,IFERROR(VALUE(LEFT(F29,FIND("-",F29)-1)),100))+1))/IF(IF(ISBLANK(M29),G29,M29)="High",5,IF(IF(ISBLANK(M29),G29,M29)="Medium",3,1)),2)</f>
        <v>6.45</v>
      </c>
      <c r="L29" s="10"/>
      <c r="M29" s="10"/>
      <c r="N29" s="10"/>
      <c r="O29" s="10" t="s">
        <v>123</v>
      </c>
      <c r="P29" s="11"/>
    </row>
    <row r="30" customFormat="false" ht="25.5" hidden="false" customHeight="true" outlineLevel="0" collapsed="false">
      <c r="A30" s="10" t="n">
        <v>169</v>
      </c>
      <c r="B30" s="10" t="n">
        <v>2</v>
      </c>
      <c r="C30" s="10" t="s">
        <v>115</v>
      </c>
      <c r="D30" s="11" t="s">
        <v>563</v>
      </c>
      <c r="E30" s="10" t="s">
        <v>117</v>
      </c>
      <c r="F30" s="11" t="s">
        <v>504</v>
      </c>
      <c r="G30" s="10" t="s">
        <v>505</v>
      </c>
      <c r="H30" s="10" t="s">
        <v>506</v>
      </c>
      <c r="I30" s="11" t="s">
        <v>121</v>
      </c>
      <c r="J30" s="11" t="s">
        <v>564</v>
      </c>
      <c r="K30" s="12" t="n">
        <f aca="false">ROUND((IF(E30="Transactional",5,IF(E30="Commercial",4,IF(E30="Comparison",3,IF(E30="Informational",2,3))))*LOG10(IF(ISNUMBER(L30),L30,IFERROR(VALUE(LEFT(F30,FIND("-",F30)-1)),100))+1))/IF(IF(ISBLANK(M30),G30,M30)="High",5,IF(IF(ISBLANK(M30),G30,M30)="Medium",3,1)),2)</f>
        <v>6.45</v>
      </c>
      <c r="L30" s="10"/>
      <c r="M30" s="10"/>
      <c r="N30" s="10"/>
      <c r="O30" s="10" t="s">
        <v>123</v>
      </c>
      <c r="P30" s="11" t="s">
        <v>508</v>
      </c>
    </row>
    <row r="31" customFormat="false" ht="25.5" hidden="false" customHeight="true" outlineLevel="0" collapsed="false">
      <c r="A31" s="10" t="n">
        <v>170</v>
      </c>
      <c r="B31" s="10" t="n">
        <v>2</v>
      </c>
      <c r="C31" s="10" t="s">
        <v>125</v>
      </c>
      <c r="D31" s="13" t="s">
        <v>565</v>
      </c>
      <c r="E31" s="10" t="s">
        <v>117</v>
      </c>
      <c r="F31" s="11" t="s">
        <v>504</v>
      </c>
      <c r="G31" s="10" t="s">
        <v>505</v>
      </c>
      <c r="H31" s="10" t="s">
        <v>506</v>
      </c>
      <c r="I31" s="11" t="s">
        <v>121</v>
      </c>
      <c r="J31" s="13" t="s">
        <v>566</v>
      </c>
      <c r="K31" s="12" t="n">
        <f aca="false">ROUND((IF(E31="Transactional",5,IF(E31="Commercial",4,IF(E31="Comparison",3,IF(E31="Informational",2,3))))*LOG10(IF(ISNUMBER(L31),L31,IFERROR(VALUE(LEFT(F31,FIND("-",F31)-1)),100))+1))/IF(IF(ISBLANK(M31),G31,M31)="High",5,IF(IF(ISBLANK(M31),G31,M31)="Medium",3,1)),2)</f>
        <v>6.45</v>
      </c>
      <c r="L31" s="10"/>
      <c r="M31" s="10"/>
      <c r="N31" s="10"/>
      <c r="O31" s="10" t="s">
        <v>123</v>
      </c>
      <c r="P31" s="11"/>
    </row>
    <row r="32" customFormat="false" ht="25.5" hidden="false" customHeight="true" outlineLevel="0" collapsed="false">
      <c r="A32" s="10" t="n">
        <v>171</v>
      </c>
      <c r="B32" s="10" t="n">
        <v>2</v>
      </c>
      <c r="C32" s="10" t="s">
        <v>115</v>
      </c>
      <c r="D32" s="11" t="s">
        <v>567</v>
      </c>
      <c r="E32" s="10" t="s">
        <v>117</v>
      </c>
      <c r="F32" s="11" t="s">
        <v>504</v>
      </c>
      <c r="G32" s="10" t="s">
        <v>505</v>
      </c>
      <c r="H32" s="10" t="s">
        <v>506</v>
      </c>
      <c r="I32" s="11" t="s">
        <v>121</v>
      </c>
      <c r="J32" s="11" t="s">
        <v>568</v>
      </c>
      <c r="K32" s="12" t="n">
        <f aca="false">ROUND((IF(E32="Transactional",5,IF(E32="Commercial",4,IF(E32="Comparison",3,IF(E32="Informational",2,3))))*LOG10(IF(ISNUMBER(L32),L32,IFERROR(VALUE(LEFT(F32,FIND("-",F32)-1)),100))+1))/IF(IF(ISBLANK(M32),G32,M32)="High",5,IF(IF(ISBLANK(M32),G32,M32)="Medium",3,1)),2)</f>
        <v>6.45</v>
      </c>
      <c r="L32" s="10"/>
      <c r="M32" s="10"/>
      <c r="N32" s="10"/>
      <c r="O32" s="10" t="s">
        <v>123</v>
      </c>
      <c r="P32" s="11" t="s">
        <v>508</v>
      </c>
    </row>
    <row r="33" customFormat="false" ht="25.5" hidden="false" customHeight="true" outlineLevel="0" collapsed="false">
      <c r="A33" s="10" t="n">
        <v>172</v>
      </c>
      <c r="B33" s="10" t="n">
        <v>2</v>
      </c>
      <c r="C33" s="10" t="s">
        <v>125</v>
      </c>
      <c r="D33" s="13" t="s">
        <v>569</v>
      </c>
      <c r="E33" s="10" t="s">
        <v>117</v>
      </c>
      <c r="F33" s="11" t="s">
        <v>504</v>
      </c>
      <c r="G33" s="10" t="s">
        <v>505</v>
      </c>
      <c r="H33" s="10" t="s">
        <v>506</v>
      </c>
      <c r="I33" s="11" t="s">
        <v>121</v>
      </c>
      <c r="J33" s="13" t="s">
        <v>570</v>
      </c>
      <c r="K33" s="12" t="n">
        <f aca="false">ROUND((IF(E33="Transactional",5,IF(E33="Commercial",4,IF(E33="Comparison",3,IF(E33="Informational",2,3))))*LOG10(IF(ISNUMBER(L33),L33,IFERROR(VALUE(LEFT(F33,FIND("-",F33)-1)),100))+1))/IF(IF(ISBLANK(M33),G33,M33)="High",5,IF(IF(ISBLANK(M33),G33,M33)="Medium",3,1)),2)</f>
        <v>6.45</v>
      </c>
      <c r="L33" s="10"/>
      <c r="M33" s="10"/>
      <c r="N33" s="10"/>
      <c r="O33" s="10" t="s">
        <v>123</v>
      </c>
      <c r="P33" s="11"/>
    </row>
    <row r="34" customFormat="false" ht="25.5" hidden="false" customHeight="true" outlineLevel="0" collapsed="false">
      <c r="A34" s="10" t="n">
        <v>173</v>
      </c>
      <c r="B34" s="10" t="n">
        <v>2</v>
      </c>
      <c r="C34" s="10" t="s">
        <v>115</v>
      </c>
      <c r="D34" s="11" t="s">
        <v>571</v>
      </c>
      <c r="E34" s="10" t="s">
        <v>117</v>
      </c>
      <c r="F34" s="11" t="s">
        <v>572</v>
      </c>
      <c r="G34" s="10" t="s">
        <v>505</v>
      </c>
      <c r="H34" s="10" t="s">
        <v>506</v>
      </c>
      <c r="I34" s="11" t="s">
        <v>121</v>
      </c>
      <c r="J34" s="11" t="s">
        <v>573</v>
      </c>
      <c r="K34" s="12" t="n">
        <f aca="false">ROUND((IF(E34="Transactional",5,IF(E34="Commercial",4,IF(E34="Comparison",3,IF(E34="Informational",2,3))))*LOG10(IF(ISNUMBER(L34),L34,IFERROR(VALUE(LEFT(F34,FIND("-",F34)-1)),100))+1))/IF(IF(ISBLANK(M34),G34,M34)="High",5,IF(IF(ISBLANK(M34),G34,M34)="Medium",3,1)),2)</f>
        <v>5.97</v>
      </c>
      <c r="L34" s="10"/>
      <c r="M34" s="10"/>
      <c r="N34" s="10"/>
      <c r="O34" s="10" t="s">
        <v>123</v>
      </c>
      <c r="P34" s="11" t="s">
        <v>508</v>
      </c>
    </row>
    <row r="35" customFormat="false" ht="25.5" hidden="false" customHeight="true" outlineLevel="0" collapsed="false">
      <c r="A35" s="10" t="n">
        <v>174</v>
      </c>
      <c r="B35" s="10" t="n">
        <v>2</v>
      </c>
      <c r="C35" s="10" t="s">
        <v>125</v>
      </c>
      <c r="D35" s="13" t="s">
        <v>574</v>
      </c>
      <c r="E35" s="10" t="s">
        <v>117</v>
      </c>
      <c r="F35" s="11" t="s">
        <v>572</v>
      </c>
      <c r="G35" s="10" t="s">
        <v>505</v>
      </c>
      <c r="H35" s="10" t="s">
        <v>506</v>
      </c>
      <c r="I35" s="11" t="s">
        <v>121</v>
      </c>
      <c r="J35" s="13" t="s">
        <v>575</v>
      </c>
      <c r="K35" s="12" t="n">
        <f aca="false">ROUND((IF(E35="Transactional",5,IF(E35="Commercial",4,IF(E35="Comparison",3,IF(E35="Informational",2,3))))*LOG10(IF(ISNUMBER(L35),L35,IFERROR(VALUE(LEFT(F35,FIND("-",F35)-1)),100))+1))/IF(IF(ISBLANK(M35),G35,M35)="High",5,IF(IF(ISBLANK(M35),G35,M35)="Medium",3,1)),2)</f>
        <v>5.97</v>
      </c>
      <c r="L35" s="10"/>
      <c r="M35" s="10"/>
      <c r="N35" s="10"/>
      <c r="O35" s="10" t="s">
        <v>123</v>
      </c>
      <c r="P35" s="11"/>
    </row>
    <row r="36" customFormat="false" ht="25.5" hidden="false" customHeight="true" outlineLevel="0" collapsed="false">
      <c r="A36" s="10" t="n">
        <v>175</v>
      </c>
      <c r="B36" s="10" t="n">
        <v>2</v>
      </c>
      <c r="C36" s="10" t="s">
        <v>115</v>
      </c>
      <c r="D36" s="11" t="s">
        <v>576</v>
      </c>
      <c r="E36" s="10" t="s">
        <v>117</v>
      </c>
      <c r="F36" s="11" t="s">
        <v>572</v>
      </c>
      <c r="G36" s="10" t="s">
        <v>505</v>
      </c>
      <c r="H36" s="10" t="s">
        <v>506</v>
      </c>
      <c r="I36" s="11" t="s">
        <v>121</v>
      </c>
      <c r="J36" s="11" t="s">
        <v>577</v>
      </c>
      <c r="K36" s="12" t="n">
        <f aca="false">ROUND((IF(E36="Transactional",5,IF(E36="Commercial",4,IF(E36="Comparison",3,IF(E36="Informational",2,3))))*LOG10(IF(ISNUMBER(L36),L36,IFERROR(VALUE(LEFT(F36,FIND("-",F36)-1)),100))+1))/IF(IF(ISBLANK(M36),G36,M36)="High",5,IF(IF(ISBLANK(M36),G36,M36)="Medium",3,1)),2)</f>
        <v>5.97</v>
      </c>
      <c r="L36" s="10"/>
      <c r="M36" s="10"/>
      <c r="N36" s="10"/>
      <c r="O36" s="10" t="s">
        <v>123</v>
      </c>
      <c r="P36" s="11" t="s">
        <v>508</v>
      </c>
    </row>
    <row r="37" customFormat="false" ht="25.5" hidden="false" customHeight="true" outlineLevel="0" collapsed="false">
      <c r="A37" s="10" t="n">
        <v>176</v>
      </c>
      <c r="B37" s="10" t="n">
        <v>2</v>
      </c>
      <c r="C37" s="10" t="s">
        <v>125</v>
      </c>
      <c r="D37" s="13" t="s">
        <v>578</v>
      </c>
      <c r="E37" s="10" t="s">
        <v>117</v>
      </c>
      <c r="F37" s="11" t="s">
        <v>572</v>
      </c>
      <c r="G37" s="10" t="s">
        <v>505</v>
      </c>
      <c r="H37" s="10" t="s">
        <v>506</v>
      </c>
      <c r="I37" s="11" t="s">
        <v>121</v>
      </c>
      <c r="J37" s="13" t="s">
        <v>579</v>
      </c>
      <c r="K37" s="12" t="n">
        <f aca="false">ROUND((IF(E37="Transactional",5,IF(E37="Commercial",4,IF(E37="Comparison",3,IF(E37="Informational",2,3))))*LOG10(IF(ISNUMBER(L37),L37,IFERROR(VALUE(LEFT(F37,FIND("-",F37)-1)),100))+1))/IF(IF(ISBLANK(M37),G37,M37)="High",5,IF(IF(ISBLANK(M37),G37,M37)="Medium",3,1)),2)</f>
        <v>5.97</v>
      </c>
      <c r="L37" s="10"/>
      <c r="M37" s="10"/>
      <c r="N37" s="10"/>
      <c r="O37" s="10" t="s">
        <v>123</v>
      </c>
      <c r="P37" s="11"/>
    </row>
    <row r="38" customFormat="false" ht="25.5" hidden="false" customHeight="true" outlineLevel="0" collapsed="false">
      <c r="A38" s="10" t="n">
        <v>177</v>
      </c>
      <c r="B38" s="10" t="n">
        <v>2</v>
      </c>
      <c r="C38" s="10" t="s">
        <v>115</v>
      </c>
      <c r="D38" s="11" t="s">
        <v>580</v>
      </c>
      <c r="E38" s="10" t="s">
        <v>117</v>
      </c>
      <c r="F38" s="11" t="s">
        <v>572</v>
      </c>
      <c r="G38" s="10" t="s">
        <v>505</v>
      </c>
      <c r="H38" s="10" t="s">
        <v>506</v>
      </c>
      <c r="I38" s="11" t="s">
        <v>121</v>
      </c>
      <c r="J38" s="11" t="s">
        <v>581</v>
      </c>
      <c r="K38" s="12" t="n">
        <f aca="false">ROUND((IF(E38="Transactional",5,IF(E38="Commercial",4,IF(E38="Comparison",3,IF(E38="Informational",2,3))))*LOG10(IF(ISNUMBER(L38),L38,IFERROR(VALUE(LEFT(F38,FIND("-",F38)-1)),100))+1))/IF(IF(ISBLANK(M38),G38,M38)="High",5,IF(IF(ISBLANK(M38),G38,M38)="Medium",3,1)),2)</f>
        <v>5.97</v>
      </c>
      <c r="L38" s="10"/>
      <c r="M38" s="10"/>
      <c r="N38" s="10"/>
      <c r="O38" s="10" t="s">
        <v>123</v>
      </c>
      <c r="P38" s="11" t="s">
        <v>508</v>
      </c>
    </row>
    <row r="39" customFormat="false" ht="25.5" hidden="false" customHeight="true" outlineLevel="0" collapsed="false">
      <c r="A39" s="10" t="n">
        <v>178</v>
      </c>
      <c r="B39" s="10" t="n">
        <v>2</v>
      </c>
      <c r="C39" s="10" t="s">
        <v>125</v>
      </c>
      <c r="D39" s="13" t="s">
        <v>582</v>
      </c>
      <c r="E39" s="10" t="s">
        <v>117</v>
      </c>
      <c r="F39" s="11" t="s">
        <v>572</v>
      </c>
      <c r="G39" s="10" t="s">
        <v>505</v>
      </c>
      <c r="H39" s="10" t="s">
        <v>506</v>
      </c>
      <c r="I39" s="11" t="s">
        <v>121</v>
      </c>
      <c r="J39" s="13" t="s">
        <v>583</v>
      </c>
      <c r="K39" s="12" t="n">
        <f aca="false">ROUND((IF(E39="Transactional",5,IF(E39="Commercial",4,IF(E39="Comparison",3,IF(E39="Informational",2,3))))*LOG10(IF(ISNUMBER(L39),L39,IFERROR(VALUE(LEFT(F39,FIND("-",F39)-1)),100))+1))/IF(IF(ISBLANK(M39),G39,M39)="High",5,IF(IF(ISBLANK(M39),G39,M39)="Medium",3,1)),2)</f>
        <v>5.97</v>
      </c>
      <c r="L39" s="10"/>
      <c r="M39" s="10"/>
      <c r="N39" s="10"/>
      <c r="O39" s="10" t="s">
        <v>123</v>
      </c>
      <c r="P39" s="11"/>
    </row>
    <row r="40" customFormat="false" ht="25.5" hidden="false" customHeight="true" outlineLevel="0" collapsed="false">
      <c r="A40" s="10" t="n">
        <v>179</v>
      </c>
      <c r="B40" s="10" t="n">
        <v>2</v>
      </c>
      <c r="C40" s="10" t="s">
        <v>115</v>
      </c>
      <c r="D40" s="11" t="s">
        <v>584</v>
      </c>
      <c r="E40" s="10" t="s">
        <v>117</v>
      </c>
      <c r="F40" s="11" t="s">
        <v>572</v>
      </c>
      <c r="G40" s="10" t="s">
        <v>505</v>
      </c>
      <c r="H40" s="10" t="s">
        <v>506</v>
      </c>
      <c r="I40" s="11" t="s">
        <v>121</v>
      </c>
      <c r="J40" s="11" t="s">
        <v>585</v>
      </c>
      <c r="K40" s="12" t="n">
        <f aca="false">ROUND((IF(E40="Transactional",5,IF(E40="Commercial",4,IF(E40="Comparison",3,IF(E40="Informational",2,3))))*LOG10(IF(ISNUMBER(L40),L40,IFERROR(VALUE(LEFT(F40,FIND("-",F40)-1)),100))+1))/IF(IF(ISBLANK(M40),G40,M40)="High",5,IF(IF(ISBLANK(M40),G40,M40)="Medium",3,1)),2)</f>
        <v>5.97</v>
      </c>
      <c r="L40" s="10"/>
      <c r="M40" s="10"/>
      <c r="N40" s="10"/>
      <c r="O40" s="10" t="s">
        <v>123</v>
      </c>
      <c r="P40" s="11" t="s">
        <v>508</v>
      </c>
    </row>
    <row r="41" customFormat="false" ht="25.5" hidden="false" customHeight="true" outlineLevel="0" collapsed="false">
      <c r="A41" s="10" t="n">
        <v>180</v>
      </c>
      <c r="B41" s="10" t="n">
        <v>2</v>
      </c>
      <c r="C41" s="10" t="s">
        <v>125</v>
      </c>
      <c r="D41" s="13" t="s">
        <v>586</v>
      </c>
      <c r="E41" s="10" t="s">
        <v>117</v>
      </c>
      <c r="F41" s="11" t="s">
        <v>572</v>
      </c>
      <c r="G41" s="10" t="s">
        <v>505</v>
      </c>
      <c r="H41" s="10" t="s">
        <v>506</v>
      </c>
      <c r="I41" s="11" t="s">
        <v>121</v>
      </c>
      <c r="J41" s="13" t="s">
        <v>587</v>
      </c>
      <c r="K41" s="12" t="n">
        <f aca="false">ROUND((IF(E41="Transactional",5,IF(E41="Commercial",4,IF(E41="Comparison",3,IF(E41="Informational",2,3))))*LOG10(IF(ISNUMBER(L41),L41,IFERROR(VALUE(LEFT(F41,FIND("-",F41)-1)),100))+1))/IF(IF(ISBLANK(M41),G41,M41)="High",5,IF(IF(ISBLANK(M41),G41,M41)="Medium",3,1)),2)</f>
        <v>5.97</v>
      </c>
      <c r="L41" s="10"/>
      <c r="M41" s="10"/>
      <c r="N41" s="10"/>
      <c r="O41" s="10" t="s">
        <v>123</v>
      </c>
      <c r="P41" s="11"/>
    </row>
    <row r="42" customFormat="false" ht="25.5" hidden="false" customHeight="true" outlineLevel="0" collapsed="false">
      <c r="A42" s="10" t="n">
        <v>181</v>
      </c>
      <c r="B42" s="10" t="n">
        <v>2</v>
      </c>
      <c r="C42" s="10" t="s">
        <v>115</v>
      </c>
      <c r="D42" s="11" t="s">
        <v>588</v>
      </c>
      <c r="E42" s="10" t="s">
        <v>117</v>
      </c>
      <c r="F42" s="11" t="s">
        <v>572</v>
      </c>
      <c r="G42" s="10" t="s">
        <v>505</v>
      </c>
      <c r="H42" s="10" t="s">
        <v>506</v>
      </c>
      <c r="I42" s="11" t="s">
        <v>121</v>
      </c>
      <c r="J42" s="11" t="s">
        <v>589</v>
      </c>
      <c r="K42" s="12" t="n">
        <f aca="false">ROUND((IF(E42="Transactional",5,IF(E42="Commercial",4,IF(E42="Comparison",3,IF(E42="Informational",2,3))))*LOG10(IF(ISNUMBER(L42),L42,IFERROR(VALUE(LEFT(F42,FIND("-",F42)-1)),100))+1))/IF(IF(ISBLANK(M42),G42,M42)="High",5,IF(IF(ISBLANK(M42),G42,M42)="Medium",3,1)),2)</f>
        <v>5.97</v>
      </c>
      <c r="L42" s="10"/>
      <c r="M42" s="10"/>
      <c r="N42" s="10"/>
      <c r="O42" s="10" t="s">
        <v>123</v>
      </c>
      <c r="P42" s="11" t="s">
        <v>508</v>
      </c>
    </row>
    <row r="43" customFormat="false" ht="25.5" hidden="false" customHeight="true" outlineLevel="0" collapsed="false">
      <c r="A43" s="10" t="n">
        <v>182</v>
      </c>
      <c r="B43" s="10" t="n">
        <v>2</v>
      </c>
      <c r="C43" s="10" t="s">
        <v>125</v>
      </c>
      <c r="D43" s="13" t="s">
        <v>590</v>
      </c>
      <c r="E43" s="10" t="s">
        <v>117</v>
      </c>
      <c r="F43" s="11" t="s">
        <v>572</v>
      </c>
      <c r="G43" s="10" t="s">
        <v>505</v>
      </c>
      <c r="H43" s="10" t="s">
        <v>506</v>
      </c>
      <c r="I43" s="11" t="s">
        <v>121</v>
      </c>
      <c r="J43" s="13" t="s">
        <v>591</v>
      </c>
      <c r="K43" s="12" t="n">
        <f aca="false">ROUND((IF(E43="Transactional",5,IF(E43="Commercial",4,IF(E43="Comparison",3,IF(E43="Informational",2,3))))*LOG10(IF(ISNUMBER(L43),L43,IFERROR(VALUE(LEFT(F43,FIND("-",F43)-1)),100))+1))/IF(IF(ISBLANK(M43),G43,M43)="High",5,IF(IF(ISBLANK(M43),G43,M43)="Medium",3,1)),2)</f>
        <v>5.97</v>
      </c>
      <c r="L43" s="10"/>
      <c r="M43" s="10"/>
      <c r="N43" s="10"/>
      <c r="O43" s="10" t="s">
        <v>123</v>
      </c>
      <c r="P43" s="11"/>
    </row>
    <row r="44" customFormat="false" ht="25.5" hidden="false" customHeight="true" outlineLevel="0" collapsed="false">
      <c r="A44" s="10" t="n">
        <v>183</v>
      </c>
      <c r="B44" s="10" t="n">
        <v>2</v>
      </c>
      <c r="C44" s="10" t="s">
        <v>115</v>
      </c>
      <c r="D44" s="11" t="s">
        <v>592</v>
      </c>
      <c r="E44" s="10" t="s">
        <v>117</v>
      </c>
      <c r="F44" s="11" t="s">
        <v>572</v>
      </c>
      <c r="G44" s="10" t="s">
        <v>505</v>
      </c>
      <c r="H44" s="10" t="s">
        <v>506</v>
      </c>
      <c r="I44" s="11" t="s">
        <v>121</v>
      </c>
      <c r="J44" s="11" t="s">
        <v>593</v>
      </c>
      <c r="K44" s="12" t="n">
        <f aca="false">ROUND((IF(E44="Transactional",5,IF(E44="Commercial",4,IF(E44="Comparison",3,IF(E44="Informational",2,3))))*LOG10(IF(ISNUMBER(L44),L44,IFERROR(VALUE(LEFT(F44,FIND("-",F44)-1)),100))+1))/IF(IF(ISBLANK(M44),G44,M44)="High",5,IF(IF(ISBLANK(M44),G44,M44)="Medium",3,1)),2)</f>
        <v>5.97</v>
      </c>
      <c r="L44" s="10"/>
      <c r="M44" s="10"/>
      <c r="N44" s="10"/>
      <c r="O44" s="10" t="s">
        <v>123</v>
      </c>
      <c r="P44" s="11" t="s">
        <v>508</v>
      </c>
    </row>
    <row r="45" customFormat="false" ht="25.5" hidden="false" customHeight="true" outlineLevel="0" collapsed="false">
      <c r="A45" s="10" t="n">
        <v>184</v>
      </c>
      <c r="B45" s="10" t="n">
        <v>2</v>
      </c>
      <c r="C45" s="10" t="s">
        <v>125</v>
      </c>
      <c r="D45" s="13" t="s">
        <v>594</v>
      </c>
      <c r="E45" s="10" t="s">
        <v>117</v>
      </c>
      <c r="F45" s="11" t="s">
        <v>572</v>
      </c>
      <c r="G45" s="10" t="s">
        <v>505</v>
      </c>
      <c r="H45" s="10" t="s">
        <v>506</v>
      </c>
      <c r="I45" s="11" t="s">
        <v>121</v>
      </c>
      <c r="J45" s="13" t="s">
        <v>595</v>
      </c>
      <c r="K45" s="12" t="n">
        <f aca="false">ROUND((IF(E45="Transactional",5,IF(E45="Commercial",4,IF(E45="Comparison",3,IF(E45="Informational",2,3))))*LOG10(IF(ISNUMBER(L45),L45,IFERROR(VALUE(LEFT(F45,FIND("-",F45)-1)),100))+1))/IF(IF(ISBLANK(M45),G45,M45)="High",5,IF(IF(ISBLANK(M45),G45,M45)="Medium",3,1)),2)</f>
        <v>5.97</v>
      </c>
      <c r="L45" s="10"/>
      <c r="M45" s="10"/>
      <c r="N45" s="10"/>
      <c r="O45" s="10" t="s">
        <v>123</v>
      </c>
      <c r="P45" s="11"/>
    </row>
    <row r="46" customFormat="false" ht="25.5" hidden="false" customHeight="true" outlineLevel="0" collapsed="false">
      <c r="A46" s="10" t="n">
        <v>185</v>
      </c>
      <c r="B46" s="10" t="n">
        <v>2</v>
      </c>
      <c r="C46" s="10" t="s">
        <v>115</v>
      </c>
      <c r="D46" s="11" t="s">
        <v>596</v>
      </c>
      <c r="E46" s="10" t="s">
        <v>117</v>
      </c>
      <c r="F46" s="11" t="s">
        <v>572</v>
      </c>
      <c r="G46" s="10" t="s">
        <v>505</v>
      </c>
      <c r="H46" s="10" t="s">
        <v>506</v>
      </c>
      <c r="I46" s="11" t="s">
        <v>121</v>
      </c>
      <c r="J46" s="11" t="s">
        <v>597</v>
      </c>
      <c r="K46" s="12" t="n">
        <f aca="false">ROUND((IF(E46="Transactional",5,IF(E46="Commercial",4,IF(E46="Comparison",3,IF(E46="Informational",2,3))))*LOG10(IF(ISNUMBER(L46),L46,IFERROR(VALUE(LEFT(F46,FIND("-",F46)-1)),100))+1))/IF(IF(ISBLANK(M46),G46,M46)="High",5,IF(IF(ISBLANK(M46),G46,M46)="Medium",3,1)),2)</f>
        <v>5.97</v>
      </c>
      <c r="L46" s="10"/>
      <c r="M46" s="10"/>
      <c r="N46" s="10"/>
      <c r="O46" s="10" t="s">
        <v>123</v>
      </c>
      <c r="P46" s="11" t="s">
        <v>508</v>
      </c>
    </row>
    <row r="47" customFormat="false" ht="25.5" hidden="false" customHeight="true" outlineLevel="0" collapsed="false">
      <c r="A47" s="10" t="n">
        <v>186</v>
      </c>
      <c r="B47" s="10" t="n">
        <v>2</v>
      </c>
      <c r="C47" s="10" t="s">
        <v>125</v>
      </c>
      <c r="D47" s="13" t="s">
        <v>598</v>
      </c>
      <c r="E47" s="10" t="s">
        <v>117</v>
      </c>
      <c r="F47" s="11" t="s">
        <v>572</v>
      </c>
      <c r="G47" s="10" t="s">
        <v>505</v>
      </c>
      <c r="H47" s="10" t="s">
        <v>506</v>
      </c>
      <c r="I47" s="11" t="s">
        <v>121</v>
      </c>
      <c r="J47" s="13" t="s">
        <v>599</v>
      </c>
      <c r="K47" s="12" t="n">
        <f aca="false">ROUND((IF(E47="Transactional",5,IF(E47="Commercial",4,IF(E47="Comparison",3,IF(E47="Informational",2,3))))*LOG10(IF(ISNUMBER(L47),L47,IFERROR(VALUE(LEFT(F47,FIND("-",F47)-1)),100))+1))/IF(IF(ISBLANK(M47),G47,M47)="High",5,IF(IF(ISBLANK(M47),G47,M47)="Medium",3,1)),2)</f>
        <v>5.97</v>
      </c>
      <c r="L47" s="10"/>
      <c r="M47" s="10"/>
      <c r="N47" s="10"/>
      <c r="O47" s="10" t="s">
        <v>123</v>
      </c>
      <c r="P47" s="11"/>
    </row>
    <row r="48" customFormat="false" ht="25.5" hidden="false" customHeight="true" outlineLevel="0" collapsed="false">
      <c r="A48" s="10" t="n">
        <v>187</v>
      </c>
      <c r="B48" s="10" t="n">
        <v>2</v>
      </c>
      <c r="C48" s="10" t="s">
        <v>115</v>
      </c>
      <c r="D48" s="11" t="s">
        <v>600</v>
      </c>
      <c r="E48" s="10" t="s">
        <v>117</v>
      </c>
      <c r="F48" s="11" t="s">
        <v>572</v>
      </c>
      <c r="G48" s="10" t="s">
        <v>505</v>
      </c>
      <c r="H48" s="10" t="s">
        <v>506</v>
      </c>
      <c r="I48" s="11" t="s">
        <v>121</v>
      </c>
      <c r="J48" s="11" t="s">
        <v>601</v>
      </c>
      <c r="K48" s="12" t="n">
        <f aca="false">ROUND((IF(E48="Transactional",5,IF(E48="Commercial",4,IF(E48="Comparison",3,IF(E48="Informational",2,3))))*LOG10(IF(ISNUMBER(L48),L48,IFERROR(VALUE(LEFT(F48,FIND("-",F48)-1)),100))+1))/IF(IF(ISBLANK(M48),G48,M48)="High",5,IF(IF(ISBLANK(M48),G48,M48)="Medium",3,1)),2)</f>
        <v>5.97</v>
      </c>
      <c r="L48" s="10"/>
      <c r="M48" s="10"/>
      <c r="N48" s="10"/>
      <c r="O48" s="10" t="s">
        <v>123</v>
      </c>
      <c r="P48" s="11" t="s">
        <v>508</v>
      </c>
    </row>
    <row r="49" customFormat="false" ht="25.5" hidden="false" customHeight="true" outlineLevel="0" collapsed="false">
      <c r="A49" s="10" t="n">
        <v>188</v>
      </c>
      <c r="B49" s="10" t="n">
        <v>2</v>
      </c>
      <c r="C49" s="10" t="s">
        <v>125</v>
      </c>
      <c r="D49" s="13" t="s">
        <v>602</v>
      </c>
      <c r="E49" s="10" t="s">
        <v>117</v>
      </c>
      <c r="F49" s="11" t="s">
        <v>572</v>
      </c>
      <c r="G49" s="10" t="s">
        <v>505</v>
      </c>
      <c r="H49" s="10" t="s">
        <v>506</v>
      </c>
      <c r="I49" s="11" t="s">
        <v>121</v>
      </c>
      <c r="J49" s="13" t="s">
        <v>603</v>
      </c>
      <c r="K49" s="12" t="n">
        <f aca="false">ROUND((IF(E49="Transactional",5,IF(E49="Commercial",4,IF(E49="Comparison",3,IF(E49="Informational",2,3))))*LOG10(IF(ISNUMBER(L49),L49,IFERROR(VALUE(LEFT(F49,FIND("-",F49)-1)),100))+1))/IF(IF(ISBLANK(M49),G49,M49)="High",5,IF(IF(ISBLANK(M49),G49,M49)="Medium",3,1)),2)</f>
        <v>5.97</v>
      </c>
      <c r="L49" s="10"/>
      <c r="M49" s="10"/>
      <c r="N49" s="10"/>
      <c r="O49" s="10" t="s">
        <v>123</v>
      </c>
      <c r="P49" s="11"/>
    </row>
    <row r="50" customFormat="false" ht="25.5" hidden="false" customHeight="true" outlineLevel="0" collapsed="false">
      <c r="A50" s="10" t="n">
        <v>189</v>
      </c>
      <c r="B50" s="10" t="n">
        <v>2</v>
      </c>
      <c r="C50" s="10" t="s">
        <v>115</v>
      </c>
      <c r="D50" s="11" t="s">
        <v>604</v>
      </c>
      <c r="E50" s="10" t="s">
        <v>117</v>
      </c>
      <c r="F50" s="11" t="s">
        <v>572</v>
      </c>
      <c r="G50" s="10" t="s">
        <v>505</v>
      </c>
      <c r="H50" s="10" t="s">
        <v>506</v>
      </c>
      <c r="I50" s="11" t="s">
        <v>121</v>
      </c>
      <c r="J50" s="11" t="s">
        <v>605</v>
      </c>
      <c r="K50" s="12" t="n">
        <f aca="false">ROUND((IF(E50="Transactional",5,IF(E50="Commercial",4,IF(E50="Comparison",3,IF(E50="Informational",2,3))))*LOG10(IF(ISNUMBER(L50),L50,IFERROR(VALUE(LEFT(F50,FIND("-",F50)-1)),100))+1))/IF(IF(ISBLANK(M50),G50,M50)="High",5,IF(IF(ISBLANK(M50),G50,M50)="Medium",3,1)),2)</f>
        <v>5.97</v>
      </c>
      <c r="L50" s="10"/>
      <c r="M50" s="10"/>
      <c r="N50" s="10"/>
      <c r="O50" s="10" t="s">
        <v>123</v>
      </c>
      <c r="P50" s="11" t="s">
        <v>508</v>
      </c>
    </row>
    <row r="51" customFormat="false" ht="25.5" hidden="false" customHeight="true" outlineLevel="0" collapsed="false">
      <c r="A51" s="10" t="n">
        <v>190</v>
      </c>
      <c r="B51" s="10" t="n">
        <v>2</v>
      </c>
      <c r="C51" s="10" t="s">
        <v>125</v>
      </c>
      <c r="D51" s="13" t="s">
        <v>606</v>
      </c>
      <c r="E51" s="10" t="s">
        <v>117</v>
      </c>
      <c r="F51" s="11" t="s">
        <v>572</v>
      </c>
      <c r="G51" s="10" t="s">
        <v>505</v>
      </c>
      <c r="H51" s="10" t="s">
        <v>506</v>
      </c>
      <c r="I51" s="11" t="s">
        <v>121</v>
      </c>
      <c r="J51" s="13" t="s">
        <v>607</v>
      </c>
      <c r="K51" s="12" t="n">
        <f aca="false">ROUND((IF(E51="Transactional",5,IF(E51="Commercial",4,IF(E51="Comparison",3,IF(E51="Informational",2,3))))*LOG10(IF(ISNUMBER(L51),L51,IFERROR(VALUE(LEFT(F51,FIND("-",F51)-1)),100))+1))/IF(IF(ISBLANK(M51),G51,M51)="High",5,IF(IF(ISBLANK(M51),G51,M51)="Medium",3,1)),2)</f>
        <v>5.97</v>
      </c>
      <c r="L51" s="10"/>
      <c r="M51" s="10"/>
      <c r="N51" s="10"/>
      <c r="O51" s="10" t="s">
        <v>123</v>
      </c>
      <c r="P51" s="11"/>
    </row>
    <row r="52" customFormat="false" ht="25.5" hidden="false" customHeight="true" outlineLevel="0" collapsed="false">
      <c r="A52" s="10" t="n">
        <v>191</v>
      </c>
      <c r="B52" s="10" t="n">
        <v>2</v>
      </c>
      <c r="C52" s="10" t="s">
        <v>115</v>
      </c>
      <c r="D52" s="11" t="s">
        <v>608</v>
      </c>
      <c r="E52" s="10" t="s">
        <v>117</v>
      </c>
      <c r="F52" s="11" t="s">
        <v>572</v>
      </c>
      <c r="G52" s="10" t="s">
        <v>505</v>
      </c>
      <c r="H52" s="10" t="s">
        <v>506</v>
      </c>
      <c r="I52" s="11" t="s">
        <v>121</v>
      </c>
      <c r="J52" s="11" t="s">
        <v>609</v>
      </c>
      <c r="K52" s="12" t="n">
        <f aca="false">ROUND((IF(E52="Transactional",5,IF(E52="Commercial",4,IF(E52="Comparison",3,IF(E52="Informational",2,3))))*LOG10(IF(ISNUMBER(L52),L52,IFERROR(VALUE(LEFT(F52,FIND("-",F52)-1)),100))+1))/IF(IF(ISBLANK(M52),G52,M52)="High",5,IF(IF(ISBLANK(M52),G52,M52)="Medium",3,1)),2)</f>
        <v>5.97</v>
      </c>
      <c r="L52" s="10"/>
      <c r="M52" s="10"/>
      <c r="N52" s="10"/>
      <c r="O52" s="10" t="s">
        <v>123</v>
      </c>
      <c r="P52" s="11" t="s">
        <v>508</v>
      </c>
    </row>
    <row r="53" customFormat="false" ht="25.5" hidden="false" customHeight="true" outlineLevel="0" collapsed="false">
      <c r="A53" s="10" t="n">
        <v>192</v>
      </c>
      <c r="B53" s="10" t="n">
        <v>2</v>
      </c>
      <c r="C53" s="10" t="s">
        <v>125</v>
      </c>
      <c r="D53" s="13" t="s">
        <v>610</v>
      </c>
      <c r="E53" s="10" t="s">
        <v>117</v>
      </c>
      <c r="F53" s="11" t="s">
        <v>572</v>
      </c>
      <c r="G53" s="10" t="s">
        <v>505</v>
      </c>
      <c r="H53" s="10" t="s">
        <v>506</v>
      </c>
      <c r="I53" s="11" t="s">
        <v>121</v>
      </c>
      <c r="J53" s="13" t="s">
        <v>611</v>
      </c>
      <c r="K53" s="12" t="n">
        <f aca="false">ROUND((IF(E53="Transactional",5,IF(E53="Commercial",4,IF(E53="Comparison",3,IF(E53="Informational",2,3))))*LOG10(IF(ISNUMBER(L53),L53,IFERROR(VALUE(LEFT(F53,FIND("-",F53)-1)),100))+1))/IF(IF(ISBLANK(M53),G53,M53)="High",5,IF(IF(ISBLANK(M53),G53,M53)="Medium",3,1)),2)</f>
        <v>5.97</v>
      </c>
      <c r="L53" s="10"/>
      <c r="M53" s="10"/>
      <c r="N53" s="10"/>
      <c r="O53" s="10" t="s">
        <v>123</v>
      </c>
      <c r="P53" s="11"/>
    </row>
    <row r="54" customFormat="false" ht="25.5" hidden="false" customHeight="true" outlineLevel="0" collapsed="false">
      <c r="A54" s="10" t="n">
        <v>193</v>
      </c>
      <c r="B54" s="10" t="n">
        <v>2</v>
      </c>
      <c r="C54" s="10" t="s">
        <v>115</v>
      </c>
      <c r="D54" s="11" t="s">
        <v>612</v>
      </c>
      <c r="E54" s="10" t="s">
        <v>117</v>
      </c>
      <c r="F54" s="11" t="s">
        <v>572</v>
      </c>
      <c r="G54" s="10" t="s">
        <v>505</v>
      </c>
      <c r="H54" s="10" t="s">
        <v>506</v>
      </c>
      <c r="I54" s="11" t="s">
        <v>121</v>
      </c>
      <c r="J54" s="11" t="s">
        <v>613</v>
      </c>
      <c r="K54" s="12" t="n">
        <f aca="false">ROUND((IF(E54="Transactional",5,IF(E54="Commercial",4,IF(E54="Comparison",3,IF(E54="Informational",2,3))))*LOG10(IF(ISNUMBER(L54),L54,IFERROR(VALUE(LEFT(F54,FIND("-",F54)-1)),100))+1))/IF(IF(ISBLANK(M54),G54,M54)="High",5,IF(IF(ISBLANK(M54),G54,M54)="Medium",3,1)),2)</f>
        <v>5.97</v>
      </c>
      <c r="L54" s="10"/>
      <c r="M54" s="10"/>
      <c r="N54" s="10"/>
      <c r="O54" s="10" t="s">
        <v>123</v>
      </c>
      <c r="P54" s="11" t="s">
        <v>508</v>
      </c>
    </row>
    <row r="55" customFormat="false" ht="25.5" hidden="false" customHeight="true" outlineLevel="0" collapsed="false">
      <c r="A55" s="10" t="n">
        <v>194</v>
      </c>
      <c r="B55" s="10" t="n">
        <v>2</v>
      </c>
      <c r="C55" s="10" t="s">
        <v>125</v>
      </c>
      <c r="D55" s="13" t="s">
        <v>614</v>
      </c>
      <c r="E55" s="10" t="s">
        <v>117</v>
      </c>
      <c r="F55" s="11" t="s">
        <v>572</v>
      </c>
      <c r="G55" s="10" t="s">
        <v>505</v>
      </c>
      <c r="H55" s="10" t="s">
        <v>506</v>
      </c>
      <c r="I55" s="11" t="s">
        <v>121</v>
      </c>
      <c r="J55" s="13" t="s">
        <v>615</v>
      </c>
      <c r="K55" s="12" t="n">
        <f aca="false">ROUND((IF(E55="Transactional",5,IF(E55="Commercial",4,IF(E55="Comparison",3,IF(E55="Informational",2,3))))*LOG10(IF(ISNUMBER(L55),L55,IFERROR(VALUE(LEFT(F55,FIND("-",F55)-1)),100))+1))/IF(IF(ISBLANK(M55),G55,M55)="High",5,IF(IF(ISBLANK(M55),G55,M55)="Medium",3,1)),2)</f>
        <v>5.97</v>
      </c>
      <c r="L55" s="10"/>
      <c r="M55" s="10"/>
      <c r="N55" s="10"/>
      <c r="O55" s="10" t="s">
        <v>123</v>
      </c>
      <c r="P55" s="11"/>
    </row>
    <row r="56" customFormat="false" ht="25.5" hidden="false" customHeight="true" outlineLevel="0" collapsed="false">
      <c r="A56" s="10" t="n">
        <v>195</v>
      </c>
      <c r="B56" s="10" t="n">
        <v>2</v>
      </c>
      <c r="C56" s="10" t="s">
        <v>115</v>
      </c>
      <c r="D56" s="11" t="s">
        <v>616</v>
      </c>
      <c r="E56" s="10" t="s">
        <v>117</v>
      </c>
      <c r="F56" s="11" t="s">
        <v>572</v>
      </c>
      <c r="G56" s="10" t="s">
        <v>505</v>
      </c>
      <c r="H56" s="10" t="s">
        <v>506</v>
      </c>
      <c r="I56" s="11" t="s">
        <v>121</v>
      </c>
      <c r="J56" s="11" t="s">
        <v>617</v>
      </c>
      <c r="K56" s="12" t="n">
        <f aca="false">ROUND((IF(E56="Transactional",5,IF(E56="Commercial",4,IF(E56="Comparison",3,IF(E56="Informational",2,3))))*LOG10(IF(ISNUMBER(L56),L56,IFERROR(VALUE(LEFT(F56,FIND("-",F56)-1)),100))+1))/IF(IF(ISBLANK(M56),G56,M56)="High",5,IF(IF(ISBLANK(M56),G56,M56)="Medium",3,1)),2)</f>
        <v>5.97</v>
      </c>
      <c r="L56" s="10"/>
      <c r="M56" s="10"/>
      <c r="N56" s="10"/>
      <c r="O56" s="10" t="s">
        <v>123</v>
      </c>
      <c r="P56" s="11" t="s">
        <v>508</v>
      </c>
    </row>
    <row r="57" customFormat="false" ht="25.5" hidden="false" customHeight="true" outlineLevel="0" collapsed="false">
      <c r="A57" s="10" t="n">
        <v>196</v>
      </c>
      <c r="B57" s="10" t="n">
        <v>2</v>
      </c>
      <c r="C57" s="10" t="s">
        <v>125</v>
      </c>
      <c r="D57" s="13" t="s">
        <v>618</v>
      </c>
      <c r="E57" s="10" t="s">
        <v>117</v>
      </c>
      <c r="F57" s="11" t="s">
        <v>572</v>
      </c>
      <c r="G57" s="10" t="s">
        <v>505</v>
      </c>
      <c r="H57" s="10" t="s">
        <v>506</v>
      </c>
      <c r="I57" s="11" t="s">
        <v>121</v>
      </c>
      <c r="J57" s="13" t="s">
        <v>619</v>
      </c>
      <c r="K57" s="12" t="n">
        <f aca="false">ROUND((IF(E57="Transactional",5,IF(E57="Commercial",4,IF(E57="Comparison",3,IF(E57="Informational",2,3))))*LOG10(IF(ISNUMBER(L57),L57,IFERROR(VALUE(LEFT(F57,FIND("-",F57)-1)),100))+1))/IF(IF(ISBLANK(M57),G57,M57)="High",5,IF(IF(ISBLANK(M57),G57,M57)="Medium",3,1)),2)</f>
        <v>5.97</v>
      </c>
      <c r="L57" s="10"/>
      <c r="M57" s="10"/>
      <c r="N57" s="10"/>
      <c r="O57" s="10" t="s">
        <v>123</v>
      </c>
      <c r="P57" s="11"/>
    </row>
    <row r="58" customFormat="false" ht="25.5" hidden="false" customHeight="true" outlineLevel="0" collapsed="false">
      <c r="A58" s="10" t="n">
        <v>197</v>
      </c>
      <c r="B58" s="10" t="n">
        <v>2</v>
      </c>
      <c r="C58" s="10" t="s">
        <v>115</v>
      </c>
      <c r="D58" s="11" t="s">
        <v>620</v>
      </c>
      <c r="E58" s="10" t="s">
        <v>117</v>
      </c>
      <c r="F58" s="11" t="s">
        <v>572</v>
      </c>
      <c r="G58" s="10" t="s">
        <v>505</v>
      </c>
      <c r="H58" s="10" t="s">
        <v>506</v>
      </c>
      <c r="I58" s="11" t="s">
        <v>121</v>
      </c>
      <c r="J58" s="11" t="s">
        <v>621</v>
      </c>
      <c r="K58" s="12" t="n">
        <f aca="false">ROUND((IF(E58="Transactional",5,IF(E58="Commercial",4,IF(E58="Comparison",3,IF(E58="Informational",2,3))))*LOG10(IF(ISNUMBER(L58),L58,IFERROR(VALUE(LEFT(F58,FIND("-",F58)-1)),100))+1))/IF(IF(ISBLANK(M58),G58,M58)="High",5,IF(IF(ISBLANK(M58),G58,M58)="Medium",3,1)),2)</f>
        <v>5.97</v>
      </c>
      <c r="L58" s="10"/>
      <c r="M58" s="10"/>
      <c r="N58" s="10"/>
      <c r="O58" s="10" t="s">
        <v>123</v>
      </c>
      <c r="P58" s="11" t="s">
        <v>508</v>
      </c>
    </row>
    <row r="59" customFormat="false" ht="25.5" hidden="false" customHeight="true" outlineLevel="0" collapsed="false">
      <c r="A59" s="10" t="n">
        <v>198</v>
      </c>
      <c r="B59" s="10" t="n">
        <v>2</v>
      </c>
      <c r="C59" s="10" t="s">
        <v>125</v>
      </c>
      <c r="D59" s="13" t="s">
        <v>622</v>
      </c>
      <c r="E59" s="10" t="s">
        <v>117</v>
      </c>
      <c r="F59" s="11" t="s">
        <v>572</v>
      </c>
      <c r="G59" s="10" t="s">
        <v>505</v>
      </c>
      <c r="H59" s="10" t="s">
        <v>506</v>
      </c>
      <c r="I59" s="11" t="s">
        <v>121</v>
      </c>
      <c r="J59" s="13" t="s">
        <v>623</v>
      </c>
      <c r="K59" s="12" t="n">
        <f aca="false">ROUND((IF(E59="Transactional",5,IF(E59="Commercial",4,IF(E59="Comparison",3,IF(E59="Informational",2,3))))*LOG10(IF(ISNUMBER(L59),L59,IFERROR(VALUE(LEFT(F59,FIND("-",F59)-1)),100))+1))/IF(IF(ISBLANK(M59),G59,M59)="High",5,IF(IF(ISBLANK(M59),G59,M59)="Medium",3,1)),2)</f>
        <v>5.97</v>
      </c>
      <c r="L59" s="10"/>
      <c r="M59" s="10"/>
      <c r="N59" s="10"/>
      <c r="O59" s="10" t="s">
        <v>123</v>
      </c>
      <c r="P59" s="11"/>
    </row>
    <row r="60" customFormat="false" ht="25.5" hidden="false" customHeight="true" outlineLevel="0" collapsed="false">
      <c r="A60" s="10" t="n">
        <v>199</v>
      </c>
      <c r="B60" s="10" t="n">
        <v>2</v>
      </c>
      <c r="C60" s="10" t="s">
        <v>115</v>
      </c>
      <c r="D60" s="11" t="s">
        <v>624</v>
      </c>
      <c r="E60" s="10" t="s">
        <v>117</v>
      </c>
      <c r="F60" s="11" t="s">
        <v>572</v>
      </c>
      <c r="G60" s="10" t="s">
        <v>505</v>
      </c>
      <c r="H60" s="10" t="s">
        <v>506</v>
      </c>
      <c r="I60" s="11" t="s">
        <v>121</v>
      </c>
      <c r="J60" s="11" t="s">
        <v>625</v>
      </c>
      <c r="K60" s="12" t="n">
        <f aca="false">ROUND((IF(E60="Transactional",5,IF(E60="Commercial",4,IF(E60="Comparison",3,IF(E60="Informational",2,3))))*LOG10(IF(ISNUMBER(L60),L60,IFERROR(VALUE(LEFT(F60,FIND("-",F60)-1)),100))+1))/IF(IF(ISBLANK(M60),G60,M60)="High",5,IF(IF(ISBLANK(M60),G60,M60)="Medium",3,1)),2)</f>
        <v>5.97</v>
      </c>
      <c r="L60" s="10"/>
      <c r="M60" s="10"/>
      <c r="N60" s="10"/>
      <c r="O60" s="10" t="s">
        <v>123</v>
      </c>
      <c r="P60" s="11" t="s">
        <v>508</v>
      </c>
    </row>
    <row r="61" customFormat="false" ht="25.5" hidden="false" customHeight="true" outlineLevel="0" collapsed="false">
      <c r="A61" s="10" t="n">
        <v>200</v>
      </c>
      <c r="B61" s="10" t="n">
        <v>2</v>
      </c>
      <c r="C61" s="10" t="s">
        <v>125</v>
      </c>
      <c r="D61" s="13" t="s">
        <v>626</v>
      </c>
      <c r="E61" s="10" t="s">
        <v>117</v>
      </c>
      <c r="F61" s="11" t="s">
        <v>572</v>
      </c>
      <c r="G61" s="10" t="s">
        <v>505</v>
      </c>
      <c r="H61" s="10" t="s">
        <v>506</v>
      </c>
      <c r="I61" s="11" t="s">
        <v>121</v>
      </c>
      <c r="J61" s="13" t="s">
        <v>627</v>
      </c>
      <c r="K61" s="12" t="n">
        <f aca="false">ROUND((IF(E61="Transactional",5,IF(E61="Commercial",4,IF(E61="Comparison",3,IF(E61="Informational",2,3))))*LOG10(IF(ISNUMBER(L61),L61,IFERROR(VALUE(LEFT(F61,FIND("-",F61)-1)),100))+1))/IF(IF(ISBLANK(M61),G61,M61)="High",5,IF(IF(ISBLANK(M61),G61,M61)="Medium",3,1)),2)</f>
        <v>5.97</v>
      </c>
      <c r="L61" s="10"/>
      <c r="M61" s="10"/>
      <c r="N61" s="10"/>
      <c r="O61" s="10" t="s">
        <v>123</v>
      </c>
      <c r="P61" s="11"/>
    </row>
    <row r="62" customFormat="false" ht="25.5" hidden="false" customHeight="true" outlineLevel="0" collapsed="false">
      <c r="A62" s="10" t="n">
        <v>201</v>
      </c>
      <c r="B62" s="10" t="n">
        <v>2</v>
      </c>
      <c r="C62" s="10" t="s">
        <v>115</v>
      </c>
      <c r="D62" s="11" t="s">
        <v>628</v>
      </c>
      <c r="E62" s="10" t="s">
        <v>117</v>
      </c>
      <c r="F62" s="11" t="s">
        <v>572</v>
      </c>
      <c r="G62" s="10" t="s">
        <v>505</v>
      </c>
      <c r="H62" s="10" t="s">
        <v>506</v>
      </c>
      <c r="I62" s="11" t="s">
        <v>121</v>
      </c>
      <c r="J62" s="11" t="s">
        <v>629</v>
      </c>
      <c r="K62" s="12" t="n">
        <f aca="false">ROUND((IF(E62="Transactional",5,IF(E62="Commercial",4,IF(E62="Comparison",3,IF(E62="Informational",2,3))))*LOG10(IF(ISNUMBER(L62),L62,IFERROR(VALUE(LEFT(F62,FIND("-",F62)-1)),100))+1))/IF(IF(ISBLANK(M62),G62,M62)="High",5,IF(IF(ISBLANK(M62),G62,M62)="Medium",3,1)),2)</f>
        <v>5.97</v>
      </c>
      <c r="L62" s="10"/>
      <c r="M62" s="10"/>
      <c r="N62" s="10"/>
      <c r="O62" s="10" t="s">
        <v>123</v>
      </c>
      <c r="P62" s="11" t="s">
        <v>508</v>
      </c>
    </row>
    <row r="63" customFormat="false" ht="25.5" hidden="false" customHeight="true" outlineLevel="0" collapsed="false">
      <c r="A63" s="10" t="n">
        <v>202</v>
      </c>
      <c r="B63" s="10" t="n">
        <v>2</v>
      </c>
      <c r="C63" s="10" t="s">
        <v>125</v>
      </c>
      <c r="D63" s="13" t="s">
        <v>630</v>
      </c>
      <c r="E63" s="10" t="s">
        <v>117</v>
      </c>
      <c r="F63" s="11" t="s">
        <v>572</v>
      </c>
      <c r="G63" s="10" t="s">
        <v>505</v>
      </c>
      <c r="H63" s="10" t="s">
        <v>506</v>
      </c>
      <c r="I63" s="11" t="s">
        <v>121</v>
      </c>
      <c r="J63" s="13" t="s">
        <v>631</v>
      </c>
      <c r="K63" s="12" t="n">
        <f aca="false">ROUND((IF(E63="Transactional",5,IF(E63="Commercial",4,IF(E63="Comparison",3,IF(E63="Informational",2,3))))*LOG10(IF(ISNUMBER(L63),L63,IFERROR(VALUE(LEFT(F63,FIND("-",F63)-1)),100))+1))/IF(IF(ISBLANK(M63),G63,M63)="High",5,IF(IF(ISBLANK(M63),G63,M63)="Medium",3,1)),2)</f>
        <v>5.97</v>
      </c>
      <c r="L63" s="10"/>
      <c r="M63" s="10"/>
      <c r="N63" s="10"/>
      <c r="O63" s="10" t="s">
        <v>123</v>
      </c>
      <c r="P63" s="11"/>
    </row>
    <row r="64" customFormat="false" ht="25.5" hidden="false" customHeight="true" outlineLevel="0" collapsed="false">
      <c r="A64" s="10" t="n">
        <v>203</v>
      </c>
      <c r="B64" s="10" t="n">
        <v>2</v>
      </c>
      <c r="C64" s="10" t="s">
        <v>115</v>
      </c>
      <c r="D64" s="11" t="s">
        <v>632</v>
      </c>
      <c r="E64" s="10" t="s">
        <v>117</v>
      </c>
      <c r="F64" s="11" t="s">
        <v>572</v>
      </c>
      <c r="G64" s="10" t="s">
        <v>505</v>
      </c>
      <c r="H64" s="10" t="s">
        <v>506</v>
      </c>
      <c r="I64" s="11" t="s">
        <v>121</v>
      </c>
      <c r="J64" s="11" t="s">
        <v>633</v>
      </c>
      <c r="K64" s="12" t="n">
        <f aca="false">ROUND((IF(E64="Transactional",5,IF(E64="Commercial",4,IF(E64="Comparison",3,IF(E64="Informational",2,3))))*LOG10(IF(ISNUMBER(L64),L64,IFERROR(VALUE(LEFT(F64,FIND("-",F64)-1)),100))+1))/IF(IF(ISBLANK(M64),G64,M64)="High",5,IF(IF(ISBLANK(M64),G64,M64)="Medium",3,1)),2)</f>
        <v>5.97</v>
      </c>
      <c r="L64" s="10"/>
      <c r="M64" s="10"/>
      <c r="N64" s="10"/>
      <c r="O64" s="10" t="s">
        <v>123</v>
      </c>
      <c r="P64" s="11" t="s">
        <v>508</v>
      </c>
    </row>
    <row r="65" customFormat="false" ht="25.5" hidden="false" customHeight="true" outlineLevel="0" collapsed="false">
      <c r="A65" s="10" t="n">
        <v>204</v>
      </c>
      <c r="B65" s="10" t="n">
        <v>2</v>
      </c>
      <c r="C65" s="10" t="s">
        <v>125</v>
      </c>
      <c r="D65" s="13" t="s">
        <v>634</v>
      </c>
      <c r="E65" s="10" t="s">
        <v>117</v>
      </c>
      <c r="F65" s="11" t="s">
        <v>572</v>
      </c>
      <c r="G65" s="10" t="s">
        <v>505</v>
      </c>
      <c r="H65" s="10" t="s">
        <v>506</v>
      </c>
      <c r="I65" s="11" t="s">
        <v>121</v>
      </c>
      <c r="J65" s="13" t="s">
        <v>635</v>
      </c>
      <c r="K65" s="12" t="n">
        <f aca="false">ROUND((IF(E65="Transactional",5,IF(E65="Commercial",4,IF(E65="Comparison",3,IF(E65="Informational",2,3))))*LOG10(IF(ISNUMBER(L65),L65,IFERROR(VALUE(LEFT(F65,FIND("-",F65)-1)),100))+1))/IF(IF(ISBLANK(M65),G65,M65)="High",5,IF(IF(ISBLANK(M65),G65,M65)="Medium",3,1)),2)</f>
        <v>5.97</v>
      </c>
      <c r="L65" s="10"/>
      <c r="M65" s="10"/>
      <c r="N65" s="10"/>
      <c r="O65" s="10" t="s">
        <v>123</v>
      </c>
      <c r="P65" s="11"/>
    </row>
    <row r="66" customFormat="false" ht="25.5" hidden="false" customHeight="true" outlineLevel="0" collapsed="false">
      <c r="A66" s="10" t="n">
        <v>205</v>
      </c>
      <c r="B66" s="10" t="n">
        <v>2</v>
      </c>
      <c r="C66" s="10" t="s">
        <v>115</v>
      </c>
      <c r="D66" s="11" t="s">
        <v>636</v>
      </c>
      <c r="E66" s="10" t="s">
        <v>117</v>
      </c>
      <c r="F66" s="11" t="s">
        <v>572</v>
      </c>
      <c r="G66" s="10" t="s">
        <v>505</v>
      </c>
      <c r="H66" s="10" t="s">
        <v>506</v>
      </c>
      <c r="I66" s="11" t="s">
        <v>121</v>
      </c>
      <c r="J66" s="11" t="s">
        <v>637</v>
      </c>
      <c r="K66" s="12" t="n">
        <f aca="false">ROUND((IF(E66="Transactional",5,IF(E66="Commercial",4,IF(E66="Comparison",3,IF(E66="Informational",2,3))))*LOG10(IF(ISNUMBER(L66),L66,IFERROR(VALUE(LEFT(F66,FIND("-",F66)-1)),100))+1))/IF(IF(ISBLANK(M66),G66,M66)="High",5,IF(IF(ISBLANK(M66),G66,M66)="Medium",3,1)),2)</f>
        <v>5.97</v>
      </c>
      <c r="L66" s="10"/>
      <c r="M66" s="10"/>
      <c r="N66" s="10"/>
      <c r="O66" s="10" t="s">
        <v>123</v>
      </c>
      <c r="P66" s="11" t="s">
        <v>508</v>
      </c>
    </row>
    <row r="67" customFormat="false" ht="25.5" hidden="false" customHeight="true" outlineLevel="0" collapsed="false">
      <c r="A67" s="10" t="n">
        <v>206</v>
      </c>
      <c r="B67" s="10" t="n">
        <v>2</v>
      </c>
      <c r="C67" s="10" t="s">
        <v>125</v>
      </c>
      <c r="D67" s="13" t="s">
        <v>638</v>
      </c>
      <c r="E67" s="10" t="s">
        <v>117</v>
      </c>
      <c r="F67" s="11" t="s">
        <v>572</v>
      </c>
      <c r="G67" s="10" t="s">
        <v>505</v>
      </c>
      <c r="H67" s="10" t="s">
        <v>506</v>
      </c>
      <c r="I67" s="11" t="s">
        <v>121</v>
      </c>
      <c r="J67" s="13" t="s">
        <v>639</v>
      </c>
      <c r="K67" s="12" t="n">
        <f aca="false">ROUND((IF(E67="Transactional",5,IF(E67="Commercial",4,IF(E67="Comparison",3,IF(E67="Informational",2,3))))*LOG10(IF(ISNUMBER(L67),L67,IFERROR(VALUE(LEFT(F67,FIND("-",F67)-1)),100))+1))/IF(IF(ISBLANK(M67),G67,M67)="High",5,IF(IF(ISBLANK(M67),G67,M67)="Medium",3,1)),2)</f>
        <v>5.97</v>
      </c>
      <c r="L67" s="10"/>
      <c r="M67" s="10"/>
      <c r="N67" s="10"/>
      <c r="O67" s="10" t="s">
        <v>123</v>
      </c>
      <c r="P67" s="11"/>
    </row>
    <row r="68" customFormat="false" ht="25.5" hidden="false" customHeight="true" outlineLevel="0" collapsed="false">
      <c r="A68" s="10" t="n">
        <v>207</v>
      </c>
      <c r="B68" s="10" t="n">
        <v>2</v>
      </c>
      <c r="C68" s="10" t="s">
        <v>115</v>
      </c>
      <c r="D68" s="11" t="s">
        <v>640</v>
      </c>
      <c r="E68" s="10" t="s">
        <v>117</v>
      </c>
      <c r="F68" s="11" t="s">
        <v>572</v>
      </c>
      <c r="G68" s="10" t="s">
        <v>505</v>
      </c>
      <c r="H68" s="10" t="s">
        <v>506</v>
      </c>
      <c r="I68" s="11" t="s">
        <v>121</v>
      </c>
      <c r="J68" s="11" t="s">
        <v>641</v>
      </c>
      <c r="K68" s="12" t="n">
        <f aca="false">ROUND((IF(E68="Transactional",5,IF(E68="Commercial",4,IF(E68="Comparison",3,IF(E68="Informational",2,3))))*LOG10(IF(ISNUMBER(L68),L68,IFERROR(VALUE(LEFT(F68,FIND("-",F68)-1)),100))+1))/IF(IF(ISBLANK(M68),G68,M68)="High",5,IF(IF(ISBLANK(M68),G68,M68)="Medium",3,1)),2)</f>
        <v>5.97</v>
      </c>
      <c r="L68" s="10"/>
      <c r="M68" s="10"/>
      <c r="N68" s="10"/>
      <c r="O68" s="10" t="s">
        <v>123</v>
      </c>
      <c r="P68" s="11" t="s">
        <v>508</v>
      </c>
    </row>
    <row r="69" customFormat="false" ht="25.5" hidden="false" customHeight="true" outlineLevel="0" collapsed="false">
      <c r="A69" s="10" t="n">
        <v>208</v>
      </c>
      <c r="B69" s="10" t="n">
        <v>2</v>
      </c>
      <c r="C69" s="10" t="s">
        <v>125</v>
      </c>
      <c r="D69" s="13" t="s">
        <v>642</v>
      </c>
      <c r="E69" s="10" t="s">
        <v>117</v>
      </c>
      <c r="F69" s="11" t="s">
        <v>572</v>
      </c>
      <c r="G69" s="10" t="s">
        <v>505</v>
      </c>
      <c r="H69" s="10" t="s">
        <v>506</v>
      </c>
      <c r="I69" s="11" t="s">
        <v>121</v>
      </c>
      <c r="J69" s="13" t="s">
        <v>643</v>
      </c>
      <c r="K69" s="12" t="n">
        <f aca="false">ROUND((IF(E69="Transactional",5,IF(E69="Commercial",4,IF(E69="Comparison",3,IF(E69="Informational",2,3))))*LOG10(IF(ISNUMBER(L69),L69,IFERROR(VALUE(LEFT(F69,FIND("-",F69)-1)),100))+1))/IF(IF(ISBLANK(M69),G69,M69)="High",5,IF(IF(ISBLANK(M69),G69,M69)="Medium",3,1)),2)</f>
        <v>5.97</v>
      </c>
      <c r="L69" s="10"/>
      <c r="M69" s="10"/>
      <c r="N69" s="10"/>
      <c r="O69" s="10" t="s">
        <v>123</v>
      </c>
      <c r="P69" s="11"/>
    </row>
    <row r="70" customFormat="false" ht="25.5" hidden="false" customHeight="true" outlineLevel="0" collapsed="false">
      <c r="A70" s="10" t="n">
        <v>209</v>
      </c>
      <c r="B70" s="10" t="n">
        <v>2</v>
      </c>
      <c r="C70" s="10" t="s">
        <v>115</v>
      </c>
      <c r="D70" s="11" t="s">
        <v>644</v>
      </c>
      <c r="E70" s="10" t="s">
        <v>117</v>
      </c>
      <c r="F70" s="11" t="s">
        <v>572</v>
      </c>
      <c r="G70" s="10" t="s">
        <v>505</v>
      </c>
      <c r="H70" s="10" t="s">
        <v>506</v>
      </c>
      <c r="I70" s="11" t="s">
        <v>121</v>
      </c>
      <c r="J70" s="11" t="s">
        <v>645</v>
      </c>
      <c r="K70" s="12" t="n">
        <f aca="false">ROUND((IF(E70="Transactional",5,IF(E70="Commercial",4,IF(E70="Comparison",3,IF(E70="Informational",2,3))))*LOG10(IF(ISNUMBER(L70),L70,IFERROR(VALUE(LEFT(F70,FIND("-",F70)-1)),100))+1))/IF(IF(ISBLANK(M70),G70,M70)="High",5,IF(IF(ISBLANK(M70),G70,M70)="Medium",3,1)),2)</f>
        <v>5.97</v>
      </c>
      <c r="L70" s="10"/>
      <c r="M70" s="10"/>
      <c r="N70" s="10"/>
      <c r="O70" s="10" t="s">
        <v>123</v>
      </c>
      <c r="P70" s="11" t="s">
        <v>508</v>
      </c>
    </row>
    <row r="71" customFormat="false" ht="25.5" hidden="false" customHeight="true" outlineLevel="0" collapsed="false">
      <c r="A71" s="10" t="n">
        <v>210</v>
      </c>
      <c r="B71" s="10" t="n">
        <v>2</v>
      </c>
      <c r="C71" s="10" t="s">
        <v>125</v>
      </c>
      <c r="D71" s="13" t="s">
        <v>646</v>
      </c>
      <c r="E71" s="10" t="s">
        <v>117</v>
      </c>
      <c r="F71" s="11" t="s">
        <v>572</v>
      </c>
      <c r="G71" s="10" t="s">
        <v>505</v>
      </c>
      <c r="H71" s="10" t="s">
        <v>506</v>
      </c>
      <c r="I71" s="11" t="s">
        <v>121</v>
      </c>
      <c r="J71" s="13" t="s">
        <v>647</v>
      </c>
      <c r="K71" s="12" t="n">
        <f aca="false">ROUND((IF(E71="Transactional",5,IF(E71="Commercial",4,IF(E71="Comparison",3,IF(E71="Informational",2,3))))*LOG10(IF(ISNUMBER(L71),L71,IFERROR(VALUE(LEFT(F71,FIND("-",F71)-1)),100))+1))/IF(IF(ISBLANK(M71),G71,M71)="High",5,IF(IF(ISBLANK(M71),G71,M71)="Medium",3,1)),2)</f>
        <v>5.97</v>
      </c>
      <c r="L71" s="10"/>
      <c r="M71" s="10"/>
      <c r="N71" s="10"/>
      <c r="O71" s="10" t="s">
        <v>123</v>
      </c>
      <c r="P71" s="11"/>
    </row>
    <row r="72" customFormat="false" ht="25.5" hidden="false" customHeight="true" outlineLevel="0" collapsed="false">
      <c r="A72" s="10" t="n">
        <v>211</v>
      </c>
      <c r="B72" s="10" t="n">
        <v>2</v>
      </c>
      <c r="C72" s="10" t="s">
        <v>115</v>
      </c>
      <c r="D72" s="11" t="s">
        <v>648</v>
      </c>
      <c r="E72" s="10" t="s">
        <v>117</v>
      </c>
      <c r="F72" s="11" t="s">
        <v>572</v>
      </c>
      <c r="G72" s="10" t="s">
        <v>505</v>
      </c>
      <c r="H72" s="10" t="s">
        <v>506</v>
      </c>
      <c r="I72" s="11" t="s">
        <v>121</v>
      </c>
      <c r="J72" s="11" t="s">
        <v>649</v>
      </c>
      <c r="K72" s="12" t="n">
        <f aca="false">ROUND((IF(E72="Transactional",5,IF(E72="Commercial",4,IF(E72="Comparison",3,IF(E72="Informational",2,3))))*LOG10(IF(ISNUMBER(L72),L72,IFERROR(VALUE(LEFT(F72,FIND("-",F72)-1)),100))+1))/IF(IF(ISBLANK(M72),G72,M72)="High",5,IF(IF(ISBLANK(M72),G72,M72)="Medium",3,1)),2)</f>
        <v>5.97</v>
      </c>
      <c r="L72" s="10"/>
      <c r="M72" s="10"/>
      <c r="N72" s="10"/>
      <c r="O72" s="10" t="s">
        <v>123</v>
      </c>
      <c r="P72" s="11" t="s">
        <v>508</v>
      </c>
    </row>
    <row r="73" customFormat="false" ht="25.5" hidden="false" customHeight="true" outlineLevel="0" collapsed="false">
      <c r="A73" s="10" t="n">
        <v>212</v>
      </c>
      <c r="B73" s="10" t="n">
        <v>2</v>
      </c>
      <c r="C73" s="10" t="s">
        <v>125</v>
      </c>
      <c r="D73" s="13" t="s">
        <v>650</v>
      </c>
      <c r="E73" s="10" t="s">
        <v>117</v>
      </c>
      <c r="F73" s="11" t="s">
        <v>572</v>
      </c>
      <c r="G73" s="10" t="s">
        <v>505</v>
      </c>
      <c r="H73" s="10" t="s">
        <v>506</v>
      </c>
      <c r="I73" s="11" t="s">
        <v>121</v>
      </c>
      <c r="J73" s="13" t="s">
        <v>651</v>
      </c>
      <c r="K73" s="12" t="n">
        <f aca="false">ROUND((IF(E73="Transactional",5,IF(E73="Commercial",4,IF(E73="Comparison",3,IF(E73="Informational",2,3))))*LOG10(IF(ISNUMBER(L73),L73,IFERROR(VALUE(LEFT(F73,FIND("-",F73)-1)),100))+1))/IF(IF(ISBLANK(M73),G73,M73)="High",5,IF(IF(ISBLANK(M73),G73,M73)="Medium",3,1)),2)</f>
        <v>5.97</v>
      </c>
      <c r="L73" s="10"/>
      <c r="M73" s="10"/>
      <c r="N73" s="10"/>
      <c r="O73" s="10" t="s">
        <v>123</v>
      </c>
      <c r="P73" s="11"/>
    </row>
    <row r="74" customFormat="false" ht="25.5" hidden="false" customHeight="true" outlineLevel="0" collapsed="false">
      <c r="A74" s="10" t="n">
        <v>213</v>
      </c>
      <c r="B74" s="10" t="n">
        <v>2</v>
      </c>
      <c r="C74" s="10" t="s">
        <v>115</v>
      </c>
      <c r="D74" s="11" t="s">
        <v>652</v>
      </c>
      <c r="E74" s="10" t="s">
        <v>117</v>
      </c>
      <c r="F74" s="11" t="s">
        <v>572</v>
      </c>
      <c r="G74" s="10" t="s">
        <v>505</v>
      </c>
      <c r="H74" s="10" t="s">
        <v>506</v>
      </c>
      <c r="I74" s="11" t="s">
        <v>121</v>
      </c>
      <c r="J74" s="11" t="s">
        <v>653</v>
      </c>
      <c r="K74" s="12" t="n">
        <f aca="false">ROUND((IF(E74="Transactional",5,IF(E74="Commercial",4,IF(E74="Comparison",3,IF(E74="Informational",2,3))))*LOG10(IF(ISNUMBER(L74),L74,IFERROR(VALUE(LEFT(F74,FIND("-",F74)-1)),100))+1))/IF(IF(ISBLANK(M74),G74,M74)="High",5,IF(IF(ISBLANK(M74),G74,M74)="Medium",3,1)),2)</f>
        <v>5.97</v>
      </c>
      <c r="L74" s="10"/>
      <c r="M74" s="10"/>
      <c r="N74" s="10"/>
      <c r="O74" s="10" t="s">
        <v>123</v>
      </c>
      <c r="P74" s="11" t="s">
        <v>508</v>
      </c>
    </row>
    <row r="75" customFormat="false" ht="25.5" hidden="false" customHeight="true" outlineLevel="0" collapsed="false">
      <c r="A75" s="10" t="n">
        <v>214</v>
      </c>
      <c r="B75" s="10" t="n">
        <v>2</v>
      </c>
      <c r="C75" s="10" t="s">
        <v>125</v>
      </c>
      <c r="D75" s="13" t="s">
        <v>654</v>
      </c>
      <c r="E75" s="10" t="s">
        <v>117</v>
      </c>
      <c r="F75" s="11" t="s">
        <v>572</v>
      </c>
      <c r="G75" s="10" t="s">
        <v>505</v>
      </c>
      <c r="H75" s="10" t="s">
        <v>506</v>
      </c>
      <c r="I75" s="11" t="s">
        <v>121</v>
      </c>
      <c r="J75" s="13" t="s">
        <v>655</v>
      </c>
      <c r="K75" s="12" t="n">
        <f aca="false">ROUND((IF(E75="Transactional",5,IF(E75="Commercial",4,IF(E75="Comparison",3,IF(E75="Informational",2,3))))*LOG10(IF(ISNUMBER(L75),L75,IFERROR(VALUE(LEFT(F75,FIND("-",F75)-1)),100))+1))/IF(IF(ISBLANK(M75),G75,M75)="High",5,IF(IF(ISBLANK(M75),G75,M75)="Medium",3,1)),2)</f>
        <v>5.97</v>
      </c>
      <c r="L75" s="10"/>
      <c r="M75" s="10"/>
      <c r="N75" s="10"/>
      <c r="O75" s="10" t="s">
        <v>123</v>
      </c>
      <c r="P75" s="11"/>
    </row>
    <row r="76" customFormat="false" ht="25.5" hidden="false" customHeight="true" outlineLevel="0" collapsed="false">
      <c r="A76" s="10" t="n">
        <v>215</v>
      </c>
      <c r="B76" s="10" t="n">
        <v>2</v>
      </c>
      <c r="C76" s="10" t="s">
        <v>115</v>
      </c>
      <c r="D76" s="11" t="s">
        <v>656</v>
      </c>
      <c r="E76" s="10" t="s">
        <v>117</v>
      </c>
      <c r="F76" s="11" t="s">
        <v>572</v>
      </c>
      <c r="G76" s="10" t="s">
        <v>505</v>
      </c>
      <c r="H76" s="10" t="s">
        <v>506</v>
      </c>
      <c r="I76" s="11" t="s">
        <v>121</v>
      </c>
      <c r="J76" s="11" t="s">
        <v>657</v>
      </c>
      <c r="K76" s="12" t="n">
        <f aca="false">ROUND((IF(E76="Transactional",5,IF(E76="Commercial",4,IF(E76="Comparison",3,IF(E76="Informational",2,3))))*LOG10(IF(ISNUMBER(L76),L76,IFERROR(VALUE(LEFT(F76,FIND("-",F76)-1)),100))+1))/IF(IF(ISBLANK(M76),G76,M76)="High",5,IF(IF(ISBLANK(M76),G76,M76)="Medium",3,1)),2)</f>
        <v>5.97</v>
      </c>
      <c r="L76" s="10"/>
      <c r="M76" s="10"/>
      <c r="N76" s="10"/>
      <c r="O76" s="10" t="s">
        <v>123</v>
      </c>
      <c r="P76" s="11" t="s">
        <v>508</v>
      </c>
    </row>
    <row r="77" customFormat="false" ht="25.5" hidden="false" customHeight="true" outlineLevel="0" collapsed="false">
      <c r="A77" s="10" t="n">
        <v>216</v>
      </c>
      <c r="B77" s="10" t="n">
        <v>2</v>
      </c>
      <c r="C77" s="10" t="s">
        <v>125</v>
      </c>
      <c r="D77" s="13" t="s">
        <v>658</v>
      </c>
      <c r="E77" s="10" t="s">
        <v>117</v>
      </c>
      <c r="F77" s="11" t="s">
        <v>572</v>
      </c>
      <c r="G77" s="10" t="s">
        <v>505</v>
      </c>
      <c r="H77" s="10" t="s">
        <v>506</v>
      </c>
      <c r="I77" s="11" t="s">
        <v>121</v>
      </c>
      <c r="J77" s="13" t="s">
        <v>659</v>
      </c>
      <c r="K77" s="12" t="n">
        <f aca="false">ROUND((IF(E77="Transactional",5,IF(E77="Commercial",4,IF(E77="Comparison",3,IF(E77="Informational",2,3))))*LOG10(IF(ISNUMBER(L77),L77,IFERROR(VALUE(LEFT(F77,FIND("-",F77)-1)),100))+1))/IF(IF(ISBLANK(M77),G77,M77)="High",5,IF(IF(ISBLANK(M77),G77,M77)="Medium",3,1)),2)</f>
        <v>5.97</v>
      </c>
      <c r="L77" s="10"/>
      <c r="M77" s="10"/>
      <c r="N77" s="10"/>
      <c r="O77" s="10" t="s">
        <v>123</v>
      </c>
      <c r="P77" s="11"/>
    </row>
    <row r="78" customFormat="false" ht="25.5" hidden="false" customHeight="true" outlineLevel="0" collapsed="false">
      <c r="A78" s="10" t="n">
        <v>217</v>
      </c>
      <c r="B78" s="10" t="n">
        <v>2</v>
      </c>
      <c r="C78" s="10" t="s">
        <v>115</v>
      </c>
      <c r="D78" s="11" t="s">
        <v>660</v>
      </c>
      <c r="E78" s="10" t="s">
        <v>117</v>
      </c>
      <c r="F78" s="11" t="s">
        <v>572</v>
      </c>
      <c r="G78" s="10" t="s">
        <v>505</v>
      </c>
      <c r="H78" s="10" t="s">
        <v>506</v>
      </c>
      <c r="I78" s="11" t="s">
        <v>121</v>
      </c>
      <c r="J78" s="11" t="s">
        <v>661</v>
      </c>
      <c r="K78" s="12" t="n">
        <f aca="false">ROUND((IF(E78="Transactional",5,IF(E78="Commercial",4,IF(E78="Comparison",3,IF(E78="Informational",2,3))))*LOG10(IF(ISNUMBER(L78),L78,IFERROR(VALUE(LEFT(F78,FIND("-",F78)-1)),100))+1))/IF(IF(ISBLANK(M78),G78,M78)="High",5,IF(IF(ISBLANK(M78),G78,M78)="Medium",3,1)),2)</f>
        <v>5.97</v>
      </c>
      <c r="L78" s="10"/>
      <c r="M78" s="10"/>
      <c r="N78" s="10"/>
      <c r="O78" s="10" t="s">
        <v>123</v>
      </c>
      <c r="P78" s="11" t="s">
        <v>508</v>
      </c>
    </row>
    <row r="79" customFormat="false" ht="25.5" hidden="false" customHeight="true" outlineLevel="0" collapsed="false">
      <c r="A79" s="10" t="n">
        <v>218</v>
      </c>
      <c r="B79" s="10" t="n">
        <v>2</v>
      </c>
      <c r="C79" s="10" t="s">
        <v>125</v>
      </c>
      <c r="D79" s="13" t="s">
        <v>662</v>
      </c>
      <c r="E79" s="10" t="s">
        <v>117</v>
      </c>
      <c r="F79" s="11" t="s">
        <v>572</v>
      </c>
      <c r="G79" s="10" t="s">
        <v>505</v>
      </c>
      <c r="H79" s="10" t="s">
        <v>506</v>
      </c>
      <c r="I79" s="11" t="s">
        <v>121</v>
      </c>
      <c r="J79" s="13" t="s">
        <v>663</v>
      </c>
      <c r="K79" s="12" t="n">
        <f aca="false">ROUND((IF(E79="Transactional",5,IF(E79="Commercial",4,IF(E79="Comparison",3,IF(E79="Informational",2,3))))*LOG10(IF(ISNUMBER(L79),L79,IFERROR(VALUE(LEFT(F79,FIND("-",F79)-1)),100))+1))/IF(IF(ISBLANK(M79),G79,M79)="High",5,IF(IF(ISBLANK(M79),G79,M79)="Medium",3,1)),2)</f>
        <v>5.97</v>
      </c>
      <c r="L79" s="10"/>
      <c r="M79" s="10"/>
      <c r="N79" s="10"/>
      <c r="O79" s="10" t="s">
        <v>123</v>
      </c>
      <c r="P79" s="11"/>
    </row>
    <row r="80" customFormat="false" ht="25.5" hidden="false" customHeight="true" outlineLevel="0" collapsed="false">
      <c r="A80" s="10" t="n">
        <v>219</v>
      </c>
      <c r="B80" s="10" t="n">
        <v>2</v>
      </c>
      <c r="C80" s="10" t="s">
        <v>115</v>
      </c>
      <c r="D80" s="11" t="s">
        <v>664</v>
      </c>
      <c r="E80" s="10" t="s">
        <v>117</v>
      </c>
      <c r="F80" s="11" t="s">
        <v>572</v>
      </c>
      <c r="G80" s="10" t="s">
        <v>505</v>
      </c>
      <c r="H80" s="10" t="s">
        <v>506</v>
      </c>
      <c r="I80" s="11" t="s">
        <v>121</v>
      </c>
      <c r="J80" s="11" t="s">
        <v>665</v>
      </c>
      <c r="K80" s="12" t="n">
        <f aca="false">ROUND((IF(E80="Transactional",5,IF(E80="Commercial",4,IF(E80="Comparison",3,IF(E80="Informational",2,3))))*LOG10(IF(ISNUMBER(L80),L80,IFERROR(VALUE(LEFT(F80,FIND("-",F80)-1)),100))+1))/IF(IF(ISBLANK(M80),G80,M80)="High",5,IF(IF(ISBLANK(M80),G80,M80)="Medium",3,1)),2)</f>
        <v>5.97</v>
      </c>
      <c r="L80" s="10"/>
      <c r="M80" s="10"/>
      <c r="N80" s="10"/>
      <c r="O80" s="10" t="s">
        <v>123</v>
      </c>
      <c r="P80" s="11" t="s">
        <v>508</v>
      </c>
    </row>
    <row r="81" customFormat="false" ht="25.5" hidden="false" customHeight="true" outlineLevel="0" collapsed="false">
      <c r="A81" s="10" t="n">
        <v>220</v>
      </c>
      <c r="B81" s="10" t="n">
        <v>2</v>
      </c>
      <c r="C81" s="10" t="s">
        <v>125</v>
      </c>
      <c r="D81" s="13" t="s">
        <v>666</v>
      </c>
      <c r="E81" s="10" t="s">
        <v>117</v>
      </c>
      <c r="F81" s="11" t="s">
        <v>572</v>
      </c>
      <c r="G81" s="10" t="s">
        <v>505</v>
      </c>
      <c r="H81" s="10" t="s">
        <v>506</v>
      </c>
      <c r="I81" s="11" t="s">
        <v>121</v>
      </c>
      <c r="J81" s="13" t="s">
        <v>667</v>
      </c>
      <c r="K81" s="12" t="n">
        <f aca="false">ROUND((IF(E81="Transactional",5,IF(E81="Commercial",4,IF(E81="Comparison",3,IF(E81="Informational",2,3))))*LOG10(IF(ISNUMBER(L81),L81,IFERROR(VALUE(LEFT(F81,FIND("-",F81)-1)),100))+1))/IF(IF(ISBLANK(M81),G81,M81)="High",5,IF(IF(ISBLANK(M81),G81,M81)="Medium",3,1)),2)</f>
        <v>5.97</v>
      </c>
      <c r="L81" s="10"/>
      <c r="M81" s="10"/>
      <c r="N81" s="10"/>
      <c r="O81" s="10" t="s">
        <v>123</v>
      </c>
      <c r="P81" s="11"/>
    </row>
    <row r="82" customFormat="false" ht="25.5" hidden="false" customHeight="true" outlineLevel="0" collapsed="false">
      <c r="A82" s="10" t="n">
        <v>221</v>
      </c>
      <c r="B82" s="10" t="n">
        <v>2</v>
      </c>
      <c r="C82" s="10" t="s">
        <v>115</v>
      </c>
      <c r="D82" s="11" t="s">
        <v>668</v>
      </c>
      <c r="E82" s="10" t="s">
        <v>117</v>
      </c>
      <c r="F82" s="11" t="s">
        <v>504</v>
      </c>
      <c r="G82" s="10" t="s">
        <v>505</v>
      </c>
      <c r="H82" s="10" t="s">
        <v>506</v>
      </c>
      <c r="I82" s="11" t="s">
        <v>121</v>
      </c>
      <c r="J82" s="11" t="s">
        <v>669</v>
      </c>
      <c r="K82" s="12" t="n">
        <f aca="false">ROUND((IF(E82="Transactional",5,IF(E82="Commercial",4,IF(E82="Comparison",3,IF(E82="Informational",2,3))))*LOG10(IF(ISNUMBER(L82),L82,IFERROR(VALUE(LEFT(F82,FIND("-",F82)-1)),100))+1))/IF(IF(ISBLANK(M82),G82,M82)="High",5,IF(IF(ISBLANK(M82),G82,M82)="Medium",3,1)),2)</f>
        <v>6.45</v>
      </c>
      <c r="L82" s="10"/>
      <c r="M82" s="10"/>
      <c r="N82" s="10"/>
      <c r="O82" s="10" t="s">
        <v>123</v>
      </c>
      <c r="P82" s="11" t="s">
        <v>508</v>
      </c>
    </row>
    <row r="83" customFormat="false" ht="25.5" hidden="false" customHeight="true" outlineLevel="0" collapsed="false">
      <c r="A83" s="10" t="n">
        <v>222</v>
      </c>
      <c r="B83" s="10" t="n">
        <v>2</v>
      </c>
      <c r="C83" s="10" t="s">
        <v>125</v>
      </c>
      <c r="D83" s="13" t="s">
        <v>670</v>
      </c>
      <c r="E83" s="10" t="s">
        <v>117</v>
      </c>
      <c r="F83" s="11" t="s">
        <v>504</v>
      </c>
      <c r="G83" s="10" t="s">
        <v>505</v>
      </c>
      <c r="H83" s="10" t="s">
        <v>506</v>
      </c>
      <c r="I83" s="11" t="s">
        <v>121</v>
      </c>
      <c r="J83" s="13" t="s">
        <v>671</v>
      </c>
      <c r="K83" s="12" t="n">
        <f aca="false">ROUND((IF(E83="Transactional",5,IF(E83="Commercial",4,IF(E83="Comparison",3,IF(E83="Informational",2,3))))*LOG10(IF(ISNUMBER(L83),L83,IFERROR(VALUE(LEFT(F83,FIND("-",F83)-1)),100))+1))/IF(IF(ISBLANK(M83),G83,M83)="High",5,IF(IF(ISBLANK(M83),G83,M83)="Medium",3,1)),2)</f>
        <v>6.45</v>
      </c>
      <c r="L83" s="10"/>
      <c r="M83" s="10"/>
      <c r="N83" s="10"/>
      <c r="O83" s="10" t="s">
        <v>123</v>
      </c>
      <c r="P83" s="11"/>
    </row>
    <row r="84" customFormat="false" ht="25.5" hidden="false" customHeight="true" outlineLevel="0" collapsed="false">
      <c r="A84" s="10" t="n">
        <v>223</v>
      </c>
      <c r="B84" s="10" t="n">
        <v>2</v>
      </c>
      <c r="C84" s="10" t="s">
        <v>115</v>
      </c>
      <c r="D84" s="11" t="s">
        <v>672</v>
      </c>
      <c r="E84" s="10" t="s">
        <v>117</v>
      </c>
      <c r="F84" s="11" t="s">
        <v>504</v>
      </c>
      <c r="G84" s="10" t="s">
        <v>505</v>
      </c>
      <c r="H84" s="10" t="s">
        <v>506</v>
      </c>
      <c r="I84" s="11" t="s">
        <v>121</v>
      </c>
      <c r="J84" s="11" t="s">
        <v>673</v>
      </c>
      <c r="K84" s="12" t="n">
        <f aca="false">ROUND((IF(E84="Transactional",5,IF(E84="Commercial",4,IF(E84="Comparison",3,IF(E84="Informational",2,3))))*LOG10(IF(ISNUMBER(L84),L84,IFERROR(VALUE(LEFT(F84,FIND("-",F84)-1)),100))+1))/IF(IF(ISBLANK(M84),G84,M84)="High",5,IF(IF(ISBLANK(M84),G84,M84)="Medium",3,1)),2)</f>
        <v>6.45</v>
      </c>
      <c r="L84" s="10"/>
      <c r="M84" s="10"/>
      <c r="N84" s="10"/>
      <c r="O84" s="10" t="s">
        <v>123</v>
      </c>
      <c r="P84" s="11" t="s">
        <v>508</v>
      </c>
    </row>
    <row r="85" customFormat="false" ht="25.5" hidden="false" customHeight="true" outlineLevel="0" collapsed="false">
      <c r="A85" s="10" t="n">
        <v>224</v>
      </c>
      <c r="B85" s="10" t="n">
        <v>2</v>
      </c>
      <c r="C85" s="10" t="s">
        <v>125</v>
      </c>
      <c r="D85" s="13" t="s">
        <v>674</v>
      </c>
      <c r="E85" s="10" t="s">
        <v>117</v>
      </c>
      <c r="F85" s="11" t="s">
        <v>504</v>
      </c>
      <c r="G85" s="10" t="s">
        <v>505</v>
      </c>
      <c r="H85" s="10" t="s">
        <v>506</v>
      </c>
      <c r="I85" s="11" t="s">
        <v>121</v>
      </c>
      <c r="J85" s="13" t="s">
        <v>675</v>
      </c>
      <c r="K85" s="12" t="n">
        <f aca="false">ROUND((IF(E85="Transactional",5,IF(E85="Commercial",4,IF(E85="Comparison",3,IF(E85="Informational",2,3))))*LOG10(IF(ISNUMBER(L85),L85,IFERROR(VALUE(LEFT(F85,FIND("-",F85)-1)),100))+1))/IF(IF(ISBLANK(M85),G85,M85)="High",5,IF(IF(ISBLANK(M85),G85,M85)="Medium",3,1)),2)</f>
        <v>6.45</v>
      </c>
      <c r="L85" s="10"/>
      <c r="M85" s="10"/>
      <c r="N85" s="10"/>
      <c r="O85" s="10" t="s">
        <v>123</v>
      </c>
      <c r="P85" s="11"/>
    </row>
    <row r="86" customFormat="false" ht="25.5" hidden="false" customHeight="true" outlineLevel="0" collapsed="false">
      <c r="A86" s="10" t="n">
        <v>225</v>
      </c>
      <c r="B86" s="10" t="n">
        <v>2</v>
      </c>
      <c r="C86" s="10" t="s">
        <v>115</v>
      </c>
      <c r="D86" s="11" t="s">
        <v>676</v>
      </c>
      <c r="E86" s="10" t="s">
        <v>117</v>
      </c>
      <c r="F86" s="11" t="s">
        <v>504</v>
      </c>
      <c r="G86" s="10" t="s">
        <v>505</v>
      </c>
      <c r="H86" s="10" t="s">
        <v>506</v>
      </c>
      <c r="I86" s="11" t="s">
        <v>121</v>
      </c>
      <c r="J86" s="11" t="s">
        <v>677</v>
      </c>
      <c r="K86" s="12" t="n">
        <f aca="false">ROUND((IF(E86="Transactional",5,IF(E86="Commercial",4,IF(E86="Comparison",3,IF(E86="Informational",2,3))))*LOG10(IF(ISNUMBER(L86),L86,IFERROR(VALUE(LEFT(F86,FIND("-",F86)-1)),100))+1))/IF(IF(ISBLANK(M86),G86,M86)="High",5,IF(IF(ISBLANK(M86),G86,M86)="Medium",3,1)),2)</f>
        <v>6.45</v>
      </c>
      <c r="L86" s="10"/>
      <c r="M86" s="10"/>
      <c r="N86" s="10"/>
      <c r="O86" s="10" t="s">
        <v>123</v>
      </c>
      <c r="P86" s="11" t="s">
        <v>508</v>
      </c>
    </row>
    <row r="87" customFormat="false" ht="25.5" hidden="false" customHeight="true" outlineLevel="0" collapsed="false">
      <c r="A87" s="10" t="n">
        <v>226</v>
      </c>
      <c r="B87" s="10" t="n">
        <v>2</v>
      </c>
      <c r="C87" s="10" t="s">
        <v>125</v>
      </c>
      <c r="D87" s="13" t="s">
        <v>678</v>
      </c>
      <c r="E87" s="10" t="s">
        <v>117</v>
      </c>
      <c r="F87" s="11" t="s">
        <v>504</v>
      </c>
      <c r="G87" s="10" t="s">
        <v>505</v>
      </c>
      <c r="H87" s="10" t="s">
        <v>506</v>
      </c>
      <c r="I87" s="11" t="s">
        <v>121</v>
      </c>
      <c r="J87" s="13" t="s">
        <v>679</v>
      </c>
      <c r="K87" s="12" t="n">
        <f aca="false">ROUND((IF(E87="Transactional",5,IF(E87="Commercial",4,IF(E87="Comparison",3,IF(E87="Informational",2,3))))*LOG10(IF(ISNUMBER(L87),L87,IFERROR(VALUE(LEFT(F87,FIND("-",F87)-1)),100))+1))/IF(IF(ISBLANK(M87),G87,M87)="High",5,IF(IF(ISBLANK(M87),G87,M87)="Medium",3,1)),2)</f>
        <v>6.45</v>
      </c>
      <c r="L87" s="10"/>
      <c r="M87" s="10"/>
      <c r="N87" s="10"/>
      <c r="O87" s="10" t="s">
        <v>123</v>
      </c>
      <c r="P87" s="11"/>
    </row>
    <row r="88" customFormat="false" ht="25.5" hidden="false" customHeight="true" outlineLevel="0" collapsed="false">
      <c r="A88" s="10" t="n">
        <v>227</v>
      </c>
      <c r="B88" s="10" t="n">
        <v>2</v>
      </c>
      <c r="C88" s="10" t="s">
        <v>115</v>
      </c>
      <c r="D88" s="11" t="s">
        <v>680</v>
      </c>
      <c r="E88" s="10" t="s">
        <v>117</v>
      </c>
      <c r="F88" s="11" t="s">
        <v>504</v>
      </c>
      <c r="G88" s="10" t="s">
        <v>505</v>
      </c>
      <c r="H88" s="10" t="s">
        <v>506</v>
      </c>
      <c r="I88" s="11" t="s">
        <v>121</v>
      </c>
      <c r="J88" s="11" t="s">
        <v>681</v>
      </c>
      <c r="K88" s="12" t="n">
        <f aca="false">ROUND((IF(E88="Transactional",5,IF(E88="Commercial",4,IF(E88="Comparison",3,IF(E88="Informational",2,3))))*LOG10(IF(ISNUMBER(L88),L88,IFERROR(VALUE(LEFT(F88,FIND("-",F88)-1)),100))+1))/IF(IF(ISBLANK(M88),G88,M88)="High",5,IF(IF(ISBLANK(M88),G88,M88)="Medium",3,1)),2)</f>
        <v>6.45</v>
      </c>
      <c r="L88" s="10"/>
      <c r="M88" s="10"/>
      <c r="N88" s="10"/>
      <c r="O88" s="10" t="s">
        <v>123</v>
      </c>
      <c r="P88" s="11" t="s">
        <v>508</v>
      </c>
    </row>
    <row r="89" customFormat="false" ht="25.5" hidden="false" customHeight="true" outlineLevel="0" collapsed="false">
      <c r="A89" s="10" t="n">
        <v>228</v>
      </c>
      <c r="B89" s="10" t="n">
        <v>2</v>
      </c>
      <c r="C89" s="10" t="s">
        <v>125</v>
      </c>
      <c r="D89" s="13" t="s">
        <v>682</v>
      </c>
      <c r="E89" s="10" t="s">
        <v>117</v>
      </c>
      <c r="F89" s="11" t="s">
        <v>504</v>
      </c>
      <c r="G89" s="10" t="s">
        <v>505</v>
      </c>
      <c r="H89" s="10" t="s">
        <v>506</v>
      </c>
      <c r="I89" s="11" t="s">
        <v>121</v>
      </c>
      <c r="J89" s="13" t="s">
        <v>683</v>
      </c>
      <c r="K89" s="12" t="n">
        <f aca="false">ROUND((IF(E89="Transactional",5,IF(E89="Commercial",4,IF(E89="Comparison",3,IF(E89="Informational",2,3))))*LOG10(IF(ISNUMBER(L89),L89,IFERROR(VALUE(LEFT(F89,FIND("-",F89)-1)),100))+1))/IF(IF(ISBLANK(M89),G89,M89)="High",5,IF(IF(ISBLANK(M89),G89,M89)="Medium",3,1)),2)</f>
        <v>6.45</v>
      </c>
      <c r="L89" s="10"/>
      <c r="M89" s="10"/>
      <c r="N89" s="10"/>
      <c r="O89" s="10" t="s">
        <v>123</v>
      </c>
      <c r="P89" s="11"/>
    </row>
    <row r="90" customFormat="false" ht="25.5" hidden="false" customHeight="true" outlineLevel="0" collapsed="false">
      <c r="A90" s="10" t="n">
        <v>229</v>
      </c>
      <c r="B90" s="10" t="n">
        <v>2</v>
      </c>
      <c r="C90" s="10" t="s">
        <v>115</v>
      </c>
      <c r="D90" s="11" t="s">
        <v>684</v>
      </c>
      <c r="E90" s="10" t="s">
        <v>117</v>
      </c>
      <c r="F90" s="11" t="s">
        <v>504</v>
      </c>
      <c r="G90" s="10" t="s">
        <v>505</v>
      </c>
      <c r="H90" s="10" t="s">
        <v>506</v>
      </c>
      <c r="I90" s="11" t="s">
        <v>121</v>
      </c>
      <c r="J90" s="11" t="s">
        <v>685</v>
      </c>
      <c r="K90" s="12" t="n">
        <f aca="false">ROUND((IF(E90="Transactional",5,IF(E90="Commercial",4,IF(E90="Comparison",3,IF(E90="Informational",2,3))))*LOG10(IF(ISNUMBER(L90),L90,IFERROR(VALUE(LEFT(F90,FIND("-",F90)-1)),100))+1))/IF(IF(ISBLANK(M90),G90,M90)="High",5,IF(IF(ISBLANK(M90),G90,M90)="Medium",3,1)),2)</f>
        <v>6.45</v>
      </c>
      <c r="L90" s="10"/>
      <c r="M90" s="10"/>
      <c r="N90" s="10"/>
      <c r="O90" s="10" t="s">
        <v>123</v>
      </c>
      <c r="P90" s="11" t="s">
        <v>508</v>
      </c>
    </row>
    <row r="91" customFormat="false" ht="25.5" hidden="false" customHeight="true" outlineLevel="0" collapsed="false">
      <c r="A91" s="10" t="n">
        <v>230</v>
      </c>
      <c r="B91" s="10" t="n">
        <v>2</v>
      </c>
      <c r="C91" s="10" t="s">
        <v>125</v>
      </c>
      <c r="D91" s="13" t="s">
        <v>686</v>
      </c>
      <c r="E91" s="10" t="s">
        <v>117</v>
      </c>
      <c r="F91" s="11" t="s">
        <v>504</v>
      </c>
      <c r="G91" s="10" t="s">
        <v>505</v>
      </c>
      <c r="H91" s="10" t="s">
        <v>506</v>
      </c>
      <c r="I91" s="11" t="s">
        <v>121</v>
      </c>
      <c r="J91" s="13" t="s">
        <v>687</v>
      </c>
      <c r="K91" s="12" t="n">
        <f aca="false">ROUND((IF(E91="Transactional",5,IF(E91="Commercial",4,IF(E91="Comparison",3,IF(E91="Informational",2,3))))*LOG10(IF(ISNUMBER(L91),L91,IFERROR(VALUE(LEFT(F91,FIND("-",F91)-1)),100))+1))/IF(IF(ISBLANK(M91),G91,M91)="High",5,IF(IF(ISBLANK(M91),G91,M91)="Medium",3,1)),2)</f>
        <v>6.45</v>
      </c>
      <c r="L91" s="10"/>
      <c r="M91" s="10"/>
      <c r="N91" s="10"/>
      <c r="O91" s="10" t="s">
        <v>123</v>
      </c>
      <c r="P91" s="11"/>
    </row>
    <row r="92" customFormat="false" ht="25.5" hidden="false" customHeight="true" outlineLevel="0" collapsed="false">
      <c r="A92" s="10" t="n">
        <v>231</v>
      </c>
      <c r="B92" s="10" t="n">
        <v>2</v>
      </c>
      <c r="C92" s="10" t="s">
        <v>115</v>
      </c>
      <c r="D92" s="11" t="s">
        <v>688</v>
      </c>
      <c r="E92" s="10" t="s">
        <v>117</v>
      </c>
      <c r="F92" s="11" t="s">
        <v>504</v>
      </c>
      <c r="G92" s="10" t="s">
        <v>505</v>
      </c>
      <c r="H92" s="10" t="s">
        <v>506</v>
      </c>
      <c r="I92" s="11" t="s">
        <v>121</v>
      </c>
      <c r="J92" s="11" t="s">
        <v>689</v>
      </c>
      <c r="K92" s="12" t="n">
        <f aca="false">ROUND((IF(E92="Transactional",5,IF(E92="Commercial",4,IF(E92="Comparison",3,IF(E92="Informational",2,3))))*LOG10(IF(ISNUMBER(L92),L92,IFERROR(VALUE(LEFT(F92,FIND("-",F92)-1)),100))+1))/IF(IF(ISBLANK(M92),G92,M92)="High",5,IF(IF(ISBLANK(M92),G92,M92)="Medium",3,1)),2)</f>
        <v>6.45</v>
      </c>
      <c r="L92" s="10"/>
      <c r="M92" s="10"/>
      <c r="N92" s="10"/>
      <c r="O92" s="10" t="s">
        <v>123</v>
      </c>
      <c r="P92" s="11" t="s">
        <v>508</v>
      </c>
    </row>
    <row r="93" customFormat="false" ht="25.5" hidden="false" customHeight="true" outlineLevel="0" collapsed="false">
      <c r="A93" s="10" t="n">
        <v>232</v>
      </c>
      <c r="B93" s="10" t="n">
        <v>2</v>
      </c>
      <c r="C93" s="10" t="s">
        <v>125</v>
      </c>
      <c r="D93" s="13" t="s">
        <v>690</v>
      </c>
      <c r="E93" s="10" t="s">
        <v>117</v>
      </c>
      <c r="F93" s="11" t="s">
        <v>504</v>
      </c>
      <c r="G93" s="10" t="s">
        <v>505</v>
      </c>
      <c r="H93" s="10" t="s">
        <v>506</v>
      </c>
      <c r="I93" s="11" t="s">
        <v>121</v>
      </c>
      <c r="J93" s="13" t="s">
        <v>691</v>
      </c>
      <c r="K93" s="12" t="n">
        <f aca="false">ROUND((IF(E93="Transactional",5,IF(E93="Commercial",4,IF(E93="Comparison",3,IF(E93="Informational",2,3))))*LOG10(IF(ISNUMBER(L93),L93,IFERROR(VALUE(LEFT(F93,FIND("-",F93)-1)),100))+1))/IF(IF(ISBLANK(M93),G93,M93)="High",5,IF(IF(ISBLANK(M93),G93,M93)="Medium",3,1)),2)</f>
        <v>6.45</v>
      </c>
      <c r="L93" s="10"/>
      <c r="M93" s="10"/>
      <c r="N93" s="10"/>
      <c r="O93" s="10" t="s">
        <v>123</v>
      </c>
      <c r="P93" s="11"/>
    </row>
    <row r="94" customFormat="false" ht="25.5" hidden="false" customHeight="true" outlineLevel="0" collapsed="false">
      <c r="A94" s="10" t="n">
        <v>233</v>
      </c>
      <c r="B94" s="10" t="n">
        <v>2</v>
      </c>
      <c r="C94" s="10" t="s">
        <v>115</v>
      </c>
      <c r="D94" s="11" t="s">
        <v>692</v>
      </c>
      <c r="E94" s="10" t="s">
        <v>117</v>
      </c>
      <c r="F94" s="11" t="s">
        <v>504</v>
      </c>
      <c r="G94" s="10" t="s">
        <v>505</v>
      </c>
      <c r="H94" s="10" t="s">
        <v>506</v>
      </c>
      <c r="I94" s="11" t="s">
        <v>121</v>
      </c>
      <c r="J94" s="11" t="s">
        <v>693</v>
      </c>
      <c r="K94" s="12" t="n">
        <f aca="false">ROUND((IF(E94="Transactional",5,IF(E94="Commercial",4,IF(E94="Comparison",3,IF(E94="Informational",2,3))))*LOG10(IF(ISNUMBER(L94),L94,IFERROR(VALUE(LEFT(F94,FIND("-",F94)-1)),100))+1))/IF(IF(ISBLANK(M94),G94,M94)="High",5,IF(IF(ISBLANK(M94),G94,M94)="Medium",3,1)),2)</f>
        <v>6.45</v>
      </c>
      <c r="L94" s="10"/>
      <c r="M94" s="10"/>
      <c r="N94" s="10"/>
      <c r="O94" s="10" t="s">
        <v>123</v>
      </c>
      <c r="P94" s="11" t="s">
        <v>508</v>
      </c>
    </row>
    <row r="95" customFormat="false" ht="25.5" hidden="false" customHeight="true" outlineLevel="0" collapsed="false">
      <c r="A95" s="10" t="n">
        <v>234</v>
      </c>
      <c r="B95" s="10" t="n">
        <v>2</v>
      </c>
      <c r="C95" s="10" t="s">
        <v>125</v>
      </c>
      <c r="D95" s="13" t="s">
        <v>694</v>
      </c>
      <c r="E95" s="10" t="s">
        <v>117</v>
      </c>
      <c r="F95" s="11" t="s">
        <v>504</v>
      </c>
      <c r="G95" s="10" t="s">
        <v>505</v>
      </c>
      <c r="H95" s="10" t="s">
        <v>506</v>
      </c>
      <c r="I95" s="11" t="s">
        <v>121</v>
      </c>
      <c r="J95" s="13" t="s">
        <v>695</v>
      </c>
      <c r="K95" s="12" t="n">
        <f aca="false">ROUND((IF(E95="Transactional",5,IF(E95="Commercial",4,IF(E95="Comparison",3,IF(E95="Informational",2,3))))*LOG10(IF(ISNUMBER(L95),L95,IFERROR(VALUE(LEFT(F95,FIND("-",F95)-1)),100))+1))/IF(IF(ISBLANK(M95),G95,M95)="High",5,IF(IF(ISBLANK(M95),G95,M95)="Medium",3,1)),2)</f>
        <v>6.45</v>
      </c>
      <c r="L95" s="10"/>
      <c r="M95" s="10"/>
      <c r="N95" s="10"/>
      <c r="O95" s="10" t="s">
        <v>123</v>
      </c>
      <c r="P95" s="11"/>
    </row>
    <row r="96" customFormat="false" ht="25.5" hidden="false" customHeight="true" outlineLevel="0" collapsed="false">
      <c r="A96" s="10" t="n">
        <v>235</v>
      </c>
      <c r="B96" s="10" t="n">
        <v>2</v>
      </c>
      <c r="C96" s="10" t="s">
        <v>115</v>
      </c>
      <c r="D96" s="11" t="s">
        <v>696</v>
      </c>
      <c r="E96" s="10" t="s">
        <v>117</v>
      </c>
      <c r="F96" s="11" t="s">
        <v>504</v>
      </c>
      <c r="G96" s="10" t="s">
        <v>505</v>
      </c>
      <c r="H96" s="10" t="s">
        <v>506</v>
      </c>
      <c r="I96" s="11" t="s">
        <v>121</v>
      </c>
      <c r="J96" s="11" t="s">
        <v>697</v>
      </c>
      <c r="K96" s="12" t="n">
        <f aca="false">ROUND((IF(E96="Transactional",5,IF(E96="Commercial",4,IF(E96="Comparison",3,IF(E96="Informational",2,3))))*LOG10(IF(ISNUMBER(L96),L96,IFERROR(VALUE(LEFT(F96,FIND("-",F96)-1)),100))+1))/IF(IF(ISBLANK(M96),G96,M96)="High",5,IF(IF(ISBLANK(M96),G96,M96)="Medium",3,1)),2)</f>
        <v>6.45</v>
      </c>
      <c r="L96" s="10"/>
      <c r="M96" s="10"/>
      <c r="N96" s="10"/>
      <c r="O96" s="10" t="s">
        <v>123</v>
      </c>
      <c r="P96" s="11" t="s">
        <v>508</v>
      </c>
    </row>
    <row r="97" customFormat="false" ht="25.5" hidden="false" customHeight="true" outlineLevel="0" collapsed="false">
      <c r="A97" s="10" t="n">
        <v>236</v>
      </c>
      <c r="B97" s="10" t="n">
        <v>2</v>
      </c>
      <c r="C97" s="10" t="s">
        <v>125</v>
      </c>
      <c r="D97" s="13" t="s">
        <v>698</v>
      </c>
      <c r="E97" s="10" t="s">
        <v>117</v>
      </c>
      <c r="F97" s="11" t="s">
        <v>504</v>
      </c>
      <c r="G97" s="10" t="s">
        <v>505</v>
      </c>
      <c r="H97" s="10" t="s">
        <v>506</v>
      </c>
      <c r="I97" s="11" t="s">
        <v>121</v>
      </c>
      <c r="J97" s="13" t="s">
        <v>699</v>
      </c>
      <c r="K97" s="12" t="n">
        <f aca="false">ROUND((IF(E97="Transactional",5,IF(E97="Commercial",4,IF(E97="Comparison",3,IF(E97="Informational",2,3))))*LOG10(IF(ISNUMBER(L97),L97,IFERROR(VALUE(LEFT(F97,FIND("-",F97)-1)),100))+1))/IF(IF(ISBLANK(M97),G97,M97)="High",5,IF(IF(ISBLANK(M97),G97,M97)="Medium",3,1)),2)</f>
        <v>6.45</v>
      </c>
      <c r="L97" s="10"/>
      <c r="M97" s="10"/>
      <c r="N97" s="10"/>
      <c r="O97" s="10" t="s">
        <v>123</v>
      </c>
      <c r="P97" s="11"/>
    </row>
    <row r="98" customFormat="false" ht="25.5" hidden="false" customHeight="true" outlineLevel="0" collapsed="false">
      <c r="A98" s="10" t="n">
        <v>237</v>
      </c>
      <c r="B98" s="10" t="n">
        <v>2</v>
      </c>
      <c r="C98" s="10" t="s">
        <v>115</v>
      </c>
      <c r="D98" s="11" t="s">
        <v>700</v>
      </c>
      <c r="E98" s="10" t="s">
        <v>117</v>
      </c>
      <c r="F98" s="11" t="s">
        <v>572</v>
      </c>
      <c r="G98" s="10" t="s">
        <v>505</v>
      </c>
      <c r="H98" s="10" t="s">
        <v>506</v>
      </c>
      <c r="I98" s="11" t="s">
        <v>121</v>
      </c>
      <c r="J98" s="11" t="s">
        <v>701</v>
      </c>
      <c r="K98" s="12" t="n">
        <f aca="false">ROUND((IF(E98="Transactional",5,IF(E98="Commercial",4,IF(E98="Comparison",3,IF(E98="Informational",2,3))))*LOG10(IF(ISNUMBER(L98),L98,IFERROR(VALUE(LEFT(F98,FIND("-",F98)-1)),100))+1))/IF(IF(ISBLANK(M98),G98,M98)="High",5,IF(IF(ISBLANK(M98),G98,M98)="Medium",3,1)),2)</f>
        <v>5.97</v>
      </c>
      <c r="L98" s="10"/>
      <c r="M98" s="10"/>
      <c r="N98" s="10"/>
      <c r="O98" s="10" t="s">
        <v>123</v>
      </c>
      <c r="P98" s="11" t="s">
        <v>508</v>
      </c>
    </row>
    <row r="99" customFormat="false" ht="25.5" hidden="false" customHeight="true" outlineLevel="0" collapsed="false">
      <c r="A99" s="10" t="n">
        <v>238</v>
      </c>
      <c r="B99" s="10" t="n">
        <v>2</v>
      </c>
      <c r="C99" s="10" t="s">
        <v>125</v>
      </c>
      <c r="D99" s="13" t="s">
        <v>702</v>
      </c>
      <c r="E99" s="10" t="s">
        <v>117</v>
      </c>
      <c r="F99" s="11" t="s">
        <v>572</v>
      </c>
      <c r="G99" s="10" t="s">
        <v>505</v>
      </c>
      <c r="H99" s="10" t="s">
        <v>506</v>
      </c>
      <c r="I99" s="11" t="s">
        <v>121</v>
      </c>
      <c r="J99" s="13" t="s">
        <v>703</v>
      </c>
      <c r="K99" s="12" t="n">
        <f aca="false">ROUND((IF(E99="Transactional",5,IF(E99="Commercial",4,IF(E99="Comparison",3,IF(E99="Informational",2,3))))*LOG10(IF(ISNUMBER(L99),L99,IFERROR(VALUE(LEFT(F99,FIND("-",F99)-1)),100))+1))/IF(IF(ISBLANK(M99),G99,M99)="High",5,IF(IF(ISBLANK(M99),G99,M99)="Medium",3,1)),2)</f>
        <v>5.97</v>
      </c>
      <c r="L99" s="10"/>
      <c r="M99" s="10"/>
      <c r="N99" s="10"/>
      <c r="O99" s="10" t="s">
        <v>123</v>
      </c>
      <c r="P99" s="11"/>
    </row>
    <row r="100" customFormat="false" ht="25.5" hidden="false" customHeight="true" outlineLevel="0" collapsed="false">
      <c r="A100" s="10" t="n">
        <v>239</v>
      </c>
      <c r="B100" s="10" t="n">
        <v>2</v>
      </c>
      <c r="C100" s="10" t="s">
        <v>115</v>
      </c>
      <c r="D100" s="11" t="s">
        <v>704</v>
      </c>
      <c r="E100" s="10" t="s">
        <v>117</v>
      </c>
      <c r="F100" s="11" t="s">
        <v>572</v>
      </c>
      <c r="G100" s="10" t="s">
        <v>505</v>
      </c>
      <c r="H100" s="10" t="s">
        <v>506</v>
      </c>
      <c r="I100" s="11" t="s">
        <v>121</v>
      </c>
      <c r="J100" s="11" t="s">
        <v>705</v>
      </c>
      <c r="K100" s="12" t="n">
        <f aca="false">ROUND((IF(E100="Transactional",5,IF(E100="Commercial",4,IF(E100="Comparison",3,IF(E100="Informational",2,3))))*LOG10(IF(ISNUMBER(L100),L100,IFERROR(VALUE(LEFT(F100,FIND("-",F100)-1)),100))+1))/IF(IF(ISBLANK(M100),G100,M100)="High",5,IF(IF(ISBLANK(M100),G100,M100)="Medium",3,1)),2)</f>
        <v>5.97</v>
      </c>
      <c r="L100" s="10"/>
      <c r="M100" s="10"/>
      <c r="N100" s="10"/>
      <c r="O100" s="10" t="s">
        <v>123</v>
      </c>
      <c r="P100" s="11" t="s">
        <v>508</v>
      </c>
    </row>
    <row r="101" customFormat="false" ht="25.5" hidden="false" customHeight="true" outlineLevel="0" collapsed="false">
      <c r="A101" s="10" t="n">
        <v>240</v>
      </c>
      <c r="B101" s="10" t="n">
        <v>2</v>
      </c>
      <c r="C101" s="10" t="s">
        <v>125</v>
      </c>
      <c r="D101" s="13" t="s">
        <v>706</v>
      </c>
      <c r="E101" s="10" t="s">
        <v>117</v>
      </c>
      <c r="F101" s="11" t="s">
        <v>572</v>
      </c>
      <c r="G101" s="10" t="s">
        <v>505</v>
      </c>
      <c r="H101" s="10" t="s">
        <v>506</v>
      </c>
      <c r="I101" s="11" t="s">
        <v>121</v>
      </c>
      <c r="J101" s="13" t="s">
        <v>707</v>
      </c>
      <c r="K101" s="12" t="n">
        <f aca="false">ROUND((IF(E101="Transactional",5,IF(E101="Commercial",4,IF(E101="Comparison",3,IF(E101="Informational",2,3))))*LOG10(IF(ISNUMBER(L101),L101,IFERROR(VALUE(LEFT(F101,FIND("-",F101)-1)),100))+1))/IF(IF(ISBLANK(M101),G101,M101)="High",5,IF(IF(ISBLANK(M101),G101,M101)="Medium",3,1)),2)</f>
        <v>5.97</v>
      </c>
      <c r="L101" s="10"/>
      <c r="M101" s="10"/>
      <c r="N101" s="10"/>
      <c r="O101" s="10" t="s">
        <v>123</v>
      </c>
      <c r="P101" s="11"/>
    </row>
    <row r="102" customFormat="false" ht="25.5" hidden="false" customHeight="true" outlineLevel="0" collapsed="false">
      <c r="A102" s="10" t="n">
        <v>241</v>
      </c>
      <c r="B102" s="10" t="n">
        <v>2</v>
      </c>
      <c r="C102" s="10" t="s">
        <v>115</v>
      </c>
      <c r="D102" s="11" t="s">
        <v>708</v>
      </c>
      <c r="E102" s="10" t="s">
        <v>117</v>
      </c>
      <c r="F102" s="11" t="s">
        <v>572</v>
      </c>
      <c r="G102" s="10" t="s">
        <v>505</v>
      </c>
      <c r="H102" s="10" t="s">
        <v>506</v>
      </c>
      <c r="I102" s="11" t="s">
        <v>121</v>
      </c>
      <c r="J102" s="11" t="s">
        <v>709</v>
      </c>
      <c r="K102" s="12" t="n">
        <f aca="false">ROUND((IF(E102="Transactional",5,IF(E102="Commercial",4,IF(E102="Comparison",3,IF(E102="Informational",2,3))))*LOG10(IF(ISNUMBER(L102),L102,IFERROR(VALUE(LEFT(F102,FIND("-",F102)-1)),100))+1))/IF(IF(ISBLANK(M102),G102,M102)="High",5,IF(IF(ISBLANK(M102),G102,M102)="Medium",3,1)),2)</f>
        <v>5.97</v>
      </c>
      <c r="L102" s="10"/>
      <c r="M102" s="10"/>
      <c r="N102" s="10"/>
      <c r="O102" s="10" t="s">
        <v>123</v>
      </c>
      <c r="P102" s="11" t="s">
        <v>508</v>
      </c>
    </row>
    <row r="103" customFormat="false" ht="25.5" hidden="false" customHeight="true" outlineLevel="0" collapsed="false">
      <c r="A103" s="10" t="n">
        <v>242</v>
      </c>
      <c r="B103" s="10" t="n">
        <v>2</v>
      </c>
      <c r="C103" s="10" t="s">
        <v>125</v>
      </c>
      <c r="D103" s="13" t="s">
        <v>710</v>
      </c>
      <c r="E103" s="10" t="s">
        <v>117</v>
      </c>
      <c r="F103" s="11" t="s">
        <v>572</v>
      </c>
      <c r="G103" s="10" t="s">
        <v>505</v>
      </c>
      <c r="H103" s="10" t="s">
        <v>506</v>
      </c>
      <c r="I103" s="11" t="s">
        <v>121</v>
      </c>
      <c r="J103" s="13" t="s">
        <v>711</v>
      </c>
      <c r="K103" s="12" t="n">
        <f aca="false">ROUND((IF(E103="Transactional",5,IF(E103="Commercial",4,IF(E103="Comparison",3,IF(E103="Informational",2,3))))*LOG10(IF(ISNUMBER(L103),L103,IFERROR(VALUE(LEFT(F103,FIND("-",F103)-1)),100))+1))/IF(IF(ISBLANK(M103),G103,M103)="High",5,IF(IF(ISBLANK(M103),G103,M103)="Medium",3,1)),2)</f>
        <v>5.97</v>
      </c>
      <c r="L103" s="10"/>
      <c r="M103" s="10"/>
      <c r="N103" s="10"/>
      <c r="O103" s="10" t="s">
        <v>123</v>
      </c>
      <c r="P103" s="11"/>
    </row>
    <row r="104" customFormat="false" ht="25.5" hidden="false" customHeight="true" outlineLevel="0" collapsed="false">
      <c r="A104" s="10" t="n">
        <v>243</v>
      </c>
      <c r="B104" s="10" t="n">
        <v>2</v>
      </c>
      <c r="C104" s="10" t="s">
        <v>115</v>
      </c>
      <c r="D104" s="11" t="s">
        <v>712</v>
      </c>
      <c r="E104" s="10" t="s">
        <v>117</v>
      </c>
      <c r="F104" s="11" t="s">
        <v>572</v>
      </c>
      <c r="G104" s="10" t="s">
        <v>505</v>
      </c>
      <c r="H104" s="10" t="s">
        <v>506</v>
      </c>
      <c r="I104" s="11" t="s">
        <v>121</v>
      </c>
      <c r="J104" s="11" t="s">
        <v>713</v>
      </c>
      <c r="K104" s="12" t="n">
        <f aca="false">ROUND((IF(E104="Transactional",5,IF(E104="Commercial",4,IF(E104="Comparison",3,IF(E104="Informational",2,3))))*LOG10(IF(ISNUMBER(L104),L104,IFERROR(VALUE(LEFT(F104,FIND("-",F104)-1)),100))+1))/IF(IF(ISBLANK(M104),G104,M104)="High",5,IF(IF(ISBLANK(M104),G104,M104)="Medium",3,1)),2)</f>
        <v>5.97</v>
      </c>
      <c r="L104" s="10"/>
      <c r="M104" s="10"/>
      <c r="N104" s="10"/>
      <c r="O104" s="10" t="s">
        <v>123</v>
      </c>
      <c r="P104" s="11" t="s">
        <v>508</v>
      </c>
    </row>
    <row r="105" customFormat="false" ht="25.5" hidden="false" customHeight="true" outlineLevel="0" collapsed="false">
      <c r="A105" s="10" t="n">
        <v>244</v>
      </c>
      <c r="B105" s="10" t="n">
        <v>2</v>
      </c>
      <c r="C105" s="10" t="s">
        <v>125</v>
      </c>
      <c r="D105" s="13" t="s">
        <v>714</v>
      </c>
      <c r="E105" s="10" t="s">
        <v>117</v>
      </c>
      <c r="F105" s="11" t="s">
        <v>572</v>
      </c>
      <c r="G105" s="10" t="s">
        <v>505</v>
      </c>
      <c r="H105" s="10" t="s">
        <v>506</v>
      </c>
      <c r="I105" s="11" t="s">
        <v>121</v>
      </c>
      <c r="J105" s="13" t="s">
        <v>715</v>
      </c>
      <c r="K105" s="12" t="n">
        <f aca="false">ROUND((IF(E105="Transactional",5,IF(E105="Commercial",4,IF(E105="Comparison",3,IF(E105="Informational",2,3))))*LOG10(IF(ISNUMBER(L105),L105,IFERROR(VALUE(LEFT(F105,FIND("-",F105)-1)),100))+1))/IF(IF(ISBLANK(M105),G105,M105)="High",5,IF(IF(ISBLANK(M105),G105,M105)="Medium",3,1)),2)</f>
        <v>5.97</v>
      </c>
      <c r="L105" s="10"/>
      <c r="M105" s="10"/>
      <c r="N105" s="10"/>
      <c r="O105" s="10" t="s">
        <v>123</v>
      </c>
      <c r="P105" s="11"/>
    </row>
    <row r="106" customFormat="false" ht="25.5" hidden="false" customHeight="true" outlineLevel="0" collapsed="false">
      <c r="A106" s="10" t="n">
        <v>245</v>
      </c>
      <c r="B106" s="10" t="n">
        <v>2</v>
      </c>
      <c r="C106" s="10" t="s">
        <v>115</v>
      </c>
      <c r="D106" s="11" t="s">
        <v>716</v>
      </c>
      <c r="E106" s="10" t="s">
        <v>117</v>
      </c>
      <c r="F106" s="11" t="s">
        <v>572</v>
      </c>
      <c r="G106" s="10" t="s">
        <v>505</v>
      </c>
      <c r="H106" s="10" t="s">
        <v>506</v>
      </c>
      <c r="I106" s="11" t="s">
        <v>121</v>
      </c>
      <c r="J106" s="11" t="s">
        <v>717</v>
      </c>
      <c r="K106" s="12" t="n">
        <f aca="false">ROUND((IF(E106="Transactional",5,IF(E106="Commercial",4,IF(E106="Comparison",3,IF(E106="Informational",2,3))))*LOG10(IF(ISNUMBER(L106),L106,IFERROR(VALUE(LEFT(F106,FIND("-",F106)-1)),100))+1))/IF(IF(ISBLANK(M106),G106,M106)="High",5,IF(IF(ISBLANK(M106),G106,M106)="Medium",3,1)),2)</f>
        <v>5.97</v>
      </c>
      <c r="L106" s="10"/>
      <c r="M106" s="10"/>
      <c r="N106" s="10"/>
      <c r="O106" s="10" t="s">
        <v>123</v>
      </c>
      <c r="P106" s="11" t="s">
        <v>508</v>
      </c>
    </row>
    <row r="107" customFormat="false" ht="25.5" hidden="false" customHeight="true" outlineLevel="0" collapsed="false">
      <c r="A107" s="10" t="n">
        <v>246</v>
      </c>
      <c r="B107" s="10" t="n">
        <v>2</v>
      </c>
      <c r="C107" s="10" t="s">
        <v>125</v>
      </c>
      <c r="D107" s="13" t="s">
        <v>718</v>
      </c>
      <c r="E107" s="10" t="s">
        <v>117</v>
      </c>
      <c r="F107" s="11" t="s">
        <v>572</v>
      </c>
      <c r="G107" s="10" t="s">
        <v>505</v>
      </c>
      <c r="H107" s="10" t="s">
        <v>506</v>
      </c>
      <c r="I107" s="11" t="s">
        <v>121</v>
      </c>
      <c r="J107" s="13" t="s">
        <v>719</v>
      </c>
      <c r="K107" s="12" t="n">
        <f aca="false">ROUND((IF(E107="Transactional",5,IF(E107="Commercial",4,IF(E107="Comparison",3,IF(E107="Informational",2,3))))*LOG10(IF(ISNUMBER(L107),L107,IFERROR(VALUE(LEFT(F107,FIND("-",F107)-1)),100))+1))/IF(IF(ISBLANK(M107),G107,M107)="High",5,IF(IF(ISBLANK(M107),G107,M107)="Medium",3,1)),2)</f>
        <v>5.97</v>
      </c>
      <c r="L107" s="10"/>
      <c r="M107" s="10"/>
      <c r="N107" s="10"/>
      <c r="O107" s="10" t="s">
        <v>123</v>
      </c>
      <c r="P107" s="11"/>
    </row>
    <row r="108" customFormat="false" ht="25.5" hidden="false" customHeight="true" outlineLevel="0" collapsed="false">
      <c r="A108" s="10" t="n">
        <v>247</v>
      </c>
      <c r="B108" s="10" t="n">
        <v>2</v>
      </c>
      <c r="C108" s="10" t="s">
        <v>115</v>
      </c>
      <c r="D108" s="11" t="s">
        <v>720</v>
      </c>
      <c r="E108" s="10" t="s">
        <v>117</v>
      </c>
      <c r="F108" s="11" t="s">
        <v>572</v>
      </c>
      <c r="G108" s="10" t="s">
        <v>505</v>
      </c>
      <c r="H108" s="10" t="s">
        <v>506</v>
      </c>
      <c r="I108" s="11" t="s">
        <v>121</v>
      </c>
      <c r="J108" s="11" t="s">
        <v>721</v>
      </c>
      <c r="K108" s="12" t="n">
        <f aca="false">ROUND((IF(E108="Transactional",5,IF(E108="Commercial",4,IF(E108="Comparison",3,IF(E108="Informational",2,3))))*LOG10(IF(ISNUMBER(L108),L108,IFERROR(VALUE(LEFT(F108,FIND("-",F108)-1)),100))+1))/IF(IF(ISBLANK(M108),G108,M108)="High",5,IF(IF(ISBLANK(M108),G108,M108)="Medium",3,1)),2)</f>
        <v>5.97</v>
      </c>
      <c r="L108" s="10"/>
      <c r="M108" s="10"/>
      <c r="N108" s="10"/>
      <c r="O108" s="10" t="s">
        <v>123</v>
      </c>
      <c r="P108" s="11" t="s">
        <v>508</v>
      </c>
    </row>
    <row r="109" customFormat="false" ht="25.5" hidden="false" customHeight="true" outlineLevel="0" collapsed="false">
      <c r="A109" s="10" t="n">
        <v>248</v>
      </c>
      <c r="B109" s="10" t="n">
        <v>2</v>
      </c>
      <c r="C109" s="10" t="s">
        <v>125</v>
      </c>
      <c r="D109" s="13" t="s">
        <v>722</v>
      </c>
      <c r="E109" s="10" t="s">
        <v>117</v>
      </c>
      <c r="F109" s="11" t="s">
        <v>572</v>
      </c>
      <c r="G109" s="10" t="s">
        <v>505</v>
      </c>
      <c r="H109" s="10" t="s">
        <v>506</v>
      </c>
      <c r="I109" s="11" t="s">
        <v>121</v>
      </c>
      <c r="J109" s="13" t="s">
        <v>723</v>
      </c>
      <c r="K109" s="12" t="n">
        <f aca="false">ROUND((IF(E109="Transactional",5,IF(E109="Commercial",4,IF(E109="Comparison",3,IF(E109="Informational",2,3))))*LOG10(IF(ISNUMBER(L109),L109,IFERROR(VALUE(LEFT(F109,FIND("-",F109)-1)),100))+1))/IF(IF(ISBLANK(M109),G109,M109)="High",5,IF(IF(ISBLANK(M109),G109,M109)="Medium",3,1)),2)</f>
        <v>5.97</v>
      </c>
      <c r="L109" s="10"/>
      <c r="M109" s="10"/>
      <c r="N109" s="10"/>
      <c r="O109" s="10" t="s">
        <v>123</v>
      </c>
      <c r="P109" s="11"/>
    </row>
    <row r="110" customFormat="false" ht="25.5" hidden="false" customHeight="true" outlineLevel="0" collapsed="false">
      <c r="A110" s="10" t="n">
        <v>249</v>
      </c>
      <c r="B110" s="10" t="n">
        <v>2</v>
      </c>
      <c r="C110" s="10" t="s">
        <v>115</v>
      </c>
      <c r="D110" s="11" t="s">
        <v>724</v>
      </c>
      <c r="E110" s="10" t="s">
        <v>117</v>
      </c>
      <c r="F110" s="11" t="s">
        <v>572</v>
      </c>
      <c r="G110" s="10" t="s">
        <v>505</v>
      </c>
      <c r="H110" s="10" t="s">
        <v>506</v>
      </c>
      <c r="I110" s="11" t="s">
        <v>121</v>
      </c>
      <c r="J110" s="11" t="s">
        <v>725</v>
      </c>
      <c r="K110" s="12" t="n">
        <f aca="false">ROUND((IF(E110="Transactional",5,IF(E110="Commercial",4,IF(E110="Comparison",3,IF(E110="Informational",2,3))))*LOG10(IF(ISNUMBER(L110),L110,IFERROR(VALUE(LEFT(F110,FIND("-",F110)-1)),100))+1))/IF(IF(ISBLANK(M110),G110,M110)="High",5,IF(IF(ISBLANK(M110),G110,M110)="Medium",3,1)),2)</f>
        <v>5.97</v>
      </c>
      <c r="L110" s="10"/>
      <c r="M110" s="10"/>
      <c r="N110" s="10"/>
      <c r="O110" s="10" t="s">
        <v>123</v>
      </c>
      <c r="P110" s="11" t="s">
        <v>508</v>
      </c>
    </row>
    <row r="111" customFormat="false" ht="25.5" hidden="false" customHeight="true" outlineLevel="0" collapsed="false">
      <c r="A111" s="10" t="n">
        <v>250</v>
      </c>
      <c r="B111" s="10" t="n">
        <v>2</v>
      </c>
      <c r="C111" s="10" t="s">
        <v>125</v>
      </c>
      <c r="D111" s="13" t="s">
        <v>726</v>
      </c>
      <c r="E111" s="10" t="s">
        <v>117</v>
      </c>
      <c r="F111" s="11" t="s">
        <v>572</v>
      </c>
      <c r="G111" s="10" t="s">
        <v>505</v>
      </c>
      <c r="H111" s="10" t="s">
        <v>506</v>
      </c>
      <c r="I111" s="11" t="s">
        <v>121</v>
      </c>
      <c r="J111" s="13" t="s">
        <v>727</v>
      </c>
      <c r="K111" s="12" t="n">
        <f aca="false">ROUND((IF(E111="Transactional",5,IF(E111="Commercial",4,IF(E111="Comparison",3,IF(E111="Informational",2,3))))*LOG10(IF(ISNUMBER(L111),L111,IFERROR(VALUE(LEFT(F111,FIND("-",F111)-1)),100))+1))/IF(IF(ISBLANK(M111),G111,M111)="High",5,IF(IF(ISBLANK(M111),G111,M111)="Medium",3,1)),2)</f>
        <v>5.97</v>
      </c>
      <c r="L111" s="10"/>
      <c r="M111" s="10"/>
      <c r="N111" s="10"/>
      <c r="O111" s="10" t="s">
        <v>123</v>
      </c>
      <c r="P111" s="11"/>
    </row>
    <row r="112" customFormat="false" ht="25.5" hidden="false" customHeight="true" outlineLevel="0" collapsed="false">
      <c r="A112" s="10" t="n">
        <v>251</v>
      </c>
      <c r="B112" s="10" t="n">
        <v>2</v>
      </c>
      <c r="C112" s="10" t="s">
        <v>115</v>
      </c>
      <c r="D112" s="11" t="s">
        <v>728</v>
      </c>
      <c r="E112" s="10" t="s">
        <v>117</v>
      </c>
      <c r="F112" s="11" t="s">
        <v>572</v>
      </c>
      <c r="G112" s="10" t="s">
        <v>505</v>
      </c>
      <c r="H112" s="10" t="s">
        <v>506</v>
      </c>
      <c r="I112" s="11" t="s">
        <v>121</v>
      </c>
      <c r="J112" s="11" t="s">
        <v>729</v>
      </c>
      <c r="K112" s="12" t="n">
        <f aca="false">ROUND((IF(E112="Transactional",5,IF(E112="Commercial",4,IF(E112="Comparison",3,IF(E112="Informational",2,3))))*LOG10(IF(ISNUMBER(L112),L112,IFERROR(VALUE(LEFT(F112,FIND("-",F112)-1)),100))+1))/IF(IF(ISBLANK(M112),G112,M112)="High",5,IF(IF(ISBLANK(M112),G112,M112)="Medium",3,1)),2)</f>
        <v>5.97</v>
      </c>
      <c r="L112" s="10"/>
      <c r="M112" s="10"/>
      <c r="N112" s="10"/>
      <c r="O112" s="10" t="s">
        <v>123</v>
      </c>
      <c r="P112" s="11" t="s">
        <v>508</v>
      </c>
    </row>
    <row r="113" customFormat="false" ht="25.5" hidden="false" customHeight="true" outlineLevel="0" collapsed="false">
      <c r="A113" s="10" t="n">
        <v>252</v>
      </c>
      <c r="B113" s="10" t="n">
        <v>2</v>
      </c>
      <c r="C113" s="10" t="s">
        <v>125</v>
      </c>
      <c r="D113" s="13" t="s">
        <v>730</v>
      </c>
      <c r="E113" s="10" t="s">
        <v>117</v>
      </c>
      <c r="F113" s="11" t="s">
        <v>572</v>
      </c>
      <c r="G113" s="10" t="s">
        <v>505</v>
      </c>
      <c r="H113" s="10" t="s">
        <v>506</v>
      </c>
      <c r="I113" s="11" t="s">
        <v>121</v>
      </c>
      <c r="J113" s="13" t="s">
        <v>731</v>
      </c>
      <c r="K113" s="12" t="n">
        <f aca="false">ROUND((IF(E113="Transactional",5,IF(E113="Commercial",4,IF(E113="Comparison",3,IF(E113="Informational",2,3))))*LOG10(IF(ISNUMBER(L113),L113,IFERROR(VALUE(LEFT(F113,FIND("-",F113)-1)),100))+1))/IF(IF(ISBLANK(M113),G113,M113)="High",5,IF(IF(ISBLANK(M113),G113,M113)="Medium",3,1)),2)</f>
        <v>5.97</v>
      </c>
      <c r="L113" s="10"/>
      <c r="M113" s="10"/>
      <c r="N113" s="10"/>
      <c r="O113" s="10" t="s">
        <v>123</v>
      </c>
      <c r="P113" s="11"/>
    </row>
    <row r="114" customFormat="false" ht="25.5" hidden="false" customHeight="true" outlineLevel="0" collapsed="false">
      <c r="A114" s="10" t="n">
        <v>253</v>
      </c>
      <c r="B114" s="10" t="n">
        <v>2</v>
      </c>
      <c r="C114" s="10" t="s">
        <v>115</v>
      </c>
      <c r="D114" s="11" t="s">
        <v>732</v>
      </c>
      <c r="E114" s="10" t="s">
        <v>117</v>
      </c>
      <c r="F114" s="11" t="s">
        <v>572</v>
      </c>
      <c r="G114" s="10" t="s">
        <v>505</v>
      </c>
      <c r="H114" s="10" t="s">
        <v>506</v>
      </c>
      <c r="I114" s="11" t="s">
        <v>121</v>
      </c>
      <c r="J114" s="11" t="s">
        <v>733</v>
      </c>
      <c r="K114" s="12" t="n">
        <f aca="false">ROUND((IF(E114="Transactional",5,IF(E114="Commercial",4,IF(E114="Comparison",3,IF(E114="Informational",2,3))))*LOG10(IF(ISNUMBER(L114),L114,IFERROR(VALUE(LEFT(F114,FIND("-",F114)-1)),100))+1))/IF(IF(ISBLANK(M114),G114,M114)="High",5,IF(IF(ISBLANK(M114),G114,M114)="Medium",3,1)),2)</f>
        <v>5.97</v>
      </c>
      <c r="L114" s="10"/>
      <c r="M114" s="10"/>
      <c r="N114" s="10"/>
      <c r="O114" s="10" t="s">
        <v>123</v>
      </c>
      <c r="P114" s="11" t="s">
        <v>508</v>
      </c>
    </row>
    <row r="115" customFormat="false" ht="25.5" hidden="false" customHeight="true" outlineLevel="0" collapsed="false">
      <c r="A115" s="10" t="n">
        <v>254</v>
      </c>
      <c r="B115" s="10" t="n">
        <v>2</v>
      </c>
      <c r="C115" s="10" t="s">
        <v>125</v>
      </c>
      <c r="D115" s="13" t="s">
        <v>734</v>
      </c>
      <c r="E115" s="10" t="s">
        <v>117</v>
      </c>
      <c r="F115" s="11" t="s">
        <v>572</v>
      </c>
      <c r="G115" s="10" t="s">
        <v>505</v>
      </c>
      <c r="H115" s="10" t="s">
        <v>506</v>
      </c>
      <c r="I115" s="11" t="s">
        <v>121</v>
      </c>
      <c r="J115" s="13" t="s">
        <v>735</v>
      </c>
      <c r="K115" s="12" t="n">
        <f aca="false">ROUND((IF(E115="Transactional",5,IF(E115="Commercial",4,IF(E115="Comparison",3,IF(E115="Informational",2,3))))*LOG10(IF(ISNUMBER(L115),L115,IFERROR(VALUE(LEFT(F115,FIND("-",F115)-1)),100))+1))/IF(IF(ISBLANK(M115),G115,M115)="High",5,IF(IF(ISBLANK(M115),G115,M115)="Medium",3,1)),2)</f>
        <v>5.97</v>
      </c>
      <c r="L115" s="10"/>
      <c r="M115" s="10"/>
      <c r="N115" s="10"/>
      <c r="O115" s="10" t="s">
        <v>123</v>
      </c>
      <c r="P115" s="11"/>
    </row>
    <row r="116" customFormat="false" ht="25.5" hidden="false" customHeight="true" outlineLevel="0" collapsed="false">
      <c r="A116" s="10" t="n">
        <v>255</v>
      </c>
      <c r="B116" s="10" t="n">
        <v>2</v>
      </c>
      <c r="C116" s="10" t="s">
        <v>115</v>
      </c>
      <c r="D116" s="11" t="s">
        <v>736</v>
      </c>
      <c r="E116" s="10" t="s">
        <v>117</v>
      </c>
      <c r="F116" s="11" t="s">
        <v>572</v>
      </c>
      <c r="G116" s="10" t="s">
        <v>505</v>
      </c>
      <c r="H116" s="10" t="s">
        <v>506</v>
      </c>
      <c r="I116" s="11" t="s">
        <v>121</v>
      </c>
      <c r="J116" s="11" t="s">
        <v>737</v>
      </c>
      <c r="K116" s="12" t="n">
        <f aca="false">ROUND((IF(E116="Transactional",5,IF(E116="Commercial",4,IF(E116="Comparison",3,IF(E116="Informational",2,3))))*LOG10(IF(ISNUMBER(L116),L116,IFERROR(VALUE(LEFT(F116,FIND("-",F116)-1)),100))+1))/IF(IF(ISBLANK(M116),G116,M116)="High",5,IF(IF(ISBLANK(M116),G116,M116)="Medium",3,1)),2)</f>
        <v>5.97</v>
      </c>
      <c r="L116" s="10"/>
      <c r="M116" s="10"/>
      <c r="N116" s="10"/>
      <c r="O116" s="10" t="s">
        <v>123</v>
      </c>
      <c r="P116" s="11" t="s">
        <v>508</v>
      </c>
    </row>
    <row r="117" customFormat="false" ht="25.5" hidden="false" customHeight="true" outlineLevel="0" collapsed="false">
      <c r="A117" s="10" t="n">
        <v>256</v>
      </c>
      <c r="B117" s="10" t="n">
        <v>2</v>
      </c>
      <c r="C117" s="10" t="s">
        <v>125</v>
      </c>
      <c r="D117" s="13" t="s">
        <v>738</v>
      </c>
      <c r="E117" s="10" t="s">
        <v>117</v>
      </c>
      <c r="F117" s="11" t="s">
        <v>572</v>
      </c>
      <c r="G117" s="10" t="s">
        <v>505</v>
      </c>
      <c r="H117" s="10" t="s">
        <v>506</v>
      </c>
      <c r="I117" s="11" t="s">
        <v>121</v>
      </c>
      <c r="J117" s="13" t="s">
        <v>739</v>
      </c>
      <c r="K117" s="12" t="n">
        <f aca="false">ROUND((IF(E117="Transactional",5,IF(E117="Commercial",4,IF(E117="Comparison",3,IF(E117="Informational",2,3))))*LOG10(IF(ISNUMBER(L117),L117,IFERROR(VALUE(LEFT(F117,FIND("-",F117)-1)),100))+1))/IF(IF(ISBLANK(M117),G117,M117)="High",5,IF(IF(ISBLANK(M117),G117,M117)="Medium",3,1)),2)</f>
        <v>5.97</v>
      </c>
      <c r="L117" s="10"/>
      <c r="M117" s="10"/>
      <c r="N117" s="10"/>
      <c r="O117" s="10" t="s">
        <v>123</v>
      </c>
      <c r="P117" s="11"/>
    </row>
    <row r="118" customFormat="false" ht="25.5" hidden="false" customHeight="true" outlineLevel="0" collapsed="false">
      <c r="A118" s="10" t="n">
        <v>257</v>
      </c>
      <c r="B118" s="10" t="n">
        <v>2</v>
      </c>
      <c r="C118" s="10" t="s">
        <v>115</v>
      </c>
      <c r="D118" s="11" t="s">
        <v>740</v>
      </c>
      <c r="E118" s="10" t="s">
        <v>117</v>
      </c>
      <c r="F118" s="11" t="s">
        <v>572</v>
      </c>
      <c r="G118" s="10" t="s">
        <v>505</v>
      </c>
      <c r="H118" s="10" t="s">
        <v>506</v>
      </c>
      <c r="I118" s="11" t="s">
        <v>121</v>
      </c>
      <c r="J118" s="11" t="s">
        <v>741</v>
      </c>
      <c r="K118" s="12" t="n">
        <f aca="false">ROUND((IF(E118="Transactional",5,IF(E118="Commercial",4,IF(E118="Comparison",3,IF(E118="Informational",2,3))))*LOG10(IF(ISNUMBER(L118),L118,IFERROR(VALUE(LEFT(F118,FIND("-",F118)-1)),100))+1))/IF(IF(ISBLANK(M118),G118,M118)="High",5,IF(IF(ISBLANK(M118),G118,M118)="Medium",3,1)),2)</f>
        <v>5.97</v>
      </c>
      <c r="L118" s="10"/>
      <c r="M118" s="10"/>
      <c r="N118" s="10"/>
      <c r="O118" s="10" t="s">
        <v>123</v>
      </c>
      <c r="P118" s="11" t="s">
        <v>508</v>
      </c>
    </row>
    <row r="119" customFormat="false" ht="25.5" hidden="false" customHeight="true" outlineLevel="0" collapsed="false">
      <c r="A119" s="10" t="n">
        <v>258</v>
      </c>
      <c r="B119" s="10" t="n">
        <v>2</v>
      </c>
      <c r="C119" s="10" t="s">
        <v>125</v>
      </c>
      <c r="D119" s="13" t="s">
        <v>742</v>
      </c>
      <c r="E119" s="10" t="s">
        <v>117</v>
      </c>
      <c r="F119" s="11" t="s">
        <v>572</v>
      </c>
      <c r="G119" s="10" t="s">
        <v>505</v>
      </c>
      <c r="H119" s="10" t="s">
        <v>506</v>
      </c>
      <c r="I119" s="11" t="s">
        <v>121</v>
      </c>
      <c r="J119" s="13" t="s">
        <v>743</v>
      </c>
      <c r="K119" s="12" t="n">
        <f aca="false">ROUND((IF(E119="Transactional",5,IF(E119="Commercial",4,IF(E119="Comparison",3,IF(E119="Informational",2,3))))*LOG10(IF(ISNUMBER(L119),L119,IFERROR(VALUE(LEFT(F119,FIND("-",F119)-1)),100))+1))/IF(IF(ISBLANK(M119),G119,M119)="High",5,IF(IF(ISBLANK(M119),G119,M119)="Medium",3,1)),2)</f>
        <v>5.97</v>
      </c>
      <c r="L119" s="10"/>
      <c r="M119" s="10"/>
      <c r="N119" s="10"/>
      <c r="O119" s="10" t="s">
        <v>123</v>
      </c>
      <c r="P119" s="11"/>
    </row>
    <row r="120" customFormat="false" ht="25.5" hidden="false" customHeight="true" outlineLevel="0" collapsed="false">
      <c r="A120" s="10" t="n">
        <v>259</v>
      </c>
      <c r="B120" s="10" t="n">
        <v>2</v>
      </c>
      <c r="C120" s="10" t="s">
        <v>115</v>
      </c>
      <c r="D120" s="11" t="s">
        <v>744</v>
      </c>
      <c r="E120" s="10" t="s">
        <v>117</v>
      </c>
      <c r="F120" s="11" t="s">
        <v>572</v>
      </c>
      <c r="G120" s="10" t="s">
        <v>505</v>
      </c>
      <c r="H120" s="10" t="s">
        <v>506</v>
      </c>
      <c r="I120" s="11" t="s">
        <v>121</v>
      </c>
      <c r="J120" s="11" t="s">
        <v>745</v>
      </c>
      <c r="K120" s="12" t="n">
        <f aca="false">ROUND((IF(E120="Transactional",5,IF(E120="Commercial",4,IF(E120="Comparison",3,IF(E120="Informational",2,3))))*LOG10(IF(ISNUMBER(L120),L120,IFERROR(VALUE(LEFT(F120,FIND("-",F120)-1)),100))+1))/IF(IF(ISBLANK(M120),G120,M120)="High",5,IF(IF(ISBLANK(M120),G120,M120)="Medium",3,1)),2)</f>
        <v>5.97</v>
      </c>
      <c r="L120" s="10"/>
      <c r="M120" s="10"/>
      <c r="N120" s="10"/>
      <c r="O120" s="10" t="s">
        <v>123</v>
      </c>
      <c r="P120" s="11" t="s">
        <v>508</v>
      </c>
    </row>
    <row r="121" customFormat="false" ht="25.5" hidden="false" customHeight="true" outlineLevel="0" collapsed="false">
      <c r="A121" s="10" t="n">
        <v>260</v>
      </c>
      <c r="B121" s="10" t="n">
        <v>2</v>
      </c>
      <c r="C121" s="10" t="s">
        <v>125</v>
      </c>
      <c r="D121" s="13" t="s">
        <v>746</v>
      </c>
      <c r="E121" s="10" t="s">
        <v>117</v>
      </c>
      <c r="F121" s="11" t="s">
        <v>572</v>
      </c>
      <c r="G121" s="10" t="s">
        <v>505</v>
      </c>
      <c r="H121" s="10" t="s">
        <v>506</v>
      </c>
      <c r="I121" s="11" t="s">
        <v>121</v>
      </c>
      <c r="J121" s="13" t="s">
        <v>747</v>
      </c>
      <c r="K121" s="12" t="n">
        <f aca="false">ROUND((IF(E121="Transactional",5,IF(E121="Commercial",4,IF(E121="Comparison",3,IF(E121="Informational",2,3))))*LOG10(IF(ISNUMBER(L121),L121,IFERROR(VALUE(LEFT(F121,FIND("-",F121)-1)),100))+1))/IF(IF(ISBLANK(M121),G121,M121)="High",5,IF(IF(ISBLANK(M121),G121,M121)="Medium",3,1)),2)</f>
        <v>5.97</v>
      </c>
      <c r="L121" s="10"/>
      <c r="M121" s="10"/>
      <c r="N121" s="10"/>
      <c r="O121" s="10" t="s">
        <v>123</v>
      </c>
      <c r="P121" s="11"/>
    </row>
    <row r="122" customFormat="false" ht="25.5" hidden="false" customHeight="true" outlineLevel="0" collapsed="false">
      <c r="A122" s="10" t="n">
        <v>261</v>
      </c>
      <c r="B122" s="10" t="n">
        <v>2</v>
      </c>
      <c r="C122" s="10" t="s">
        <v>115</v>
      </c>
      <c r="D122" s="11" t="s">
        <v>748</v>
      </c>
      <c r="E122" s="10" t="s">
        <v>117</v>
      </c>
      <c r="F122" s="11" t="s">
        <v>572</v>
      </c>
      <c r="G122" s="10" t="s">
        <v>505</v>
      </c>
      <c r="H122" s="10" t="s">
        <v>506</v>
      </c>
      <c r="I122" s="11" t="s">
        <v>121</v>
      </c>
      <c r="J122" s="11" t="s">
        <v>749</v>
      </c>
      <c r="K122" s="12" t="n">
        <f aca="false">ROUND((IF(E122="Transactional",5,IF(E122="Commercial",4,IF(E122="Comparison",3,IF(E122="Informational",2,3))))*LOG10(IF(ISNUMBER(L122),L122,IFERROR(VALUE(LEFT(F122,FIND("-",F122)-1)),100))+1))/IF(IF(ISBLANK(M122),G122,M122)="High",5,IF(IF(ISBLANK(M122),G122,M122)="Medium",3,1)),2)</f>
        <v>5.97</v>
      </c>
      <c r="L122" s="10"/>
      <c r="M122" s="10"/>
      <c r="N122" s="10"/>
      <c r="O122" s="10" t="s">
        <v>123</v>
      </c>
      <c r="P122" s="11" t="s">
        <v>508</v>
      </c>
    </row>
    <row r="123" customFormat="false" ht="25.5" hidden="false" customHeight="true" outlineLevel="0" collapsed="false">
      <c r="A123" s="10" t="n">
        <v>262</v>
      </c>
      <c r="B123" s="10" t="n">
        <v>2</v>
      </c>
      <c r="C123" s="10" t="s">
        <v>125</v>
      </c>
      <c r="D123" s="13" t="s">
        <v>750</v>
      </c>
      <c r="E123" s="10" t="s">
        <v>117</v>
      </c>
      <c r="F123" s="11" t="s">
        <v>572</v>
      </c>
      <c r="G123" s="10" t="s">
        <v>505</v>
      </c>
      <c r="H123" s="10" t="s">
        <v>506</v>
      </c>
      <c r="I123" s="11" t="s">
        <v>121</v>
      </c>
      <c r="J123" s="13" t="s">
        <v>751</v>
      </c>
      <c r="K123" s="12" t="n">
        <f aca="false">ROUND((IF(E123="Transactional",5,IF(E123="Commercial",4,IF(E123="Comparison",3,IF(E123="Informational",2,3))))*LOG10(IF(ISNUMBER(L123),L123,IFERROR(VALUE(LEFT(F123,FIND("-",F123)-1)),100))+1))/IF(IF(ISBLANK(M123),G123,M123)="High",5,IF(IF(ISBLANK(M123),G123,M123)="Medium",3,1)),2)</f>
        <v>5.97</v>
      </c>
      <c r="L123" s="10"/>
      <c r="M123" s="10"/>
      <c r="N123" s="10"/>
      <c r="O123" s="10" t="s">
        <v>123</v>
      </c>
      <c r="P123" s="11"/>
    </row>
    <row r="124" customFormat="false" ht="25.5" hidden="false" customHeight="true" outlineLevel="0" collapsed="false">
      <c r="A124" s="10" t="n">
        <v>263</v>
      </c>
      <c r="B124" s="10" t="n">
        <v>2</v>
      </c>
      <c r="C124" s="10" t="s">
        <v>115</v>
      </c>
      <c r="D124" s="11" t="s">
        <v>752</v>
      </c>
      <c r="E124" s="10" t="s">
        <v>117</v>
      </c>
      <c r="F124" s="11" t="s">
        <v>572</v>
      </c>
      <c r="G124" s="10" t="s">
        <v>505</v>
      </c>
      <c r="H124" s="10" t="s">
        <v>506</v>
      </c>
      <c r="I124" s="11" t="s">
        <v>121</v>
      </c>
      <c r="J124" s="11" t="s">
        <v>753</v>
      </c>
      <c r="K124" s="12" t="n">
        <f aca="false">ROUND((IF(E124="Transactional",5,IF(E124="Commercial",4,IF(E124="Comparison",3,IF(E124="Informational",2,3))))*LOG10(IF(ISNUMBER(L124),L124,IFERROR(VALUE(LEFT(F124,FIND("-",F124)-1)),100))+1))/IF(IF(ISBLANK(M124),G124,M124)="High",5,IF(IF(ISBLANK(M124),G124,M124)="Medium",3,1)),2)</f>
        <v>5.97</v>
      </c>
      <c r="L124" s="10"/>
      <c r="M124" s="10"/>
      <c r="N124" s="10"/>
      <c r="O124" s="10" t="s">
        <v>123</v>
      </c>
      <c r="P124" s="11" t="s">
        <v>508</v>
      </c>
    </row>
    <row r="125" customFormat="false" ht="25.5" hidden="false" customHeight="true" outlineLevel="0" collapsed="false">
      <c r="A125" s="10" t="n">
        <v>264</v>
      </c>
      <c r="B125" s="10" t="n">
        <v>2</v>
      </c>
      <c r="C125" s="10" t="s">
        <v>125</v>
      </c>
      <c r="D125" s="13" t="s">
        <v>754</v>
      </c>
      <c r="E125" s="10" t="s">
        <v>117</v>
      </c>
      <c r="F125" s="11" t="s">
        <v>572</v>
      </c>
      <c r="G125" s="10" t="s">
        <v>505</v>
      </c>
      <c r="H125" s="10" t="s">
        <v>506</v>
      </c>
      <c r="I125" s="11" t="s">
        <v>121</v>
      </c>
      <c r="J125" s="13" t="s">
        <v>755</v>
      </c>
      <c r="K125" s="12" t="n">
        <f aca="false">ROUND((IF(E125="Transactional",5,IF(E125="Commercial",4,IF(E125="Comparison",3,IF(E125="Informational",2,3))))*LOG10(IF(ISNUMBER(L125),L125,IFERROR(VALUE(LEFT(F125,FIND("-",F125)-1)),100))+1))/IF(IF(ISBLANK(M125),G125,M125)="High",5,IF(IF(ISBLANK(M125),G125,M125)="Medium",3,1)),2)</f>
        <v>5.97</v>
      </c>
      <c r="L125" s="10"/>
      <c r="M125" s="10"/>
      <c r="N125" s="10"/>
      <c r="O125" s="10" t="s">
        <v>123</v>
      </c>
      <c r="P125" s="11"/>
    </row>
    <row r="126" customFormat="false" ht="25.5" hidden="false" customHeight="true" outlineLevel="0" collapsed="false">
      <c r="A126" s="10" t="n">
        <v>265</v>
      </c>
      <c r="B126" s="10" t="n">
        <v>2</v>
      </c>
      <c r="C126" s="10" t="s">
        <v>115</v>
      </c>
      <c r="D126" s="11" t="s">
        <v>756</v>
      </c>
      <c r="E126" s="10" t="s">
        <v>117</v>
      </c>
      <c r="F126" s="11" t="s">
        <v>572</v>
      </c>
      <c r="G126" s="10" t="s">
        <v>505</v>
      </c>
      <c r="H126" s="10" t="s">
        <v>506</v>
      </c>
      <c r="I126" s="11" t="s">
        <v>121</v>
      </c>
      <c r="J126" s="11" t="s">
        <v>757</v>
      </c>
      <c r="K126" s="12" t="n">
        <f aca="false">ROUND((IF(E126="Transactional",5,IF(E126="Commercial",4,IF(E126="Comparison",3,IF(E126="Informational",2,3))))*LOG10(IF(ISNUMBER(L126),L126,IFERROR(VALUE(LEFT(F126,FIND("-",F126)-1)),100))+1))/IF(IF(ISBLANK(M126),G126,M126)="High",5,IF(IF(ISBLANK(M126),G126,M126)="Medium",3,1)),2)</f>
        <v>5.97</v>
      </c>
      <c r="L126" s="10"/>
      <c r="M126" s="10"/>
      <c r="N126" s="10"/>
      <c r="O126" s="10" t="s">
        <v>123</v>
      </c>
      <c r="P126" s="11" t="s">
        <v>508</v>
      </c>
    </row>
    <row r="127" customFormat="false" ht="25.5" hidden="false" customHeight="true" outlineLevel="0" collapsed="false">
      <c r="A127" s="10" t="n">
        <v>266</v>
      </c>
      <c r="B127" s="10" t="n">
        <v>2</v>
      </c>
      <c r="C127" s="10" t="s">
        <v>125</v>
      </c>
      <c r="D127" s="13" t="s">
        <v>758</v>
      </c>
      <c r="E127" s="10" t="s">
        <v>117</v>
      </c>
      <c r="F127" s="11" t="s">
        <v>572</v>
      </c>
      <c r="G127" s="10" t="s">
        <v>505</v>
      </c>
      <c r="H127" s="10" t="s">
        <v>506</v>
      </c>
      <c r="I127" s="11" t="s">
        <v>121</v>
      </c>
      <c r="J127" s="13" t="s">
        <v>759</v>
      </c>
      <c r="K127" s="12" t="n">
        <f aca="false">ROUND((IF(E127="Transactional",5,IF(E127="Commercial",4,IF(E127="Comparison",3,IF(E127="Informational",2,3))))*LOG10(IF(ISNUMBER(L127),L127,IFERROR(VALUE(LEFT(F127,FIND("-",F127)-1)),100))+1))/IF(IF(ISBLANK(M127),G127,M127)="High",5,IF(IF(ISBLANK(M127),G127,M127)="Medium",3,1)),2)</f>
        <v>5.97</v>
      </c>
      <c r="L127" s="10"/>
      <c r="M127" s="10"/>
      <c r="N127" s="10"/>
      <c r="O127" s="10" t="s">
        <v>123</v>
      </c>
      <c r="P127" s="11"/>
    </row>
    <row r="128" customFormat="false" ht="25.5" hidden="false" customHeight="true" outlineLevel="0" collapsed="false">
      <c r="A128" s="10" t="n">
        <v>267</v>
      </c>
      <c r="B128" s="10" t="n">
        <v>2</v>
      </c>
      <c r="C128" s="10" t="s">
        <v>115</v>
      </c>
      <c r="D128" s="11" t="s">
        <v>760</v>
      </c>
      <c r="E128" s="10" t="s">
        <v>117</v>
      </c>
      <c r="F128" s="11" t="s">
        <v>572</v>
      </c>
      <c r="G128" s="10" t="s">
        <v>505</v>
      </c>
      <c r="H128" s="10" t="s">
        <v>506</v>
      </c>
      <c r="I128" s="11" t="s">
        <v>121</v>
      </c>
      <c r="J128" s="11" t="s">
        <v>761</v>
      </c>
      <c r="K128" s="12" t="n">
        <f aca="false">ROUND((IF(E128="Transactional",5,IF(E128="Commercial",4,IF(E128="Comparison",3,IF(E128="Informational",2,3))))*LOG10(IF(ISNUMBER(L128),L128,IFERROR(VALUE(LEFT(F128,FIND("-",F128)-1)),100))+1))/IF(IF(ISBLANK(M128),G128,M128)="High",5,IF(IF(ISBLANK(M128),G128,M128)="Medium",3,1)),2)</f>
        <v>5.97</v>
      </c>
      <c r="L128" s="10"/>
      <c r="M128" s="10"/>
      <c r="N128" s="10"/>
      <c r="O128" s="10" t="s">
        <v>123</v>
      </c>
      <c r="P128" s="11" t="s">
        <v>508</v>
      </c>
    </row>
    <row r="129" customFormat="false" ht="25.5" hidden="false" customHeight="true" outlineLevel="0" collapsed="false">
      <c r="A129" s="10" t="n">
        <v>268</v>
      </c>
      <c r="B129" s="10" t="n">
        <v>2</v>
      </c>
      <c r="C129" s="10" t="s">
        <v>125</v>
      </c>
      <c r="D129" s="13" t="s">
        <v>762</v>
      </c>
      <c r="E129" s="10" t="s">
        <v>117</v>
      </c>
      <c r="F129" s="11" t="s">
        <v>572</v>
      </c>
      <c r="G129" s="10" t="s">
        <v>505</v>
      </c>
      <c r="H129" s="10" t="s">
        <v>506</v>
      </c>
      <c r="I129" s="11" t="s">
        <v>121</v>
      </c>
      <c r="J129" s="13" t="s">
        <v>763</v>
      </c>
      <c r="K129" s="12" t="n">
        <f aca="false">ROUND((IF(E129="Transactional",5,IF(E129="Commercial",4,IF(E129="Comparison",3,IF(E129="Informational",2,3))))*LOG10(IF(ISNUMBER(L129),L129,IFERROR(VALUE(LEFT(F129,FIND("-",F129)-1)),100))+1))/IF(IF(ISBLANK(M129),G129,M129)="High",5,IF(IF(ISBLANK(M129),G129,M129)="Medium",3,1)),2)</f>
        <v>5.97</v>
      </c>
      <c r="L129" s="10"/>
      <c r="M129" s="10"/>
      <c r="N129" s="10"/>
      <c r="O129" s="10" t="s">
        <v>123</v>
      </c>
      <c r="P129" s="11"/>
    </row>
    <row r="130" customFormat="false" ht="25.5" hidden="false" customHeight="true" outlineLevel="0" collapsed="false">
      <c r="A130" s="10" t="n">
        <v>269</v>
      </c>
      <c r="B130" s="10" t="n">
        <v>2</v>
      </c>
      <c r="C130" s="10" t="s">
        <v>115</v>
      </c>
      <c r="D130" s="11" t="s">
        <v>764</v>
      </c>
      <c r="E130" s="10" t="s">
        <v>117</v>
      </c>
      <c r="F130" s="11" t="s">
        <v>572</v>
      </c>
      <c r="G130" s="10" t="s">
        <v>505</v>
      </c>
      <c r="H130" s="10" t="s">
        <v>506</v>
      </c>
      <c r="I130" s="11" t="s">
        <v>121</v>
      </c>
      <c r="J130" s="11" t="s">
        <v>765</v>
      </c>
      <c r="K130" s="12" t="n">
        <f aca="false">ROUND((IF(E130="Transactional",5,IF(E130="Commercial",4,IF(E130="Comparison",3,IF(E130="Informational",2,3))))*LOG10(IF(ISNUMBER(L130),L130,IFERROR(VALUE(LEFT(F130,FIND("-",F130)-1)),100))+1))/IF(IF(ISBLANK(M130),G130,M130)="High",5,IF(IF(ISBLANK(M130),G130,M130)="Medium",3,1)),2)</f>
        <v>5.97</v>
      </c>
      <c r="L130" s="10"/>
      <c r="M130" s="10"/>
      <c r="N130" s="10"/>
      <c r="O130" s="10" t="s">
        <v>123</v>
      </c>
      <c r="P130" s="11" t="s">
        <v>508</v>
      </c>
    </row>
    <row r="131" customFormat="false" ht="25.5" hidden="false" customHeight="true" outlineLevel="0" collapsed="false">
      <c r="A131" s="10" t="n">
        <v>270</v>
      </c>
      <c r="B131" s="10" t="n">
        <v>2</v>
      </c>
      <c r="C131" s="10" t="s">
        <v>125</v>
      </c>
      <c r="D131" s="13" t="s">
        <v>766</v>
      </c>
      <c r="E131" s="10" t="s">
        <v>117</v>
      </c>
      <c r="F131" s="11" t="s">
        <v>572</v>
      </c>
      <c r="G131" s="10" t="s">
        <v>505</v>
      </c>
      <c r="H131" s="10" t="s">
        <v>506</v>
      </c>
      <c r="I131" s="11" t="s">
        <v>121</v>
      </c>
      <c r="J131" s="13" t="s">
        <v>767</v>
      </c>
      <c r="K131" s="12" t="n">
        <f aca="false">ROUND((IF(E131="Transactional",5,IF(E131="Commercial",4,IF(E131="Comparison",3,IF(E131="Informational",2,3))))*LOG10(IF(ISNUMBER(L131),L131,IFERROR(VALUE(LEFT(F131,FIND("-",F131)-1)),100))+1))/IF(IF(ISBLANK(M131),G131,M131)="High",5,IF(IF(ISBLANK(M131),G131,M131)="Medium",3,1)),2)</f>
        <v>5.97</v>
      </c>
      <c r="L131" s="10"/>
      <c r="M131" s="10"/>
      <c r="N131" s="10"/>
      <c r="O131" s="10" t="s">
        <v>123</v>
      </c>
      <c r="P131" s="11"/>
    </row>
    <row r="132" customFormat="false" ht="25.5" hidden="false" customHeight="true" outlineLevel="0" collapsed="false">
      <c r="A132" s="10" t="n">
        <v>271</v>
      </c>
      <c r="B132" s="10" t="n">
        <v>2</v>
      </c>
      <c r="C132" s="10" t="s">
        <v>115</v>
      </c>
      <c r="D132" s="11" t="s">
        <v>768</v>
      </c>
      <c r="E132" s="10" t="s">
        <v>117</v>
      </c>
      <c r="F132" s="11" t="s">
        <v>572</v>
      </c>
      <c r="G132" s="10" t="s">
        <v>505</v>
      </c>
      <c r="H132" s="10" t="s">
        <v>506</v>
      </c>
      <c r="I132" s="11" t="s">
        <v>121</v>
      </c>
      <c r="J132" s="11" t="s">
        <v>769</v>
      </c>
      <c r="K132" s="12" t="n">
        <f aca="false">ROUND((IF(E132="Transactional",5,IF(E132="Commercial",4,IF(E132="Comparison",3,IF(E132="Informational",2,3))))*LOG10(IF(ISNUMBER(L132),L132,IFERROR(VALUE(LEFT(F132,FIND("-",F132)-1)),100))+1))/IF(IF(ISBLANK(M132),G132,M132)="High",5,IF(IF(ISBLANK(M132),G132,M132)="Medium",3,1)),2)</f>
        <v>5.97</v>
      </c>
      <c r="L132" s="10"/>
      <c r="M132" s="10"/>
      <c r="N132" s="10"/>
      <c r="O132" s="10" t="s">
        <v>123</v>
      </c>
      <c r="P132" s="11" t="s">
        <v>508</v>
      </c>
    </row>
    <row r="133" customFormat="false" ht="25.5" hidden="false" customHeight="true" outlineLevel="0" collapsed="false">
      <c r="A133" s="10" t="n">
        <v>272</v>
      </c>
      <c r="B133" s="10" t="n">
        <v>2</v>
      </c>
      <c r="C133" s="10" t="s">
        <v>125</v>
      </c>
      <c r="D133" s="13" t="s">
        <v>770</v>
      </c>
      <c r="E133" s="10" t="s">
        <v>117</v>
      </c>
      <c r="F133" s="11" t="s">
        <v>572</v>
      </c>
      <c r="G133" s="10" t="s">
        <v>505</v>
      </c>
      <c r="H133" s="10" t="s">
        <v>506</v>
      </c>
      <c r="I133" s="11" t="s">
        <v>121</v>
      </c>
      <c r="J133" s="13" t="s">
        <v>771</v>
      </c>
      <c r="K133" s="12" t="n">
        <f aca="false">ROUND((IF(E133="Transactional",5,IF(E133="Commercial",4,IF(E133="Comparison",3,IF(E133="Informational",2,3))))*LOG10(IF(ISNUMBER(L133),L133,IFERROR(VALUE(LEFT(F133,FIND("-",F133)-1)),100))+1))/IF(IF(ISBLANK(M133),G133,M133)="High",5,IF(IF(ISBLANK(M133),G133,M133)="Medium",3,1)),2)</f>
        <v>5.97</v>
      </c>
      <c r="L133" s="10"/>
      <c r="M133" s="10"/>
      <c r="N133" s="10"/>
      <c r="O133" s="10" t="s">
        <v>123</v>
      </c>
      <c r="P133" s="11"/>
    </row>
    <row r="134" customFormat="false" ht="25.5" hidden="false" customHeight="true" outlineLevel="0" collapsed="false">
      <c r="A134" s="10" t="n">
        <v>273</v>
      </c>
      <c r="B134" s="10" t="n">
        <v>2</v>
      </c>
      <c r="C134" s="10" t="s">
        <v>115</v>
      </c>
      <c r="D134" s="11" t="s">
        <v>772</v>
      </c>
      <c r="E134" s="10" t="s">
        <v>117</v>
      </c>
      <c r="F134" s="11" t="s">
        <v>572</v>
      </c>
      <c r="G134" s="10" t="s">
        <v>505</v>
      </c>
      <c r="H134" s="10" t="s">
        <v>506</v>
      </c>
      <c r="I134" s="11" t="s">
        <v>121</v>
      </c>
      <c r="J134" s="11" t="s">
        <v>773</v>
      </c>
      <c r="K134" s="12" t="n">
        <f aca="false">ROUND((IF(E134="Transactional",5,IF(E134="Commercial",4,IF(E134="Comparison",3,IF(E134="Informational",2,3))))*LOG10(IF(ISNUMBER(L134),L134,IFERROR(VALUE(LEFT(F134,FIND("-",F134)-1)),100))+1))/IF(IF(ISBLANK(M134),G134,M134)="High",5,IF(IF(ISBLANK(M134),G134,M134)="Medium",3,1)),2)</f>
        <v>5.97</v>
      </c>
      <c r="L134" s="10"/>
      <c r="M134" s="10"/>
      <c r="N134" s="10"/>
      <c r="O134" s="10" t="s">
        <v>123</v>
      </c>
      <c r="P134" s="11" t="s">
        <v>508</v>
      </c>
    </row>
    <row r="135" customFormat="false" ht="25.5" hidden="false" customHeight="true" outlineLevel="0" collapsed="false">
      <c r="A135" s="10" t="n">
        <v>274</v>
      </c>
      <c r="B135" s="10" t="n">
        <v>2</v>
      </c>
      <c r="C135" s="10" t="s">
        <v>125</v>
      </c>
      <c r="D135" s="13" t="s">
        <v>774</v>
      </c>
      <c r="E135" s="10" t="s">
        <v>117</v>
      </c>
      <c r="F135" s="11" t="s">
        <v>572</v>
      </c>
      <c r="G135" s="10" t="s">
        <v>505</v>
      </c>
      <c r="H135" s="10" t="s">
        <v>506</v>
      </c>
      <c r="I135" s="11" t="s">
        <v>121</v>
      </c>
      <c r="J135" s="13" t="s">
        <v>775</v>
      </c>
      <c r="K135" s="12" t="n">
        <f aca="false">ROUND((IF(E135="Transactional",5,IF(E135="Commercial",4,IF(E135="Comparison",3,IF(E135="Informational",2,3))))*LOG10(IF(ISNUMBER(L135),L135,IFERROR(VALUE(LEFT(F135,FIND("-",F135)-1)),100))+1))/IF(IF(ISBLANK(M135),G135,M135)="High",5,IF(IF(ISBLANK(M135),G135,M135)="Medium",3,1)),2)</f>
        <v>5.97</v>
      </c>
      <c r="L135" s="10"/>
      <c r="M135" s="10"/>
      <c r="N135" s="10"/>
      <c r="O135" s="10" t="s">
        <v>123</v>
      </c>
      <c r="P135" s="11"/>
    </row>
    <row r="136" customFormat="false" ht="25.5" hidden="false" customHeight="true" outlineLevel="0" collapsed="false">
      <c r="A136" s="10" t="n">
        <v>275</v>
      </c>
      <c r="B136" s="10" t="n">
        <v>2</v>
      </c>
      <c r="C136" s="10" t="s">
        <v>115</v>
      </c>
      <c r="D136" s="11" t="s">
        <v>776</v>
      </c>
      <c r="E136" s="10" t="s">
        <v>117</v>
      </c>
      <c r="F136" s="11" t="s">
        <v>572</v>
      </c>
      <c r="G136" s="10" t="s">
        <v>505</v>
      </c>
      <c r="H136" s="10" t="s">
        <v>506</v>
      </c>
      <c r="I136" s="11" t="s">
        <v>121</v>
      </c>
      <c r="J136" s="11" t="s">
        <v>777</v>
      </c>
      <c r="K136" s="12" t="n">
        <f aca="false">ROUND((IF(E136="Transactional",5,IF(E136="Commercial",4,IF(E136="Comparison",3,IF(E136="Informational",2,3))))*LOG10(IF(ISNUMBER(L136),L136,IFERROR(VALUE(LEFT(F136,FIND("-",F136)-1)),100))+1))/IF(IF(ISBLANK(M136),G136,M136)="High",5,IF(IF(ISBLANK(M136),G136,M136)="Medium",3,1)),2)</f>
        <v>5.97</v>
      </c>
      <c r="L136" s="10"/>
      <c r="M136" s="10"/>
      <c r="N136" s="10"/>
      <c r="O136" s="10" t="s">
        <v>123</v>
      </c>
      <c r="P136" s="11" t="s">
        <v>508</v>
      </c>
    </row>
    <row r="137" customFormat="false" ht="25.5" hidden="false" customHeight="true" outlineLevel="0" collapsed="false">
      <c r="A137" s="10" t="n">
        <v>276</v>
      </c>
      <c r="B137" s="10" t="n">
        <v>2</v>
      </c>
      <c r="C137" s="10" t="s">
        <v>125</v>
      </c>
      <c r="D137" s="13" t="s">
        <v>778</v>
      </c>
      <c r="E137" s="10" t="s">
        <v>117</v>
      </c>
      <c r="F137" s="11" t="s">
        <v>572</v>
      </c>
      <c r="G137" s="10" t="s">
        <v>505</v>
      </c>
      <c r="H137" s="10" t="s">
        <v>506</v>
      </c>
      <c r="I137" s="11" t="s">
        <v>121</v>
      </c>
      <c r="J137" s="13" t="s">
        <v>779</v>
      </c>
      <c r="K137" s="12" t="n">
        <f aca="false">ROUND((IF(E137="Transactional",5,IF(E137="Commercial",4,IF(E137="Comparison",3,IF(E137="Informational",2,3))))*LOG10(IF(ISNUMBER(L137),L137,IFERROR(VALUE(LEFT(F137,FIND("-",F137)-1)),100))+1))/IF(IF(ISBLANK(M137),G137,M137)="High",5,IF(IF(ISBLANK(M137),G137,M137)="Medium",3,1)),2)</f>
        <v>5.97</v>
      </c>
      <c r="L137" s="10"/>
      <c r="M137" s="10"/>
      <c r="N137" s="10"/>
      <c r="O137" s="10" t="s">
        <v>123</v>
      </c>
      <c r="P137" s="11"/>
    </row>
    <row r="138" customFormat="false" ht="25.5" hidden="false" customHeight="true" outlineLevel="0" collapsed="false">
      <c r="A138" s="10" t="n">
        <v>277</v>
      </c>
      <c r="B138" s="10" t="n">
        <v>2</v>
      </c>
      <c r="C138" s="10" t="s">
        <v>115</v>
      </c>
      <c r="D138" s="11" t="s">
        <v>780</v>
      </c>
      <c r="E138" s="10" t="s">
        <v>117</v>
      </c>
      <c r="F138" s="11" t="s">
        <v>572</v>
      </c>
      <c r="G138" s="10" t="s">
        <v>505</v>
      </c>
      <c r="H138" s="10" t="s">
        <v>506</v>
      </c>
      <c r="I138" s="11" t="s">
        <v>121</v>
      </c>
      <c r="J138" s="11" t="s">
        <v>781</v>
      </c>
      <c r="K138" s="12" t="n">
        <f aca="false">ROUND((IF(E138="Transactional",5,IF(E138="Commercial",4,IF(E138="Comparison",3,IF(E138="Informational",2,3))))*LOG10(IF(ISNUMBER(L138),L138,IFERROR(VALUE(LEFT(F138,FIND("-",F138)-1)),100))+1))/IF(IF(ISBLANK(M138),G138,M138)="High",5,IF(IF(ISBLANK(M138),G138,M138)="Medium",3,1)),2)</f>
        <v>5.97</v>
      </c>
      <c r="L138" s="10"/>
      <c r="M138" s="10"/>
      <c r="N138" s="10"/>
      <c r="O138" s="10" t="s">
        <v>123</v>
      </c>
      <c r="P138" s="11" t="s">
        <v>508</v>
      </c>
    </row>
    <row r="139" customFormat="false" ht="25.5" hidden="false" customHeight="true" outlineLevel="0" collapsed="false">
      <c r="A139" s="10" t="n">
        <v>278</v>
      </c>
      <c r="B139" s="10" t="n">
        <v>2</v>
      </c>
      <c r="C139" s="10" t="s">
        <v>125</v>
      </c>
      <c r="D139" s="13" t="s">
        <v>782</v>
      </c>
      <c r="E139" s="10" t="s">
        <v>117</v>
      </c>
      <c r="F139" s="11" t="s">
        <v>572</v>
      </c>
      <c r="G139" s="10" t="s">
        <v>505</v>
      </c>
      <c r="H139" s="10" t="s">
        <v>506</v>
      </c>
      <c r="I139" s="11" t="s">
        <v>121</v>
      </c>
      <c r="J139" s="13" t="s">
        <v>783</v>
      </c>
      <c r="K139" s="12" t="n">
        <f aca="false">ROUND((IF(E139="Transactional",5,IF(E139="Commercial",4,IF(E139="Comparison",3,IF(E139="Informational",2,3))))*LOG10(IF(ISNUMBER(L139),L139,IFERROR(VALUE(LEFT(F139,FIND("-",F139)-1)),100))+1))/IF(IF(ISBLANK(M139),G139,M139)="High",5,IF(IF(ISBLANK(M139),G139,M139)="Medium",3,1)),2)</f>
        <v>5.97</v>
      </c>
      <c r="L139" s="10"/>
      <c r="M139" s="10"/>
      <c r="N139" s="10"/>
      <c r="O139" s="10" t="s">
        <v>123</v>
      </c>
      <c r="P139" s="11"/>
    </row>
    <row r="140" customFormat="false" ht="25.5" hidden="false" customHeight="true" outlineLevel="0" collapsed="false">
      <c r="A140" s="10" t="n">
        <v>279</v>
      </c>
      <c r="B140" s="10" t="n">
        <v>2</v>
      </c>
      <c r="C140" s="10" t="s">
        <v>115</v>
      </c>
      <c r="D140" s="11" t="s">
        <v>784</v>
      </c>
      <c r="E140" s="10" t="s">
        <v>117</v>
      </c>
      <c r="F140" s="11" t="s">
        <v>572</v>
      </c>
      <c r="G140" s="10" t="s">
        <v>505</v>
      </c>
      <c r="H140" s="10" t="s">
        <v>506</v>
      </c>
      <c r="I140" s="11" t="s">
        <v>121</v>
      </c>
      <c r="J140" s="11" t="s">
        <v>785</v>
      </c>
      <c r="K140" s="12" t="n">
        <f aca="false">ROUND((IF(E140="Transactional",5,IF(E140="Commercial",4,IF(E140="Comparison",3,IF(E140="Informational",2,3))))*LOG10(IF(ISNUMBER(L140),L140,IFERROR(VALUE(LEFT(F140,FIND("-",F140)-1)),100))+1))/IF(IF(ISBLANK(M140),G140,M140)="High",5,IF(IF(ISBLANK(M140),G140,M140)="Medium",3,1)),2)</f>
        <v>5.97</v>
      </c>
      <c r="L140" s="10"/>
      <c r="M140" s="10"/>
      <c r="N140" s="10"/>
      <c r="O140" s="10" t="s">
        <v>123</v>
      </c>
      <c r="P140" s="11" t="s">
        <v>508</v>
      </c>
    </row>
    <row r="141" customFormat="false" ht="25.5" hidden="false" customHeight="true" outlineLevel="0" collapsed="false">
      <c r="A141" s="10" t="n">
        <v>280</v>
      </c>
      <c r="B141" s="10" t="n">
        <v>2</v>
      </c>
      <c r="C141" s="10" t="s">
        <v>125</v>
      </c>
      <c r="D141" s="13" t="s">
        <v>786</v>
      </c>
      <c r="E141" s="10" t="s">
        <v>117</v>
      </c>
      <c r="F141" s="11" t="s">
        <v>572</v>
      </c>
      <c r="G141" s="10" t="s">
        <v>505</v>
      </c>
      <c r="H141" s="10" t="s">
        <v>506</v>
      </c>
      <c r="I141" s="11" t="s">
        <v>121</v>
      </c>
      <c r="J141" s="13" t="s">
        <v>787</v>
      </c>
      <c r="K141" s="12" t="n">
        <f aca="false">ROUND((IF(E141="Transactional",5,IF(E141="Commercial",4,IF(E141="Comparison",3,IF(E141="Informational",2,3))))*LOG10(IF(ISNUMBER(L141),L141,IFERROR(VALUE(LEFT(F141,FIND("-",F141)-1)),100))+1))/IF(IF(ISBLANK(M141),G141,M141)="High",5,IF(IF(ISBLANK(M141),G141,M141)="Medium",3,1)),2)</f>
        <v>5.97</v>
      </c>
      <c r="L141" s="10"/>
      <c r="M141" s="10"/>
      <c r="N141" s="10"/>
      <c r="O141" s="10" t="s">
        <v>123</v>
      </c>
      <c r="P141" s="11"/>
    </row>
    <row r="142" customFormat="false" ht="25.5" hidden="false" customHeight="true" outlineLevel="0" collapsed="false">
      <c r="A142" s="10" t="n">
        <v>281</v>
      </c>
      <c r="B142" s="10" t="n">
        <v>2</v>
      </c>
      <c r="C142" s="10" t="s">
        <v>115</v>
      </c>
      <c r="D142" s="11" t="s">
        <v>788</v>
      </c>
      <c r="E142" s="10" t="s">
        <v>117</v>
      </c>
      <c r="F142" s="11" t="s">
        <v>572</v>
      </c>
      <c r="G142" s="10" t="s">
        <v>505</v>
      </c>
      <c r="H142" s="10" t="s">
        <v>506</v>
      </c>
      <c r="I142" s="11" t="s">
        <v>121</v>
      </c>
      <c r="J142" s="11" t="s">
        <v>789</v>
      </c>
      <c r="K142" s="12" t="n">
        <f aca="false">ROUND((IF(E142="Transactional",5,IF(E142="Commercial",4,IF(E142="Comparison",3,IF(E142="Informational",2,3))))*LOG10(IF(ISNUMBER(L142),L142,IFERROR(VALUE(LEFT(F142,FIND("-",F142)-1)),100))+1))/IF(IF(ISBLANK(M142),G142,M142)="High",5,IF(IF(ISBLANK(M142),G142,M142)="Medium",3,1)),2)</f>
        <v>5.97</v>
      </c>
      <c r="L142" s="10"/>
      <c r="M142" s="10"/>
      <c r="N142" s="10"/>
      <c r="O142" s="10" t="s">
        <v>123</v>
      </c>
      <c r="P142" s="11" t="s">
        <v>508</v>
      </c>
    </row>
    <row r="143" customFormat="false" ht="25.5" hidden="false" customHeight="true" outlineLevel="0" collapsed="false">
      <c r="A143" s="10" t="n">
        <v>282</v>
      </c>
      <c r="B143" s="10" t="n">
        <v>2</v>
      </c>
      <c r="C143" s="10" t="s">
        <v>125</v>
      </c>
      <c r="D143" s="13" t="s">
        <v>790</v>
      </c>
      <c r="E143" s="10" t="s">
        <v>117</v>
      </c>
      <c r="F143" s="11" t="s">
        <v>572</v>
      </c>
      <c r="G143" s="10" t="s">
        <v>505</v>
      </c>
      <c r="H143" s="10" t="s">
        <v>506</v>
      </c>
      <c r="I143" s="11" t="s">
        <v>121</v>
      </c>
      <c r="J143" s="13" t="s">
        <v>791</v>
      </c>
      <c r="K143" s="12" t="n">
        <f aca="false">ROUND((IF(E143="Transactional",5,IF(E143="Commercial",4,IF(E143="Comparison",3,IF(E143="Informational",2,3))))*LOG10(IF(ISNUMBER(L143),L143,IFERROR(VALUE(LEFT(F143,FIND("-",F143)-1)),100))+1))/IF(IF(ISBLANK(M143),G143,M143)="High",5,IF(IF(ISBLANK(M143),G143,M143)="Medium",3,1)),2)</f>
        <v>5.97</v>
      </c>
      <c r="L143" s="10"/>
      <c r="M143" s="10"/>
      <c r="N143" s="10"/>
      <c r="O143" s="10" t="s">
        <v>123</v>
      </c>
      <c r="P143" s="11"/>
    </row>
    <row r="144" customFormat="false" ht="25.5" hidden="false" customHeight="true" outlineLevel="0" collapsed="false">
      <c r="A144" s="10" t="n">
        <v>283</v>
      </c>
      <c r="B144" s="10" t="n">
        <v>2</v>
      </c>
      <c r="C144" s="10" t="s">
        <v>115</v>
      </c>
      <c r="D144" s="11" t="s">
        <v>792</v>
      </c>
      <c r="E144" s="10" t="s">
        <v>117</v>
      </c>
      <c r="F144" s="11" t="s">
        <v>572</v>
      </c>
      <c r="G144" s="10" t="s">
        <v>505</v>
      </c>
      <c r="H144" s="10" t="s">
        <v>506</v>
      </c>
      <c r="I144" s="11" t="s">
        <v>121</v>
      </c>
      <c r="J144" s="11" t="s">
        <v>793</v>
      </c>
      <c r="K144" s="12" t="n">
        <f aca="false">ROUND((IF(E144="Transactional",5,IF(E144="Commercial",4,IF(E144="Comparison",3,IF(E144="Informational",2,3))))*LOG10(IF(ISNUMBER(L144),L144,IFERROR(VALUE(LEFT(F144,FIND("-",F144)-1)),100))+1))/IF(IF(ISBLANK(M144),G144,M144)="High",5,IF(IF(ISBLANK(M144),G144,M144)="Medium",3,1)),2)</f>
        <v>5.97</v>
      </c>
      <c r="L144" s="10"/>
      <c r="M144" s="10"/>
      <c r="N144" s="10"/>
      <c r="O144" s="10" t="s">
        <v>123</v>
      </c>
      <c r="P144" s="11" t="s">
        <v>508</v>
      </c>
    </row>
    <row r="145" customFormat="false" ht="25.5" hidden="false" customHeight="true" outlineLevel="0" collapsed="false">
      <c r="A145" s="10" t="n">
        <v>284</v>
      </c>
      <c r="B145" s="10" t="n">
        <v>2</v>
      </c>
      <c r="C145" s="10" t="s">
        <v>125</v>
      </c>
      <c r="D145" s="13" t="s">
        <v>794</v>
      </c>
      <c r="E145" s="10" t="s">
        <v>117</v>
      </c>
      <c r="F145" s="11" t="s">
        <v>572</v>
      </c>
      <c r="G145" s="10" t="s">
        <v>505</v>
      </c>
      <c r="H145" s="10" t="s">
        <v>506</v>
      </c>
      <c r="I145" s="11" t="s">
        <v>121</v>
      </c>
      <c r="J145" s="13" t="s">
        <v>795</v>
      </c>
      <c r="K145" s="12" t="n">
        <f aca="false">ROUND((IF(E145="Transactional",5,IF(E145="Commercial",4,IF(E145="Comparison",3,IF(E145="Informational",2,3))))*LOG10(IF(ISNUMBER(L145),L145,IFERROR(VALUE(LEFT(F145,FIND("-",F145)-1)),100))+1))/IF(IF(ISBLANK(M145),G145,M145)="High",5,IF(IF(ISBLANK(M145),G145,M145)="Medium",3,1)),2)</f>
        <v>5.97</v>
      </c>
      <c r="L145" s="10"/>
      <c r="M145" s="10"/>
      <c r="N145" s="10"/>
      <c r="O145" s="10" t="s">
        <v>123</v>
      </c>
      <c r="P145" s="11"/>
    </row>
    <row r="146" customFormat="false" ht="25.5" hidden="false" customHeight="true" outlineLevel="0" collapsed="false">
      <c r="A146" s="10" t="n">
        <v>285</v>
      </c>
      <c r="B146" s="10" t="n">
        <v>2</v>
      </c>
      <c r="C146" s="10" t="s">
        <v>115</v>
      </c>
      <c r="D146" s="11" t="s">
        <v>796</v>
      </c>
      <c r="E146" s="10" t="s">
        <v>117</v>
      </c>
      <c r="F146" s="11" t="s">
        <v>504</v>
      </c>
      <c r="G146" s="10" t="s">
        <v>505</v>
      </c>
      <c r="H146" s="10" t="s">
        <v>506</v>
      </c>
      <c r="I146" s="11" t="s">
        <v>174</v>
      </c>
      <c r="J146" s="11" t="s">
        <v>797</v>
      </c>
      <c r="K146" s="12" t="n">
        <f aca="false">ROUND((IF(E146="Transactional",5,IF(E146="Commercial",4,IF(E146="Comparison",3,IF(E146="Informational",2,3))))*LOG10(IF(ISNUMBER(L146),L146,IFERROR(VALUE(LEFT(F146,FIND("-",F146)-1)),100))+1))/IF(IF(ISBLANK(M146),G146,M146)="High",5,IF(IF(ISBLANK(M146),G146,M146)="Medium",3,1)),2)</f>
        <v>6.45</v>
      </c>
      <c r="L146" s="10"/>
      <c r="M146" s="10"/>
      <c r="N146" s="10"/>
      <c r="O146" s="10" t="s">
        <v>123</v>
      </c>
      <c r="P146" s="11" t="s">
        <v>508</v>
      </c>
    </row>
    <row r="147" customFormat="false" ht="25.5" hidden="false" customHeight="true" outlineLevel="0" collapsed="false">
      <c r="A147" s="10" t="n">
        <v>286</v>
      </c>
      <c r="B147" s="10" t="n">
        <v>2</v>
      </c>
      <c r="C147" s="10" t="s">
        <v>125</v>
      </c>
      <c r="D147" s="13" t="s">
        <v>798</v>
      </c>
      <c r="E147" s="10" t="s">
        <v>117</v>
      </c>
      <c r="F147" s="11" t="s">
        <v>504</v>
      </c>
      <c r="G147" s="10" t="s">
        <v>505</v>
      </c>
      <c r="H147" s="10" t="s">
        <v>506</v>
      </c>
      <c r="I147" s="11" t="s">
        <v>174</v>
      </c>
      <c r="J147" s="13" t="s">
        <v>799</v>
      </c>
      <c r="K147" s="12" t="n">
        <f aca="false">ROUND((IF(E147="Transactional",5,IF(E147="Commercial",4,IF(E147="Comparison",3,IF(E147="Informational",2,3))))*LOG10(IF(ISNUMBER(L147),L147,IFERROR(VALUE(LEFT(F147,FIND("-",F147)-1)),100))+1))/IF(IF(ISBLANK(M147),G147,M147)="High",5,IF(IF(ISBLANK(M147),G147,M147)="Medium",3,1)),2)</f>
        <v>6.45</v>
      </c>
      <c r="L147" s="10"/>
      <c r="M147" s="10"/>
      <c r="N147" s="10"/>
      <c r="O147" s="10" t="s">
        <v>123</v>
      </c>
      <c r="P147" s="11"/>
    </row>
    <row r="148" customFormat="false" ht="25.5" hidden="false" customHeight="true" outlineLevel="0" collapsed="false">
      <c r="A148" s="10" t="n">
        <v>287</v>
      </c>
      <c r="B148" s="10" t="n">
        <v>2</v>
      </c>
      <c r="C148" s="10" t="s">
        <v>115</v>
      </c>
      <c r="D148" s="11" t="s">
        <v>800</v>
      </c>
      <c r="E148" s="10" t="s">
        <v>117</v>
      </c>
      <c r="F148" s="11" t="s">
        <v>504</v>
      </c>
      <c r="G148" s="10" t="s">
        <v>505</v>
      </c>
      <c r="H148" s="10" t="s">
        <v>506</v>
      </c>
      <c r="I148" s="11" t="s">
        <v>174</v>
      </c>
      <c r="J148" s="11" t="s">
        <v>801</v>
      </c>
      <c r="K148" s="12" t="n">
        <f aca="false">ROUND((IF(E148="Transactional",5,IF(E148="Commercial",4,IF(E148="Comparison",3,IF(E148="Informational",2,3))))*LOG10(IF(ISNUMBER(L148),L148,IFERROR(VALUE(LEFT(F148,FIND("-",F148)-1)),100))+1))/IF(IF(ISBLANK(M148),G148,M148)="High",5,IF(IF(ISBLANK(M148),G148,M148)="Medium",3,1)),2)</f>
        <v>6.45</v>
      </c>
      <c r="L148" s="10"/>
      <c r="M148" s="10"/>
      <c r="N148" s="10"/>
      <c r="O148" s="10" t="s">
        <v>123</v>
      </c>
      <c r="P148" s="11" t="s">
        <v>508</v>
      </c>
    </row>
    <row r="149" customFormat="false" ht="25.5" hidden="false" customHeight="true" outlineLevel="0" collapsed="false">
      <c r="A149" s="10" t="n">
        <v>288</v>
      </c>
      <c r="B149" s="10" t="n">
        <v>2</v>
      </c>
      <c r="C149" s="10" t="s">
        <v>125</v>
      </c>
      <c r="D149" s="13" t="s">
        <v>802</v>
      </c>
      <c r="E149" s="10" t="s">
        <v>117</v>
      </c>
      <c r="F149" s="11" t="s">
        <v>504</v>
      </c>
      <c r="G149" s="10" t="s">
        <v>505</v>
      </c>
      <c r="H149" s="10" t="s">
        <v>506</v>
      </c>
      <c r="I149" s="11" t="s">
        <v>174</v>
      </c>
      <c r="J149" s="13" t="s">
        <v>803</v>
      </c>
      <c r="K149" s="12" t="n">
        <f aca="false">ROUND((IF(E149="Transactional",5,IF(E149="Commercial",4,IF(E149="Comparison",3,IF(E149="Informational",2,3))))*LOG10(IF(ISNUMBER(L149),L149,IFERROR(VALUE(LEFT(F149,FIND("-",F149)-1)),100))+1))/IF(IF(ISBLANK(M149),G149,M149)="High",5,IF(IF(ISBLANK(M149),G149,M149)="Medium",3,1)),2)</f>
        <v>6.45</v>
      </c>
      <c r="L149" s="10"/>
      <c r="M149" s="10"/>
      <c r="N149" s="10"/>
      <c r="O149" s="10" t="s">
        <v>123</v>
      </c>
      <c r="P149" s="11"/>
    </row>
    <row r="150" customFormat="false" ht="25.5" hidden="false" customHeight="true" outlineLevel="0" collapsed="false">
      <c r="A150" s="10" t="n">
        <v>289</v>
      </c>
      <c r="B150" s="10" t="n">
        <v>2</v>
      </c>
      <c r="C150" s="10" t="s">
        <v>115</v>
      </c>
      <c r="D150" s="11" t="s">
        <v>804</v>
      </c>
      <c r="E150" s="10" t="s">
        <v>117</v>
      </c>
      <c r="F150" s="11" t="s">
        <v>504</v>
      </c>
      <c r="G150" s="10" t="s">
        <v>505</v>
      </c>
      <c r="H150" s="10" t="s">
        <v>506</v>
      </c>
      <c r="I150" s="11" t="s">
        <v>174</v>
      </c>
      <c r="J150" s="11" t="s">
        <v>805</v>
      </c>
      <c r="K150" s="12" t="n">
        <f aca="false">ROUND((IF(E150="Transactional",5,IF(E150="Commercial",4,IF(E150="Comparison",3,IF(E150="Informational",2,3))))*LOG10(IF(ISNUMBER(L150),L150,IFERROR(VALUE(LEFT(F150,FIND("-",F150)-1)),100))+1))/IF(IF(ISBLANK(M150),G150,M150)="High",5,IF(IF(ISBLANK(M150),G150,M150)="Medium",3,1)),2)</f>
        <v>6.45</v>
      </c>
      <c r="L150" s="10"/>
      <c r="M150" s="10"/>
      <c r="N150" s="10"/>
      <c r="O150" s="10" t="s">
        <v>123</v>
      </c>
      <c r="P150" s="11" t="s">
        <v>508</v>
      </c>
    </row>
    <row r="151" customFormat="false" ht="25.5" hidden="false" customHeight="true" outlineLevel="0" collapsed="false">
      <c r="A151" s="10" t="n">
        <v>290</v>
      </c>
      <c r="B151" s="10" t="n">
        <v>2</v>
      </c>
      <c r="C151" s="10" t="s">
        <v>125</v>
      </c>
      <c r="D151" s="13" t="s">
        <v>806</v>
      </c>
      <c r="E151" s="10" t="s">
        <v>117</v>
      </c>
      <c r="F151" s="11" t="s">
        <v>504</v>
      </c>
      <c r="G151" s="10" t="s">
        <v>505</v>
      </c>
      <c r="H151" s="10" t="s">
        <v>506</v>
      </c>
      <c r="I151" s="11" t="s">
        <v>174</v>
      </c>
      <c r="J151" s="13" t="s">
        <v>807</v>
      </c>
      <c r="K151" s="12" t="n">
        <f aca="false">ROUND((IF(E151="Transactional",5,IF(E151="Commercial",4,IF(E151="Comparison",3,IF(E151="Informational",2,3))))*LOG10(IF(ISNUMBER(L151),L151,IFERROR(VALUE(LEFT(F151,FIND("-",F151)-1)),100))+1))/IF(IF(ISBLANK(M151),G151,M151)="High",5,IF(IF(ISBLANK(M151),G151,M151)="Medium",3,1)),2)</f>
        <v>6.45</v>
      </c>
      <c r="L151" s="10"/>
      <c r="M151" s="10"/>
      <c r="N151" s="10"/>
      <c r="O151" s="10" t="s">
        <v>123</v>
      </c>
      <c r="P151" s="11"/>
    </row>
    <row r="152" customFormat="false" ht="25.5" hidden="false" customHeight="true" outlineLevel="0" collapsed="false">
      <c r="A152" s="10" t="n">
        <v>291</v>
      </c>
      <c r="B152" s="10" t="n">
        <v>2</v>
      </c>
      <c r="C152" s="10" t="s">
        <v>115</v>
      </c>
      <c r="D152" s="11" t="s">
        <v>808</v>
      </c>
      <c r="E152" s="10" t="s">
        <v>117</v>
      </c>
      <c r="F152" s="11" t="s">
        <v>504</v>
      </c>
      <c r="G152" s="10" t="s">
        <v>505</v>
      </c>
      <c r="H152" s="10" t="s">
        <v>506</v>
      </c>
      <c r="I152" s="11" t="s">
        <v>174</v>
      </c>
      <c r="J152" s="11" t="s">
        <v>809</v>
      </c>
      <c r="K152" s="12" t="n">
        <f aca="false">ROUND((IF(E152="Transactional",5,IF(E152="Commercial",4,IF(E152="Comparison",3,IF(E152="Informational",2,3))))*LOG10(IF(ISNUMBER(L152),L152,IFERROR(VALUE(LEFT(F152,FIND("-",F152)-1)),100))+1))/IF(IF(ISBLANK(M152),G152,M152)="High",5,IF(IF(ISBLANK(M152),G152,M152)="Medium",3,1)),2)</f>
        <v>6.45</v>
      </c>
      <c r="L152" s="10"/>
      <c r="M152" s="10"/>
      <c r="N152" s="10"/>
      <c r="O152" s="10" t="s">
        <v>123</v>
      </c>
      <c r="P152" s="11" t="s">
        <v>508</v>
      </c>
    </row>
    <row r="153" customFormat="false" ht="25.5" hidden="false" customHeight="true" outlineLevel="0" collapsed="false">
      <c r="A153" s="10" t="n">
        <v>292</v>
      </c>
      <c r="B153" s="10" t="n">
        <v>2</v>
      </c>
      <c r="C153" s="10" t="s">
        <v>125</v>
      </c>
      <c r="D153" s="13" t="s">
        <v>810</v>
      </c>
      <c r="E153" s="10" t="s">
        <v>117</v>
      </c>
      <c r="F153" s="11" t="s">
        <v>504</v>
      </c>
      <c r="G153" s="10" t="s">
        <v>505</v>
      </c>
      <c r="H153" s="10" t="s">
        <v>506</v>
      </c>
      <c r="I153" s="11" t="s">
        <v>174</v>
      </c>
      <c r="J153" s="13" t="s">
        <v>811</v>
      </c>
      <c r="K153" s="12" t="n">
        <f aca="false">ROUND((IF(E153="Transactional",5,IF(E153="Commercial",4,IF(E153="Comparison",3,IF(E153="Informational",2,3))))*LOG10(IF(ISNUMBER(L153),L153,IFERROR(VALUE(LEFT(F153,FIND("-",F153)-1)),100))+1))/IF(IF(ISBLANK(M153),G153,M153)="High",5,IF(IF(ISBLANK(M153),G153,M153)="Medium",3,1)),2)</f>
        <v>6.45</v>
      </c>
      <c r="L153" s="10"/>
      <c r="M153" s="10"/>
      <c r="N153" s="10"/>
      <c r="O153" s="10" t="s">
        <v>123</v>
      </c>
      <c r="P153" s="11"/>
    </row>
    <row r="154" customFormat="false" ht="25.5" hidden="false" customHeight="true" outlineLevel="0" collapsed="false">
      <c r="A154" s="10" t="n">
        <v>293</v>
      </c>
      <c r="B154" s="10" t="n">
        <v>2</v>
      </c>
      <c r="C154" s="10" t="s">
        <v>115</v>
      </c>
      <c r="D154" s="11" t="s">
        <v>812</v>
      </c>
      <c r="E154" s="10" t="s">
        <v>117</v>
      </c>
      <c r="F154" s="11" t="s">
        <v>504</v>
      </c>
      <c r="G154" s="10" t="s">
        <v>505</v>
      </c>
      <c r="H154" s="10" t="s">
        <v>506</v>
      </c>
      <c r="I154" s="11" t="s">
        <v>174</v>
      </c>
      <c r="J154" s="11" t="s">
        <v>813</v>
      </c>
      <c r="K154" s="12" t="n">
        <f aca="false">ROUND((IF(E154="Transactional",5,IF(E154="Commercial",4,IF(E154="Comparison",3,IF(E154="Informational",2,3))))*LOG10(IF(ISNUMBER(L154),L154,IFERROR(VALUE(LEFT(F154,FIND("-",F154)-1)),100))+1))/IF(IF(ISBLANK(M154),G154,M154)="High",5,IF(IF(ISBLANK(M154),G154,M154)="Medium",3,1)),2)</f>
        <v>6.45</v>
      </c>
      <c r="L154" s="10"/>
      <c r="M154" s="10"/>
      <c r="N154" s="10"/>
      <c r="O154" s="10" t="s">
        <v>123</v>
      </c>
      <c r="P154" s="11" t="s">
        <v>508</v>
      </c>
    </row>
    <row r="155" customFormat="false" ht="25.5" hidden="false" customHeight="true" outlineLevel="0" collapsed="false">
      <c r="A155" s="10" t="n">
        <v>294</v>
      </c>
      <c r="B155" s="10" t="n">
        <v>2</v>
      </c>
      <c r="C155" s="10" t="s">
        <v>125</v>
      </c>
      <c r="D155" s="13" t="s">
        <v>814</v>
      </c>
      <c r="E155" s="10" t="s">
        <v>117</v>
      </c>
      <c r="F155" s="11" t="s">
        <v>504</v>
      </c>
      <c r="G155" s="10" t="s">
        <v>505</v>
      </c>
      <c r="H155" s="10" t="s">
        <v>506</v>
      </c>
      <c r="I155" s="11" t="s">
        <v>174</v>
      </c>
      <c r="J155" s="13" t="s">
        <v>815</v>
      </c>
      <c r="K155" s="12" t="n">
        <f aca="false">ROUND((IF(E155="Transactional",5,IF(E155="Commercial",4,IF(E155="Comparison",3,IF(E155="Informational",2,3))))*LOG10(IF(ISNUMBER(L155),L155,IFERROR(VALUE(LEFT(F155,FIND("-",F155)-1)),100))+1))/IF(IF(ISBLANK(M155),G155,M155)="High",5,IF(IF(ISBLANK(M155),G155,M155)="Medium",3,1)),2)</f>
        <v>6.45</v>
      </c>
      <c r="L155" s="10"/>
      <c r="M155" s="10"/>
      <c r="N155" s="10"/>
      <c r="O155" s="10" t="s">
        <v>123</v>
      </c>
      <c r="P155" s="11"/>
    </row>
    <row r="156" customFormat="false" ht="25.5" hidden="false" customHeight="true" outlineLevel="0" collapsed="false">
      <c r="A156" s="10" t="n">
        <v>295</v>
      </c>
      <c r="B156" s="10" t="n">
        <v>2</v>
      </c>
      <c r="C156" s="10" t="s">
        <v>115</v>
      </c>
      <c r="D156" s="11" t="s">
        <v>816</v>
      </c>
      <c r="E156" s="10" t="s">
        <v>117</v>
      </c>
      <c r="F156" s="11" t="s">
        <v>504</v>
      </c>
      <c r="G156" s="10" t="s">
        <v>505</v>
      </c>
      <c r="H156" s="10" t="s">
        <v>506</v>
      </c>
      <c r="I156" s="11" t="s">
        <v>174</v>
      </c>
      <c r="J156" s="11" t="s">
        <v>817</v>
      </c>
      <c r="K156" s="12" t="n">
        <f aca="false">ROUND((IF(E156="Transactional",5,IF(E156="Commercial",4,IF(E156="Comparison",3,IF(E156="Informational",2,3))))*LOG10(IF(ISNUMBER(L156),L156,IFERROR(VALUE(LEFT(F156,FIND("-",F156)-1)),100))+1))/IF(IF(ISBLANK(M156),G156,M156)="High",5,IF(IF(ISBLANK(M156),G156,M156)="Medium",3,1)),2)</f>
        <v>6.45</v>
      </c>
      <c r="L156" s="10"/>
      <c r="M156" s="10"/>
      <c r="N156" s="10"/>
      <c r="O156" s="10" t="s">
        <v>123</v>
      </c>
      <c r="P156" s="11" t="s">
        <v>508</v>
      </c>
    </row>
    <row r="157" customFormat="false" ht="25.5" hidden="false" customHeight="true" outlineLevel="0" collapsed="false">
      <c r="A157" s="10" t="n">
        <v>296</v>
      </c>
      <c r="B157" s="10" t="n">
        <v>2</v>
      </c>
      <c r="C157" s="10" t="s">
        <v>125</v>
      </c>
      <c r="D157" s="13" t="s">
        <v>818</v>
      </c>
      <c r="E157" s="10" t="s">
        <v>117</v>
      </c>
      <c r="F157" s="11" t="s">
        <v>504</v>
      </c>
      <c r="G157" s="10" t="s">
        <v>505</v>
      </c>
      <c r="H157" s="10" t="s">
        <v>506</v>
      </c>
      <c r="I157" s="11" t="s">
        <v>174</v>
      </c>
      <c r="J157" s="13" t="s">
        <v>819</v>
      </c>
      <c r="K157" s="12" t="n">
        <f aca="false">ROUND((IF(E157="Transactional",5,IF(E157="Commercial",4,IF(E157="Comparison",3,IF(E157="Informational",2,3))))*LOG10(IF(ISNUMBER(L157),L157,IFERROR(VALUE(LEFT(F157,FIND("-",F157)-1)),100))+1))/IF(IF(ISBLANK(M157),G157,M157)="High",5,IF(IF(ISBLANK(M157),G157,M157)="Medium",3,1)),2)</f>
        <v>6.45</v>
      </c>
      <c r="L157" s="10"/>
      <c r="M157" s="10"/>
      <c r="N157" s="10"/>
      <c r="O157" s="10" t="s">
        <v>123</v>
      </c>
      <c r="P157" s="11"/>
    </row>
    <row r="158" customFormat="false" ht="25.5" hidden="false" customHeight="true" outlineLevel="0" collapsed="false">
      <c r="A158" s="10" t="n">
        <v>297</v>
      </c>
      <c r="B158" s="10" t="n">
        <v>2</v>
      </c>
      <c r="C158" s="10" t="s">
        <v>115</v>
      </c>
      <c r="D158" s="11" t="s">
        <v>820</v>
      </c>
      <c r="E158" s="10" t="s">
        <v>117</v>
      </c>
      <c r="F158" s="11" t="s">
        <v>504</v>
      </c>
      <c r="G158" s="10" t="s">
        <v>505</v>
      </c>
      <c r="H158" s="10" t="s">
        <v>506</v>
      </c>
      <c r="I158" s="11" t="s">
        <v>174</v>
      </c>
      <c r="J158" s="11" t="s">
        <v>821</v>
      </c>
      <c r="K158" s="12" t="n">
        <f aca="false">ROUND((IF(E158="Transactional",5,IF(E158="Commercial",4,IF(E158="Comparison",3,IF(E158="Informational",2,3))))*LOG10(IF(ISNUMBER(L158),L158,IFERROR(VALUE(LEFT(F158,FIND("-",F158)-1)),100))+1))/IF(IF(ISBLANK(M158),G158,M158)="High",5,IF(IF(ISBLANK(M158),G158,M158)="Medium",3,1)),2)</f>
        <v>6.45</v>
      </c>
      <c r="L158" s="10"/>
      <c r="M158" s="10"/>
      <c r="N158" s="10"/>
      <c r="O158" s="10" t="s">
        <v>123</v>
      </c>
      <c r="P158" s="11" t="s">
        <v>508</v>
      </c>
    </row>
    <row r="159" customFormat="false" ht="25.5" hidden="false" customHeight="true" outlineLevel="0" collapsed="false">
      <c r="A159" s="10" t="n">
        <v>298</v>
      </c>
      <c r="B159" s="10" t="n">
        <v>2</v>
      </c>
      <c r="C159" s="10" t="s">
        <v>125</v>
      </c>
      <c r="D159" s="13" t="s">
        <v>822</v>
      </c>
      <c r="E159" s="10" t="s">
        <v>117</v>
      </c>
      <c r="F159" s="11" t="s">
        <v>504</v>
      </c>
      <c r="G159" s="10" t="s">
        <v>505</v>
      </c>
      <c r="H159" s="10" t="s">
        <v>506</v>
      </c>
      <c r="I159" s="11" t="s">
        <v>174</v>
      </c>
      <c r="J159" s="13" t="s">
        <v>823</v>
      </c>
      <c r="K159" s="12" t="n">
        <f aca="false">ROUND((IF(E159="Transactional",5,IF(E159="Commercial",4,IF(E159="Comparison",3,IF(E159="Informational",2,3))))*LOG10(IF(ISNUMBER(L159),L159,IFERROR(VALUE(LEFT(F159,FIND("-",F159)-1)),100))+1))/IF(IF(ISBLANK(M159),G159,M159)="High",5,IF(IF(ISBLANK(M159),G159,M159)="Medium",3,1)),2)</f>
        <v>6.45</v>
      </c>
      <c r="L159" s="10"/>
      <c r="M159" s="10"/>
      <c r="N159" s="10"/>
      <c r="O159" s="10" t="s">
        <v>123</v>
      </c>
      <c r="P159" s="11"/>
    </row>
    <row r="160" customFormat="false" ht="25.5" hidden="false" customHeight="true" outlineLevel="0" collapsed="false">
      <c r="A160" s="10" t="n">
        <v>299</v>
      </c>
      <c r="B160" s="10" t="n">
        <v>2</v>
      </c>
      <c r="C160" s="10" t="s">
        <v>115</v>
      </c>
      <c r="D160" s="11" t="s">
        <v>824</v>
      </c>
      <c r="E160" s="10" t="s">
        <v>117</v>
      </c>
      <c r="F160" s="11" t="s">
        <v>504</v>
      </c>
      <c r="G160" s="10" t="s">
        <v>505</v>
      </c>
      <c r="H160" s="10" t="s">
        <v>506</v>
      </c>
      <c r="I160" s="11" t="s">
        <v>174</v>
      </c>
      <c r="J160" s="11" t="s">
        <v>825</v>
      </c>
      <c r="K160" s="12" t="n">
        <f aca="false">ROUND((IF(E160="Transactional",5,IF(E160="Commercial",4,IF(E160="Comparison",3,IF(E160="Informational",2,3))))*LOG10(IF(ISNUMBER(L160),L160,IFERROR(VALUE(LEFT(F160,FIND("-",F160)-1)),100))+1))/IF(IF(ISBLANK(M160),G160,M160)="High",5,IF(IF(ISBLANK(M160),G160,M160)="Medium",3,1)),2)</f>
        <v>6.45</v>
      </c>
      <c r="L160" s="10"/>
      <c r="M160" s="10"/>
      <c r="N160" s="10"/>
      <c r="O160" s="10" t="s">
        <v>123</v>
      </c>
      <c r="P160" s="11" t="s">
        <v>508</v>
      </c>
    </row>
    <row r="161" customFormat="false" ht="25.5" hidden="false" customHeight="true" outlineLevel="0" collapsed="false">
      <c r="A161" s="10" t="n">
        <v>300</v>
      </c>
      <c r="B161" s="10" t="n">
        <v>2</v>
      </c>
      <c r="C161" s="10" t="s">
        <v>125</v>
      </c>
      <c r="D161" s="13" t="s">
        <v>826</v>
      </c>
      <c r="E161" s="10" t="s">
        <v>117</v>
      </c>
      <c r="F161" s="11" t="s">
        <v>504</v>
      </c>
      <c r="G161" s="10" t="s">
        <v>505</v>
      </c>
      <c r="H161" s="10" t="s">
        <v>506</v>
      </c>
      <c r="I161" s="11" t="s">
        <v>174</v>
      </c>
      <c r="J161" s="13" t="s">
        <v>827</v>
      </c>
      <c r="K161" s="12" t="n">
        <f aca="false">ROUND((IF(E161="Transactional",5,IF(E161="Commercial",4,IF(E161="Comparison",3,IF(E161="Informational",2,3))))*LOG10(IF(ISNUMBER(L161),L161,IFERROR(VALUE(LEFT(F161,FIND("-",F161)-1)),100))+1))/IF(IF(ISBLANK(M161),G161,M161)="High",5,IF(IF(ISBLANK(M161),G161,M161)="Medium",3,1)),2)</f>
        <v>6.45</v>
      </c>
      <c r="L161" s="10"/>
      <c r="M161" s="10"/>
      <c r="N161" s="10"/>
      <c r="O161" s="10" t="s">
        <v>123</v>
      </c>
      <c r="P161" s="11"/>
    </row>
    <row r="162" customFormat="false" ht="25.5" hidden="false" customHeight="true" outlineLevel="0" collapsed="false">
      <c r="A162" s="10" t="n">
        <v>301</v>
      </c>
      <c r="B162" s="10" t="n">
        <v>2</v>
      </c>
      <c r="C162" s="10" t="s">
        <v>115</v>
      </c>
      <c r="D162" s="11" t="s">
        <v>828</v>
      </c>
      <c r="E162" s="10" t="s">
        <v>117</v>
      </c>
      <c r="F162" s="11" t="s">
        <v>504</v>
      </c>
      <c r="G162" s="10" t="s">
        <v>505</v>
      </c>
      <c r="H162" s="10" t="s">
        <v>506</v>
      </c>
      <c r="I162" s="11" t="s">
        <v>174</v>
      </c>
      <c r="J162" s="11" t="s">
        <v>829</v>
      </c>
      <c r="K162" s="12" t="n">
        <f aca="false">ROUND((IF(E162="Transactional",5,IF(E162="Commercial",4,IF(E162="Comparison",3,IF(E162="Informational",2,3))))*LOG10(IF(ISNUMBER(L162),L162,IFERROR(VALUE(LEFT(F162,FIND("-",F162)-1)),100))+1))/IF(IF(ISBLANK(M162),G162,M162)="High",5,IF(IF(ISBLANK(M162),G162,M162)="Medium",3,1)),2)</f>
        <v>6.45</v>
      </c>
      <c r="L162" s="10"/>
      <c r="M162" s="10"/>
      <c r="N162" s="10"/>
      <c r="O162" s="10" t="s">
        <v>123</v>
      </c>
      <c r="P162" s="11" t="s">
        <v>508</v>
      </c>
    </row>
    <row r="163" customFormat="false" ht="25.5" hidden="false" customHeight="true" outlineLevel="0" collapsed="false">
      <c r="A163" s="10" t="n">
        <v>302</v>
      </c>
      <c r="B163" s="10" t="n">
        <v>2</v>
      </c>
      <c r="C163" s="10" t="s">
        <v>125</v>
      </c>
      <c r="D163" s="13" t="s">
        <v>830</v>
      </c>
      <c r="E163" s="10" t="s">
        <v>117</v>
      </c>
      <c r="F163" s="11" t="s">
        <v>504</v>
      </c>
      <c r="G163" s="10" t="s">
        <v>505</v>
      </c>
      <c r="H163" s="10" t="s">
        <v>506</v>
      </c>
      <c r="I163" s="11" t="s">
        <v>174</v>
      </c>
      <c r="J163" s="13" t="s">
        <v>831</v>
      </c>
      <c r="K163" s="12" t="n">
        <f aca="false">ROUND((IF(E163="Transactional",5,IF(E163="Commercial",4,IF(E163="Comparison",3,IF(E163="Informational",2,3))))*LOG10(IF(ISNUMBER(L163),L163,IFERROR(VALUE(LEFT(F163,FIND("-",F163)-1)),100))+1))/IF(IF(ISBLANK(M163),G163,M163)="High",5,IF(IF(ISBLANK(M163),G163,M163)="Medium",3,1)),2)</f>
        <v>6.45</v>
      </c>
      <c r="L163" s="10"/>
      <c r="M163" s="10"/>
      <c r="N163" s="10"/>
      <c r="O163" s="10" t="s">
        <v>123</v>
      </c>
      <c r="P163" s="11"/>
    </row>
    <row r="164" customFormat="false" ht="25.5" hidden="false" customHeight="true" outlineLevel="0" collapsed="false">
      <c r="A164" s="10" t="n">
        <v>303</v>
      </c>
      <c r="B164" s="10" t="n">
        <v>2</v>
      </c>
      <c r="C164" s="10" t="s">
        <v>115</v>
      </c>
      <c r="D164" s="11" t="s">
        <v>832</v>
      </c>
      <c r="E164" s="10" t="s">
        <v>117</v>
      </c>
      <c r="F164" s="11" t="s">
        <v>504</v>
      </c>
      <c r="G164" s="10" t="s">
        <v>505</v>
      </c>
      <c r="H164" s="10" t="s">
        <v>506</v>
      </c>
      <c r="I164" s="11" t="s">
        <v>174</v>
      </c>
      <c r="J164" s="11" t="s">
        <v>833</v>
      </c>
      <c r="K164" s="12" t="n">
        <f aca="false">ROUND((IF(E164="Transactional",5,IF(E164="Commercial",4,IF(E164="Comparison",3,IF(E164="Informational",2,3))))*LOG10(IF(ISNUMBER(L164),L164,IFERROR(VALUE(LEFT(F164,FIND("-",F164)-1)),100))+1))/IF(IF(ISBLANK(M164),G164,M164)="High",5,IF(IF(ISBLANK(M164),G164,M164)="Medium",3,1)),2)</f>
        <v>6.45</v>
      </c>
      <c r="L164" s="10"/>
      <c r="M164" s="10"/>
      <c r="N164" s="10"/>
      <c r="O164" s="10" t="s">
        <v>123</v>
      </c>
      <c r="P164" s="11" t="s">
        <v>508</v>
      </c>
    </row>
    <row r="165" customFormat="false" ht="25.5" hidden="false" customHeight="true" outlineLevel="0" collapsed="false">
      <c r="A165" s="10" t="n">
        <v>304</v>
      </c>
      <c r="B165" s="10" t="n">
        <v>2</v>
      </c>
      <c r="C165" s="10" t="s">
        <v>125</v>
      </c>
      <c r="D165" s="13" t="s">
        <v>834</v>
      </c>
      <c r="E165" s="10" t="s">
        <v>117</v>
      </c>
      <c r="F165" s="11" t="s">
        <v>504</v>
      </c>
      <c r="G165" s="10" t="s">
        <v>505</v>
      </c>
      <c r="H165" s="10" t="s">
        <v>506</v>
      </c>
      <c r="I165" s="11" t="s">
        <v>174</v>
      </c>
      <c r="J165" s="13" t="s">
        <v>835</v>
      </c>
      <c r="K165" s="12" t="n">
        <f aca="false">ROUND((IF(E165="Transactional",5,IF(E165="Commercial",4,IF(E165="Comparison",3,IF(E165="Informational",2,3))))*LOG10(IF(ISNUMBER(L165),L165,IFERROR(VALUE(LEFT(F165,FIND("-",F165)-1)),100))+1))/IF(IF(ISBLANK(M165),G165,M165)="High",5,IF(IF(ISBLANK(M165),G165,M165)="Medium",3,1)),2)</f>
        <v>6.45</v>
      </c>
      <c r="L165" s="10"/>
      <c r="M165" s="10"/>
      <c r="N165" s="10"/>
      <c r="O165" s="10" t="s">
        <v>123</v>
      </c>
      <c r="P165" s="11"/>
    </row>
    <row r="166" customFormat="false" ht="25.5" hidden="false" customHeight="true" outlineLevel="0" collapsed="false">
      <c r="A166" s="10" t="n">
        <v>305</v>
      </c>
      <c r="B166" s="10" t="n">
        <v>2</v>
      </c>
      <c r="C166" s="10" t="s">
        <v>115</v>
      </c>
      <c r="D166" s="11" t="s">
        <v>836</v>
      </c>
      <c r="E166" s="10" t="s">
        <v>117</v>
      </c>
      <c r="F166" s="11" t="s">
        <v>504</v>
      </c>
      <c r="G166" s="10" t="s">
        <v>505</v>
      </c>
      <c r="H166" s="10" t="s">
        <v>506</v>
      </c>
      <c r="I166" s="11" t="s">
        <v>174</v>
      </c>
      <c r="J166" s="11" t="s">
        <v>837</v>
      </c>
      <c r="K166" s="12" t="n">
        <f aca="false">ROUND((IF(E166="Transactional",5,IF(E166="Commercial",4,IF(E166="Comparison",3,IF(E166="Informational",2,3))))*LOG10(IF(ISNUMBER(L166),L166,IFERROR(VALUE(LEFT(F166,FIND("-",F166)-1)),100))+1))/IF(IF(ISBLANK(M166),G166,M166)="High",5,IF(IF(ISBLANK(M166),G166,M166)="Medium",3,1)),2)</f>
        <v>6.45</v>
      </c>
      <c r="L166" s="10"/>
      <c r="M166" s="10"/>
      <c r="N166" s="10"/>
      <c r="O166" s="10" t="s">
        <v>123</v>
      </c>
      <c r="P166" s="11" t="s">
        <v>508</v>
      </c>
    </row>
    <row r="167" customFormat="false" ht="25.5" hidden="false" customHeight="true" outlineLevel="0" collapsed="false">
      <c r="A167" s="10" t="n">
        <v>306</v>
      </c>
      <c r="B167" s="10" t="n">
        <v>2</v>
      </c>
      <c r="C167" s="10" t="s">
        <v>125</v>
      </c>
      <c r="D167" s="13" t="s">
        <v>838</v>
      </c>
      <c r="E167" s="10" t="s">
        <v>117</v>
      </c>
      <c r="F167" s="11" t="s">
        <v>504</v>
      </c>
      <c r="G167" s="10" t="s">
        <v>505</v>
      </c>
      <c r="H167" s="10" t="s">
        <v>506</v>
      </c>
      <c r="I167" s="11" t="s">
        <v>174</v>
      </c>
      <c r="J167" s="13" t="s">
        <v>839</v>
      </c>
      <c r="K167" s="12" t="n">
        <f aca="false">ROUND((IF(E167="Transactional",5,IF(E167="Commercial",4,IF(E167="Comparison",3,IF(E167="Informational",2,3))))*LOG10(IF(ISNUMBER(L167),L167,IFERROR(VALUE(LEFT(F167,FIND("-",F167)-1)),100))+1))/IF(IF(ISBLANK(M167),G167,M167)="High",5,IF(IF(ISBLANK(M167),G167,M167)="Medium",3,1)),2)</f>
        <v>6.45</v>
      </c>
      <c r="L167" s="10"/>
      <c r="M167" s="10"/>
      <c r="N167" s="10"/>
      <c r="O167" s="10" t="s">
        <v>123</v>
      </c>
      <c r="P167" s="11"/>
    </row>
    <row r="168" customFormat="false" ht="25.5" hidden="false" customHeight="true" outlineLevel="0" collapsed="false">
      <c r="A168" s="10" t="n">
        <v>307</v>
      </c>
      <c r="B168" s="10" t="n">
        <v>2</v>
      </c>
      <c r="C168" s="10" t="s">
        <v>115</v>
      </c>
      <c r="D168" s="11" t="s">
        <v>840</v>
      </c>
      <c r="E168" s="10" t="s">
        <v>117</v>
      </c>
      <c r="F168" s="11" t="s">
        <v>504</v>
      </c>
      <c r="G168" s="10" t="s">
        <v>505</v>
      </c>
      <c r="H168" s="10" t="s">
        <v>506</v>
      </c>
      <c r="I168" s="11" t="s">
        <v>174</v>
      </c>
      <c r="J168" s="11" t="s">
        <v>841</v>
      </c>
      <c r="K168" s="12" t="n">
        <f aca="false">ROUND((IF(E168="Transactional",5,IF(E168="Commercial",4,IF(E168="Comparison",3,IF(E168="Informational",2,3))))*LOG10(IF(ISNUMBER(L168),L168,IFERROR(VALUE(LEFT(F168,FIND("-",F168)-1)),100))+1))/IF(IF(ISBLANK(M168),G168,M168)="High",5,IF(IF(ISBLANK(M168),G168,M168)="Medium",3,1)),2)</f>
        <v>6.45</v>
      </c>
      <c r="L168" s="10"/>
      <c r="M168" s="10"/>
      <c r="N168" s="10"/>
      <c r="O168" s="10" t="s">
        <v>123</v>
      </c>
      <c r="P168" s="11" t="s">
        <v>508</v>
      </c>
    </row>
    <row r="169" customFormat="false" ht="25.5" hidden="false" customHeight="true" outlineLevel="0" collapsed="false">
      <c r="A169" s="10" t="n">
        <v>308</v>
      </c>
      <c r="B169" s="10" t="n">
        <v>2</v>
      </c>
      <c r="C169" s="10" t="s">
        <v>125</v>
      </c>
      <c r="D169" s="13" t="s">
        <v>842</v>
      </c>
      <c r="E169" s="10" t="s">
        <v>117</v>
      </c>
      <c r="F169" s="11" t="s">
        <v>504</v>
      </c>
      <c r="G169" s="10" t="s">
        <v>505</v>
      </c>
      <c r="H169" s="10" t="s">
        <v>506</v>
      </c>
      <c r="I169" s="11" t="s">
        <v>174</v>
      </c>
      <c r="J169" s="13" t="s">
        <v>843</v>
      </c>
      <c r="K169" s="12" t="n">
        <f aca="false">ROUND((IF(E169="Transactional",5,IF(E169="Commercial",4,IF(E169="Comparison",3,IF(E169="Informational",2,3))))*LOG10(IF(ISNUMBER(L169),L169,IFERROR(VALUE(LEFT(F169,FIND("-",F169)-1)),100))+1))/IF(IF(ISBLANK(M169),G169,M169)="High",5,IF(IF(ISBLANK(M169),G169,M169)="Medium",3,1)),2)</f>
        <v>6.45</v>
      </c>
      <c r="L169" s="10"/>
      <c r="M169" s="10"/>
      <c r="N169" s="10"/>
      <c r="O169" s="10" t="s">
        <v>123</v>
      </c>
      <c r="P169" s="11"/>
    </row>
    <row r="170" customFormat="false" ht="25.5" hidden="false" customHeight="true" outlineLevel="0" collapsed="false">
      <c r="A170" s="10" t="n">
        <v>309</v>
      </c>
      <c r="B170" s="10" t="n">
        <v>2</v>
      </c>
      <c r="C170" s="10" t="s">
        <v>115</v>
      </c>
      <c r="D170" s="11" t="s">
        <v>844</v>
      </c>
      <c r="E170" s="10" t="s">
        <v>117</v>
      </c>
      <c r="F170" s="11" t="s">
        <v>504</v>
      </c>
      <c r="G170" s="10" t="s">
        <v>505</v>
      </c>
      <c r="H170" s="10" t="s">
        <v>506</v>
      </c>
      <c r="I170" s="11" t="s">
        <v>174</v>
      </c>
      <c r="J170" s="11" t="s">
        <v>845</v>
      </c>
      <c r="K170" s="12" t="n">
        <f aca="false">ROUND((IF(E170="Transactional",5,IF(E170="Commercial",4,IF(E170="Comparison",3,IF(E170="Informational",2,3))))*LOG10(IF(ISNUMBER(L170),L170,IFERROR(VALUE(LEFT(F170,FIND("-",F170)-1)),100))+1))/IF(IF(ISBLANK(M170),G170,M170)="High",5,IF(IF(ISBLANK(M170),G170,M170)="Medium",3,1)),2)</f>
        <v>6.45</v>
      </c>
      <c r="L170" s="10"/>
      <c r="M170" s="10"/>
      <c r="N170" s="10"/>
      <c r="O170" s="10" t="s">
        <v>123</v>
      </c>
      <c r="P170" s="11" t="s">
        <v>508</v>
      </c>
    </row>
    <row r="171" customFormat="false" ht="25.5" hidden="false" customHeight="true" outlineLevel="0" collapsed="false">
      <c r="A171" s="10" t="n">
        <v>310</v>
      </c>
      <c r="B171" s="10" t="n">
        <v>2</v>
      </c>
      <c r="C171" s="10" t="s">
        <v>125</v>
      </c>
      <c r="D171" s="13" t="s">
        <v>846</v>
      </c>
      <c r="E171" s="10" t="s">
        <v>117</v>
      </c>
      <c r="F171" s="11" t="s">
        <v>504</v>
      </c>
      <c r="G171" s="10" t="s">
        <v>505</v>
      </c>
      <c r="H171" s="10" t="s">
        <v>506</v>
      </c>
      <c r="I171" s="11" t="s">
        <v>174</v>
      </c>
      <c r="J171" s="13" t="s">
        <v>847</v>
      </c>
      <c r="K171" s="12" t="n">
        <f aca="false">ROUND((IF(E171="Transactional",5,IF(E171="Commercial",4,IF(E171="Comparison",3,IF(E171="Informational",2,3))))*LOG10(IF(ISNUMBER(L171),L171,IFERROR(VALUE(LEFT(F171,FIND("-",F171)-1)),100))+1))/IF(IF(ISBLANK(M171),G171,M171)="High",5,IF(IF(ISBLANK(M171),G171,M171)="Medium",3,1)),2)</f>
        <v>6.45</v>
      </c>
      <c r="L171" s="10"/>
      <c r="M171" s="10"/>
      <c r="N171" s="10"/>
      <c r="O171" s="10" t="s">
        <v>123</v>
      </c>
      <c r="P171" s="11"/>
    </row>
    <row r="172" customFormat="false" ht="25.5" hidden="false" customHeight="true" outlineLevel="0" collapsed="false">
      <c r="A172" s="10" t="n">
        <v>311</v>
      </c>
      <c r="B172" s="10" t="n">
        <v>2</v>
      </c>
      <c r="C172" s="10" t="s">
        <v>115</v>
      </c>
      <c r="D172" s="11" t="s">
        <v>848</v>
      </c>
      <c r="E172" s="10" t="s">
        <v>117</v>
      </c>
      <c r="F172" s="11" t="s">
        <v>504</v>
      </c>
      <c r="G172" s="10" t="s">
        <v>505</v>
      </c>
      <c r="H172" s="10" t="s">
        <v>506</v>
      </c>
      <c r="I172" s="11" t="s">
        <v>174</v>
      </c>
      <c r="J172" s="11" t="s">
        <v>849</v>
      </c>
      <c r="K172" s="12" t="n">
        <f aca="false">ROUND((IF(E172="Transactional",5,IF(E172="Commercial",4,IF(E172="Comparison",3,IF(E172="Informational",2,3))))*LOG10(IF(ISNUMBER(L172),L172,IFERROR(VALUE(LEFT(F172,FIND("-",F172)-1)),100))+1))/IF(IF(ISBLANK(M172),G172,M172)="High",5,IF(IF(ISBLANK(M172),G172,M172)="Medium",3,1)),2)</f>
        <v>6.45</v>
      </c>
      <c r="L172" s="10"/>
      <c r="M172" s="10"/>
      <c r="N172" s="10"/>
      <c r="O172" s="10" t="s">
        <v>123</v>
      </c>
      <c r="P172" s="11" t="s">
        <v>508</v>
      </c>
    </row>
    <row r="173" customFormat="false" ht="25.5" hidden="false" customHeight="true" outlineLevel="0" collapsed="false">
      <c r="A173" s="10" t="n">
        <v>312</v>
      </c>
      <c r="B173" s="10" t="n">
        <v>2</v>
      </c>
      <c r="C173" s="10" t="s">
        <v>125</v>
      </c>
      <c r="D173" s="13" t="s">
        <v>850</v>
      </c>
      <c r="E173" s="10" t="s">
        <v>117</v>
      </c>
      <c r="F173" s="11" t="s">
        <v>504</v>
      </c>
      <c r="G173" s="10" t="s">
        <v>505</v>
      </c>
      <c r="H173" s="10" t="s">
        <v>506</v>
      </c>
      <c r="I173" s="11" t="s">
        <v>174</v>
      </c>
      <c r="J173" s="13" t="s">
        <v>851</v>
      </c>
      <c r="K173" s="12" t="n">
        <f aca="false">ROUND((IF(E173="Transactional",5,IF(E173="Commercial",4,IF(E173="Comparison",3,IF(E173="Informational",2,3))))*LOG10(IF(ISNUMBER(L173),L173,IFERROR(VALUE(LEFT(F173,FIND("-",F173)-1)),100))+1))/IF(IF(ISBLANK(M173),G173,M173)="High",5,IF(IF(ISBLANK(M173),G173,M173)="Medium",3,1)),2)</f>
        <v>6.45</v>
      </c>
      <c r="L173" s="10"/>
      <c r="M173" s="10"/>
      <c r="N173" s="10"/>
      <c r="O173" s="10" t="s">
        <v>123</v>
      </c>
      <c r="P173" s="11"/>
    </row>
    <row r="174" customFormat="false" ht="25.5" hidden="false" customHeight="true" outlineLevel="0" collapsed="false">
      <c r="A174" s="10" t="n">
        <v>313</v>
      </c>
      <c r="B174" s="10" t="n">
        <v>2</v>
      </c>
      <c r="C174" s="10" t="s">
        <v>115</v>
      </c>
      <c r="D174" s="11" t="s">
        <v>852</v>
      </c>
      <c r="E174" s="10" t="s">
        <v>117</v>
      </c>
      <c r="F174" s="11" t="s">
        <v>504</v>
      </c>
      <c r="G174" s="10" t="s">
        <v>505</v>
      </c>
      <c r="H174" s="10" t="s">
        <v>506</v>
      </c>
      <c r="I174" s="11" t="s">
        <v>174</v>
      </c>
      <c r="J174" s="11" t="s">
        <v>853</v>
      </c>
      <c r="K174" s="12" t="n">
        <f aca="false">ROUND((IF(E174="Transactional",5,IF(E174="Commercial",4,IF(E174="Comparison",3,IF(E174="Informational",2,3))))*LOG10(IF(ISNUMBER(L174),L174,IFERROR(VALUE(LEFT(F174,FIND("-",F174)-1)),100))+1))/IF(IF(ISBLANK(M174),G174,M174)="High",5,IF(IF(ISBLANK(M174),G174,M174)="Medium",3,1)),2)</f>
        <v>6.45</v>
      </c>
      <c r="L174" s="10"/>
      <c r="M174" s="10"/>
      <c r="N174" s="10"/>
      <c r="O174" s="10" t="s">
        <v>123</v>
      </c>
      <c r="P174" s="11" t="s">
        <v>508</v>
      </c>
    </row>
    <row r="175" customFormat="false" ht="25.5" hidden="false" customHeight="true" outlineLevel="0" collapsed="false">
      <c r="A175" s="10" t="n">
        <v>314</v>
      </c>
      <c r="B175" s="10" t="n">
        <v>2</v>
      </c>
      <c r="C175" s="10" t="s">
        <v>125</v>
      </c>
      <c r="D175" s="13" t="s">
        <v>854</v>
      </c>
      <c r="E175" s="10" t="s">
        <v>117</v>
      </c>
      <c r="F175" s="11" t="s">
        <v>504</v>
      </c>
      <c r="G175" s="10" t="s">
        <v>505</v>
      </c>
      <c r="H175" s="10" t="s">
        <v>506</v>
      </c>
      <c r="I175" s="11" t="s">
        <v>174</v>
      </c>
      <c r="J175" s="13" t="s">
        <v>855</v>
      </c>
      <c r="K175" s="12" t="n">
        <f aca="false">ROUND((IF(E175="Transactional",5,IF(E175="Commercial",4,IF(E175="Comparison",3,IF(E175="Informational",2,3))))*LOG10(IF(ISNUMBER(L175),L175,IFERROR(VALUE(LEFT(F175,FIND("-",F175)-1)),100))+1))/IF(IF(ISBLANK(M175),G175,M175)="High",5,IF(IF(ISBLANK(M175),G175,M175)="Medium",3,1)),2)</f>
        <v>6.45</v>
      </c>
      <c r="L175" s="10"/>
      <c r="M175" s="10"/>
      <c r="N175" s="10"/>
      <c r="O175" s="10" t="s">
        <v>123</v>
      </c>
      <c r="P175" s="11"/>
    </row>
    <row r="176" customFormat="false" ht="25.5" hidden="false" customHeight="true" outlineLevel="0" collapsed="false">
      <c r="A176" s="10" t="n">
        <v>315</v>
      </c>
      <c r="B176" s="10" t="n">
        <v>2</v>
      </c>
      <c r="C176" s="10" t="s">
        <v>115</v>
      </c>
      <c r="D176" s="11" t="s">
        <v>856</v>
      </c>
      <c r="E176" s="10" t="s">
        <v>117</v>
      </c>
      <c r="F176" s="11" t="s">
        <v>504</v>
      </c>
      <c r="G176" s="10" t="s">
        <v>505</v>
      </c>
      <c r="H176" s="10" t="s">
        <v>506</v>
      </c>
      <c r="I176" s="11" t="s">
        <v>174</v>
      </c>
      <c r="J176" s="11" t="s">
        <v>857</v>
      </c>
      <c r="K176" s="12" t="n">
        <f aca="false">ROUND((IF(E176="Transactional",5,IF(E176="Commercial",4,IF(E176="Comparison",3,IF(E176="Informational",2,3))))*LOG10(IF(ISNUMBER(L176),L176,IFERROR(VALUE(LEFT(F176,FIND("-",F176)-1)),100))+1))/IF(IF(ISBLANK(M176),G176,M176)="High",5,IF(IF(ISBLANK(M176),G176,M176)="Medium",3,1)),2)</f>
        <v>6.45</v>
      </c>
      <c r="L176" s="10"/>
      <c r="M176" s="10"/>
      <c r="N176" s="10"/>
      <c r="O176" s="10" t="s">
        <v>123</v>
      </c>
      <c r="P176" s="11" t="s">
        <v>508</v>
      </c>
    </row>
    <row r="177" customFormat="false" ht="25.5" hidden="false" customHeight="true" outlineLevel="0" collapsed="false">
      <c r="A177" s="10" t="n">
        <v>316</v>
      </c>
      <c r="B177" s="10" t="n">
        <v>2</v>
      </c>
      <c r="C177" s="10" t="s">
        <v>125</v>
      </c>
      <c r="D177" s="13" t="s">
        <v>858</v>
      </c>
      <c r="E177" s="10" t="s">
        <v>117</v>
      </c>
      <c r="F177" s="11" t="s">
        <v>504</v>
      </c>
      <c r="G177" s="10" t="s">
        <v>505</v>
      </c>
      <c r="H177" s="10" t="s">
        <v>506</v>
      </c>
      <c r="I177" s="11" t="s">
        <v>174</v>
      </c>
      <c r="J177" s="13" t="s">
        <v>859</v>
      </c>
      <c r="K177" s="12" t="n">
        <f aca="false">ROUND((IF(E177="Transactional",5,IF(E177="Commercial",4,IF(E177="Comparison",3,IF(E177="Informational",2,3))))*LOG10(IF(ISNUMBER(L177),L177,IFERROR(VALUE(LEFT(F177,FIND("-",F177)-1)),100))+1))/IF(IF(ISBLANK(M177),G177,M177)="High",5,IF(IF(ISBLANK(M177),G177,M177)="Medium",3,1)),2)</f>
        <v>6.45</v>
      </c>
      <c r="L177" s="10"/>
      <c r="M177" s="10"/>
      <c r="N177" s="10"/>
      <c r="O177" s="10" t="s">
        <v>123</v>
      </c>
      <c r="P177" s="11"/>
    </row>
    <row r="178" customFormat="false" ht="25.5" hidden="false" customHeight="true" outlineLevel="0" collapsed="false">
      <c r="A178" s="10" t="n">
        <v>317</v>
      </c>
      <c r="B178" s="10" t="n">
        <v>2</v>
      </c>
      <c r="C178" s="10" t="s">
        <v>115</v>
      </c>
      <c r="D178" s="11" t="s">
        <v>860</v>
      </c>
      <c r="E178" s="10" t="s">
        <v>117</v>
      </c>
      <c r="F178" s="11" t="s">
        <v>504</v>
      </c>
      <c r="G178" s="10" t="s">
        <v>505</v>
      </c>
      <c r="H178" s="10" t="s">
        <v>506</v>
      </c>
      <c r="I178" s="11" t="s">
        <v>185</v>
      </c>
      <c r="J178" s="11" t="s">
        <v>861</v>
      </c>
      <c r="K178" s="12" t="n">
        <f aca="false">ROUND((IF(E178="Transactional",5,IF(E178="Commercial",4,IF(E178="Comparison",3,IF(E178="Informational",2,3))))*LOG10(IF(ISNUMBER(L178),L178,IFERROR(VALUE(LEFT(F178,FIND("-",F178)-1)),100))+1))/IF(IF(ISBLANK(M178),G178,M178)="High",5,IF(IF(ISBLANK(M178),G178,M178)="Medium",3,1)),2)</f>
        <v>6.45</v>
      </c>
      <c r="L178" s="10"/>
      <c r="M178" s="10"/>
      <c r="N178" s="10"/>
      <c r="O178" s="10" t="s">
        <v>123</v>
      </c>
      <c r="P178" s="11" t="s">
        <v>508</v>
      </c>
    </row>
    <row r="179" customFormat="false" ht="25.5" hidden="false" customHeight="true" outlineLevel="0" collapsed="false">
      <c r="A179" s="10" t="n">
        <v>318</v>
      </c>
      <c r="B179" s="10" t="n">
        <v>2</v>
      </c>
      <c r="C179" s="10" t="s">
        <v>125</v>
      </c>
      <c r="D179" s="13" t="s">
        <v>862</v>
      </c>
      <c r="E179" s="10" t="s">
        <v>117</v>
      </c>
      <c r="F179" s="11" t="s">
        <v>504</v>
      </c>
      <c r="G179" s="10" t="s">
        <v>505</v>
      </c>
      <c r="H179" s="10" t="s">
        <v>506</v>
      </c>
      <c r="I179" s="11" t="s">
        <v>185</v>
      </c>
      <c r="J179" s="13" t="s">
        <v>863</v>
      </c>
      <c r="K179" s="12" t="n">
        <f aca="false">ROUND((IF(E179="Transactional",5,IF(E179="Commercial",4,IF(E179="Comparison",3,IF(E179="Informational",2,3))))*LOG10(IF(ISNUMBER(L179),L179,IFERROR(VALUE(LEFT(F179,FIND("-",F179)-1)),100))+1))/IF(IF(ISBLANK(M179),G179,M179)="High",5,IF(IF(ISBLANK(M179),G179,M179)="Medium",3,1)),2)</f>
        <v>6.45</v>
      </c>
      <c r="L179" s="10"/>
      <c r="M179" s="10"/>
      <c r="N179" s="10"/>
      <c r="O179" s="10" t="s">
        <v>123</v>
      </c>
      <c r="P179" s="11"/>
    </row>
    <row r="180" customFormat="false" ht="25.5" hidden="false" customHeight="true" outlineLevel="0" collapsed="false">
      <c r="A180" s="10" t="n">
        <v>319</v>
      </c>
      <c r="B180" s="10" t="n">
        <v>2</v>
      </c>
      <c r="C180" s="10" t="s">
        <v>115</v>
      </c>
      <c r="D180" s="11" t="s">
        <v>864</v>
      </c>
      <c r="E180" s="10" t="s">
        <v>117</v>
      </c>
      <c r="F180" s="11" t="s">
        <v>504</v>
      </c>
      <c r="G180" s="10" t="s">
        <v>505</v>
      </c>
      <c r="H180" s="10" t="s">
        <v>506</v>
      </c>
      <c r="I180" s="11" t="s">
        <v>185</v>
      </c>
      <c r="J180" s="11" t="s">
        <v>865</v>
      </c>
      <c r="K180" s="12" t="n">
        <f aca="false">ROUND((IF(E180="Transactional",5,IF(E180="Commercial",4,IF(E180="Comparison",3,IF(E180="Informational",2,3))))*LOG10(IF(ISNUMBER(L180),L180,IFERROR(VALUE(LEFT(F180,FIND("-",F180)-1)),100))+1))/IF(IF(ISBLANK(M180),G180,M180)="High",5,IF(IF(ISBLANK(M180),G180,M180)="Medium",3,1)),2)</f>
        <v>6.45</v>
      </c>
      <c r="L180" s="10"/>
      <c r="M180" s="10"/>
      <c r="N180" s="10"/>
      <c r="O180" s="10" t="s">
        <v>123</v>
      </c>
      <c r="P180" s="11" t="s">
        <v>508</v>
      </c>
    </row>
    <row r="181" customFormat="false" ht="25.5" hidden="false" customHeight="true" outlineLevel="0" collapsed="false">
      <c r="A181" s="10" t="n">
        <v>320</v>
      </c>
      <c r="B181" s="10" t="n">
        <v>2</v>
      </c>
      <c r="C181" s="10" t="s">
        <v>125</v>
      </c>
      <c r="D181" s="13" t="s">
        <v>866</v>
      </c>
      <c r="E181" s="10" t="s">
        <v>117</v>
      </c>
      <c r="F181" s="11" t="s">
        <v>504</v>
      </c>
      <c r="G181" s="10" t="s">
        <v>505</v>
      </c>
      <c r="H181" s="10" t="s">
        <v>506</v>
      </c>
      <c r="I181" s="11" t="s">
        <v>185</v>
      </c>
      <c r="J181" s="13" t="s">
        <v>867</v>
      </c>
      <c r="K181" s="12" t="n">
        <f aca="false">ROUND((IF(E181="Transactional",5,IF(E181="Commercial",4,IF(E181="Comparison",3,IF(E181="Informational",2,3))))*LOG10(IF(ISNUMBER(L181),L181,IFERROR(VALUE(LEFT(F181,FIND("-",F181)-1)),100))+1))/IF(IF(ISBLANK(M181),G181,M181)="High",5,IF(IF(ISBLANK(M181),G181,M181)="Medium",3,1)),2)</f>
        <v>6.45</v>
      </c>
      <c r="L181" s="10"/>
      <c r="M181" s="10"/>
      <c r="N181" s="10"/>
      <c r="O181" s="10" t="s">
        <v>123</v>
      </c>
      <c r="P181" s="11"/>
    </row>
    <row r="182" customFormat="false" ht="25.5" hidden="false" customHeight="true" outlineLevel="0" collapsed="false">
      <c r="A182" s="10" t="n">
        <v>321</v>
      </c>
      <c r="B182" s="10" t="n">
        <v>2</v>
      </c>
      <c r="C182" s="10" t="s">
        <v>115</v>
      </c>
      <c r="D182" s="11" t="s">
        <v>868</v>
      </c>
      <c r="E182" s="10" t="s">
        <v>117</v>
      </c>
      <c r="F182" s="11" t="s">
        <v>504</v>
      </c>
      <c r="G182" s="10" t="s">
        <v>505</v>
      </c>
      <c r="H182" s="10" t="s">
        <v>506</v>
      </c>
      <c r="I182" s="11" t="s">
        <v>185</v>
      </c>
      <c r="J182" s="11" t="s">
        <v>869</v>
      </c>
      <c r="K182" s="12" t="n">
        <f aca="false">ROUND((IF(E182="Transactional",5,IF(E182="Commercial",4,IF(E182="Comparison",3,IF(E182="Informational",2,3))))*LOG10(IF(ISNUMBER(L182),L182,IFERROR(VALUE(LEFT(F182,FIND("-",F182)-1)),100))+1))/IF(IF(ISBLANK(M182),G182,M182)="High",5,IF(IF(ISBLANK(M182),G182,M182)="Medium",3,1)),2)</f>
        <v>6.45</v>
      </c>
      <c r="L182" s="10"/>
      <c r="M182" s="10"/>
      <c r="N182" s="10"/>
      <c r="O182" s="10" t="s">
        <v>123</v>
      </c>
      <c r="P182" s="11" t="s">
        <v>508</v>
      </c>
    </row>
    <row r="183" customFormat="false" ht="25.5" hidden="false" customHeight="true" outlineLevel="0" collapsed="false">
      <c r="A183" s="10" t="n">
        <v>322</v>
      </c>
      <c r="B183" s="10" t="n">
        <v>2</v>
      </c>
      <c r="C183" s="10" t="s">
        <v>125</v>
      </c>
      <c r="D183" s="13" t="s">
        <v>870</v>
      </c>
      <c r="E183" s="10" t="s">
        <v>117</v>
      </c>
      <c r="F183" s="11" t="s">
        <v>504</v>
      </c>
      <c r="G183" s="10" t="s">
        <v>505</v>
      </c>
      <c r="H183" s="10" t="s">
        <v>506</v>
      </c>
      <c r="I183" s="11" t="s">
        <v>185</v>
      </c>
      <c r="J183" s="13" t="s">
        <v>871</v>
      </c>
      <c r="K183" s="12" t="n">
        <f aca="false">ROUND((IF(E183="Transactional",5,IF(E183="Commercial",4,IF(E183="Comparison",3,IF(E183="Informational",2,3))))*LOG10(IF(ISNUMBER(L183),L183,IFERROR(VALUE(LEFT(F183,FIND("-",F183)-1)),100))+1))/IF(IF(ISBLANK(M183),G183,M183)="High",5,IF(IF(ISBLANK(M183),G183,M183)="Medium",3,1)),2)</f>
        <v>6.45</v>
      </c>
      <c r="L183" s="10"/>
      <c r="M183" s="10"/>
      <c r="N183" s="10"/>
      <c r="O183" s="10" t="s">
        <v>123</v>
      </c>
      <c r="P183" s="11"/>
    </row>
    <row r="184" customFormat="false" ht="25.5" hidden="false" customHeight="true" outlineLevel="0" collapsed="false">
      <c r="A184" s="10" t="n">
        <v>323</v>
      </c>
      <c r="B184" s="10" t="n">
        <v>2</v>
      </c>
      <c r="C184" s="10" t="s">
        <v>115</v>
      </c>
      <c r="D184" s="11" t="s">
        <v>872</v>
      </c>
      <c r="E184" s="10" t="s">
        <v>117</v>
      </c>
      <c r="F184" s="11" t="s">
        <v>504</v>
      </c>
      <c r="G184" s="10" t="s">
        <v>505</v>
      </c>
      <c r="H184" s="10" t="s">
        <v>506</v>
      </c>
      <c r="I184" s="11" t="s">
        <v>185</v>
      </c>
      <c r="J184" s="11" t="s">
        <v>873</v>
      </c>
      <c r="K184" s="12" t="n">
        <f aca="false">ROUND((IF(E184="Transactional",5,IF(E184="Commercial",4,IF(E184="Comparison",3,IF(E184="Informational",2,3))))*LOG10(IF(ISNUMBER(L184),L184,IFERROR(VALUE(LEFT(F184,FIND("-",F184)-1)),100))+1))/IF(IF(ISBLANK(M184),G184,M184)="High",5,IF(IF(ISBLANK(M184),G184,M184)="Medium",3,1)),2)</f>
        <v>6.45</v>
      </c>
      <c r="L184" s="10"/>
      <c r="M184" s="10"/>
      <c r="N184" s="10"/>
      <c r="O184" s="10" t="s">
        <v>123</v>
      </c>
      <c r="P184" s="11" t="s">
        <v>508</v>
      </c>
    </row>
    <row r="185" customFormat="false" ht="25.5" hidden="false" customHeight="true" outlineLevel="0" collapsed="false">
      <c r="A185" s="10" t="n">
        <v>324</v>
      </c>
      <c r="B185" s="10" t="n">
        <v>2</v>
      </c>
      <c r="C185" s="10" t="s">
        <v>125</v>
      </c>
      <c r="D185" s="13" t="s">
        <v>874</v>
      </c>
      <c r="E185" s="10" t="s">
        <v>117</v>
      </c>
      <c r="F185" s="11" t="s">
        <v>504</v>
      </c>
      <c r="G185" s="10" t="s">
        <v>505</v>
      </c>
      <c r="H185" s="10" t="s">
        <v>506</v>
      </c>
      <c r="I185" s="11" t="s">
        <v>185</v>
      </c>
      <c r="J185" s="13" t="s">
        <v>875</v>
      </c>
      <c r="K185" s="12" t="n">
        <f aca="false">ROUND((IF(E185="Transactional",5,IF(E185="Commercial",4,IF(E185="Comparison",3,IF(E185="Informational",2,3))))*LOG10(IF(ISNUMBER(L185),L185,IFERROR(VALUE(LEFT(F185,FIND("-",F185)-1)),100))+1))/IF(IF(ISBLANK(M185),G185,M185)="High",5,IF(IF(ISBLANK(M185),G185,M185)="Medium",3,1)),2)</f>
        <v>6.45</v>
      </c>
      <c r="L185" s="10"/>
      <c r="M185" s="10"/>
      <c r="N185" s="10"/>
      <c r="O185" s="10" t="s">
        <v>123</v>
      </c>
      <c r="P185" s="11"/>
    </row>
    <row r="186" customFormat="false" ht="25.5" hidden="false" customHeight="true" outlineLevel="0" collapsed="false">
      <c r="A186" s="10" t="n">
        <v>325</v>
      </c>
      <c r="B186" s="10" t="n">
        <v>2</v>
      </c>
      <c r="C186" s="10" t="s">
        <v>115</v>
      </c>
      <c r="D186" s="11" t="s">
        <v>876</v>
      </c>
      <c r="E186" s="10" t="s">
        <v>117</v>
      </c>
      <c r="F186" s="11" t="s">
        <v>504</v>
      </c>
      <c r="G186" s="10" t="s">
        <v>505</v>
      </c>
      <c r="H186" s="10" t="s">
        <v>506</v>
      </c>
      <c r="I186" s="11" t="s">
        <v>185</v>
      </c>
      <c r="J186" s="11" t="s">
        <v>877</v>
      </c>
      <c r="K186" s="12" t="n">
        <f aca="false">ROUND((IF(E186="Transactional",5,IF(E186="Commercial",4,IF(E186="Comparison",3,IF(E186="Informational",2,3))))*LOG10(IF(ISNUMBER(L186),L186,IFERROR(VALUE(LEFT(F186,FIND("-",F186)-1)),100))+1))/IF(IF(ISBLANK(M186),G186,M186)="High",5,IF(IF(ISBLANK(M186),G186,M186)="Medium",3,1)),2)</f>
        <v>6.45</v>
      </c>
      <c r="L186" s="10"/>
      <c r="M186" s="10"/>
      <c r="N186" s="10"/>
      <c r="O186" s="10" t="s">
        <v>123</v>
      </c>
      <c r="P186" s="11" t="s">
        <v>508</v>
      </c>
    </row>
    <row r="187" customFormat="false" ht="25.5" hidden="false" customHeight="true" outlineLevel="0" collapsed="false">
      <c r="A187" s="10" t="n">
        <v>326</v>
      </c>
      <c r="B187" s="10" t="n">
        <v>2</v>
      </c>
      <c r="C187" s="10" t="s">
        <v>125</v>
      </c>
      <c r="D187" s="13" t="s">
        <v>878</v>
      </c>
      <c r="E187" s="10" t="s">
        <v>117</v>
      </c>
      <c r="F187" s="11" t="s">
        <v>504</v>
      </c>
      <c r="G187" s="10" t="s">
        <v>505</v>
      </c>
      <c r="H187" s="10" t="s">
        <v>506</v>
      </c>
      <c r="I187" s="11" t="s">
        <v>185</v>
      </c>
      <c r="J187" s="13" t="s">
        <v>879</v>
      </c>
      <c r="K187" s="12" t="n">
        <f aca="false">ROUND((IF(E187="Transactional",5,IF(E187="Commercial",4,IF(E187="Comparison",3,IF(E187="Informational",2,3))))*LOG10(IF(ISNUMBER(L187),L187,IFERROR(VALUE(LEFT(F187,FIND("-",F187)-1)),100))+1))/IF(IF(ISBLANK(M187),G187,M187)="High",5,IF(IF(ISBLANK(M187),G187,M187)="Medium",3,1)),2)</f>
        <v>6.45</v>
      </c>
      <c r="L187" s="10"/>
      <c r="M187" s="10"/>
      <c r="N187" s="10"/>
      <c r="O187" s="10" t="s">
        <v>123</v>
      </c>
      <c r="P187" s="11"/>
    </row>
    <row r="188" customFormat="false" ht="25.5" hidden="false" customHeight="true" outlineLevel="0" collapsed="false">
      <c r="A188" s="10" t="n">
        <v>327</v>
      </c>
      <c r="B188" s="10" t="n">
        <v>2</v>
      </c>
      <c r="C188" s="10" t="s">
        <v>115</v>
      </c>
      <c r="D188" s="11" t="s">
        <v>880</v>
      </c>
      <c r="E188" s="10" t="s">
        <v>117</v>
      </c>
      <c r="F188" s="11" t="s">
        <v>504</v>
      </c>
      <c r="G188" s="10" t="s">
        <v>505</v>
      </c>
      <c r="H188" s="10" t="s">
        <v>506</v>
      </c>
      <c r="I188" s="11" t="s">
        <v>185</v>
      </c>
      <c r="J188" s="11" t="s">
        <v>881</v>
      </c>
      <c r="K188" s="12" t="n">
        <f aca="false">ROUND((IF(E188="Transactional",5,IF(E188="Commercial",4,IF(E188="Comparison",3,IF(E188="Informational",2,3))))*LOG10(IF(ISNUMBER(L188),L188,IFERROR(VALUE(LEFT(F188,FIND("-",F188)-1)),100))+1))/IF(IF(ISBLANK(M188),G188,M188)="High",5,IF(IF(ISBLANK(M188),G188,M188)="Medium",3,1)),2)</f>
        <v>6.45</v>
      </c>
      <c r="L188" s="10"/>
      <c r="M188" s="10"/>
      <c r="N188" s="10"/>
      <c r="O188" s="10" t="s">
        <v>123</v>
      </c>
      <c r="P188" s="11" t="s">
        <v>508</v>
      </c>
    </row>
    <row r="189" customFormat="false" ht="25.5" hidden="false" customHeight="true" outlineLevel="0" collapsed="false">
      <c r="A189" s="10" t="n">
        <v>328</v>
      </c>
      <c r="B189" s="10" t="n">
        <v>2</v>
      </c>
      <c r="C189" s="10" t="s">
        <v>125</v>
      </c>
      <c r="D189" s="13" t="s">
        <v>882</v>
      </c>
      <c r="E189" s="10" t="s">
        <v>117</v>
      </c>
      <c r="F189" s="11" t="s">
        <v>504</v>
      </c>
      <c r="G189" s="10" t="s">
        <v>505</v>
      </c>
      <c r="H189" s="10" t="s">
        <v>506</v>
      </c>
      <c r="I189" s="11" t="s">
        <v>185</v>
      </c>
      <c r="J189" s="13" t="s">
        <v>883</v>
      </c>
      <c r="K189" s="12" t="n">
        <f aca="false">ROUND((IF(E189="Transactional",5,IF(E189="Commercial",4,IF(E189="Comparison",3,IF(E189="Informational",2,3))))*LOG10(IF(ISNUMBER(L189),L189,IFERROR(VALUE(LEFT(F189,FIND("-",F189)-1)),100))+1))/IF(IF(ISBLANK(M189),G189,M189)="High",5,IF(IF(ISBLANK(M189),G189,M189)="Medium",3,1)),2)</f>
        <v>6.45</v>
      </c>
      <c r="L189" s="10"/>
      <c r="M189" s="10"/>
      <c r="N189" s="10"/>
      <c r="O189" s="10" t="s">
        <v>123</v>
      </c>
      <c r="P189" s="11"/>
    </row>
    <row r="190" customFormat="false" ht="25.5" hidden="false" customHeight="true" outlineLevel="0" collapsed="false">
      <c r="A190" s="10" t="n">
        <v>329</v>
      </c>
      <c r="B190" s="10" t="n">
        <v>2</v>
      </c>
      <c r="C190" s="10" t="s">
        <v>115</v>
      </c>
      <c r="D190" s="11" t="s">
        <v>884</v>
      </c>
      <c r="E190" s="10" t="s">
        <v>117</v>
      </c>
      <c r="F190" s="11" t="s">
        <v>504</v>
      </c>
      <c r="G190" s="10" t="s">
        <v>505</v>
      </c>
      <c r="H190" s="10" t="s">
        <v>506</v>
      </c>
      <c r="I190" s="11" t="s">
        <v>185</v>
      </c>
      <c r="J190" s="11" t="s">
        <v>885</v>
      </c>
      <c r="K190" s="12" t="n">
        <f aca="false">ROUND((IF(E190="Transactional",5,IF(E190="Commercial",4,IF(E190="Comparison",3,IF(E190="Informational",2,3))))*LOG10(IF(ISNUMBER(L190),L190,IFERROR(VALUE(LEFT(F190,FIND("-",F190)-1)),100))+1))/IF(IF(ISBLANK(M190),G190,M190)="High",5,IF(IF(ISBLANK(M190),G190,M190)="Medium",3,1)),2)</f>
        <v>6.45</v>
      </c>
      <c r="L190" s="10"/>
      <c r="M190" s="10"/>
      <c r="N190" s="10"/>
      <c r="O190" s="10" t="s">
        <v>123</v>
      </c>
      <c r="P190" s="11" t="s">
        <v>508</v>
      </c>
    </row>
    <row r="191" customFormat="false" ht="25.5" hidden="false" customHeight="true" outlineLevel="0" collapsed="false">
      <c r="A191" s="10" t="n">
        <v>330</v>
      </c>
      <c r="B191" s="10" t="n">
        <v>2</v>
      </c>
      <c r="C191" s="10" t="s">
        <v>125</v>
      </c>
      <c r="D191" s="13" t="s">
        <v>886</v>
      </c>
      <c r="E191" s="10" t="s">
        <v>117</v>
      </c>
      <c r="F191" s="11" t="s">
        <v>504</v>
      </c>
      <c r="G191" s="10" t="s">
        <v>505</v>
      </c>
      <c r="H191" s="10" t="s">
        <v>506</v>
      </c>
      <c r="I191" s="11" t="s">
        <v>185</v>
      </c>
      <c r="J191" s="13" t="s">
        <v>887</v>
      </c>
      <c r="K191" s="12" t="n">
        <f aca="false">ROUND((IF(E191="Transactional",5,IF(E191="Commercial",4,IF(E191="Comparison",3,IF(E191="Informational",2,3))))*LOG10(IF(ISNUMBER(L191),L191,IFERROR(VALUE(LEFT(F191,FIND("-",F191)-1)),100))+1))/IF(IF(ISBLANK(M191),G191,M191)="High",5,IF(IF(ISBLANK(M191),G191,M191)="Medium",3,1)),2)</f>
        <v>6.45</v>
      </c>
      <c r="L191" s="10"/>
      <c r="M191" s="10"/>
      <c r="N191" s="10"/>
      <c r="O191" s="10" t="s">
        <v>123</v>
      </c>
      <c r="P191" s="11"/>
    </row>
    <row r="192" customFormat="false" ht="25.5" hidden="false" customHeight="true" outlineLevel="0" collapsed="false">
      <c r="A192" s="10" t="n">
        <v>331</v>
      </c>
      <c r="B192" s="10" t="n">
        <v>2</v>
      </c>
      <c r="C192" s="10" t="s">
        <v>115</v>
      </c>
      <c r="D192" s="11" t="s">
        <v>888</v>
      </c>
      <c r="E192" s="10" t="s">
        <v>117</v>
      </c>
      <c r="F192" s="11" t="s">
        <v>504</v>
      </c>
      <c r="G192" s="10" t="s">
        <v>505</v>
      </c>
      <c r="H192" s="10" t="s">
        <v>506</v>
      </c>
      <c r="I192" s="11" t="s">
        <v>185</v>
      </c>
      <c r="J192" s="11" t="s">
        <v>889</v>
      </c>
      <c r="K192" s="12" t="n">
        <f aca="false">ROUND((IF(E192="Transactional",5,IF(E192="Commercial",4,IF(E192="Comparison",3,IF(E192="Informational",2,3))))*LOG10(IF(ISNUMBER(L192),L192,IFERROR(VALUE(LEFT(F192,FIND("-",F192)-1)),100))+1))/IF(IF(ISBLANK(M192),G192,M192)="High",5,IF(IF(ISBLANK(M192),G192,M192)="Medium",3,1)),2)</f>
        <v>6.45</v>
      </c>
      <c r="L192" s="10"/>
      <c r="M192" s="10"/>
      <c r="N192" s="10"/>
      <c r="O192" s="10" t="s">
        <v>123</v>
      </c>
      <c r="P192" s="11" t="s">
        <v>508</v>
      </c>
    </row>
    <row r="193" customFormat="false" ht="25.5" hidden="false" customHeight="true" outlineLevel="0" collapsed="false">
      <c r="A193" s="10" t="n">
        <v>332</v>
      </c>
      <c r="B193" s="10" t="n">
        <v>2</v>
      </c>
      <c r="C193" s="10" t="s">
        <v>125</v>
      </c>
      <c r="D193" s="13" t="s">
        <v>890</v>
      </c>
      <c r="E193" s="10" t="s">
        <v>117</v>
      </c>
      <c r="F193" s="11" t="s">
        <v>504</v>
      </c>
      <c r="G193" s="10" t="s">
        <v>505</v>
      </c>
      <c r="H193" s="10" t="s">
        <v>506</v>
      </c>
      <c r="I193" s="11" t="s">
        <v>185</v>
      </c>
      <c r="J193" s="13" t="s">
        <v>891</v>
      </c>
      <c r="K193" s="12" t="n">
        <f aca="false">ROUND((IF(E193="Transactional",5,IF(E193="Commercial",4,IF(E193="Comparison",3,IF(E193="Informational",2,3))))*LOG10(IF(ISNUMBER(L193),L193,IFERROR(VALUE(LEFT(F193,FIND("-",F193)-1)),100))+1))/IF(IF(ISBLANK(M193),G193,M193)="High",5,IF(IF(ISBLANK(M193),G193,M193)="Medium",3,1)),2)</f>
        <v>6.45</v>
      </c>
      <c r="L193" s="10"/>
      <c r="M193" s="10"/>
      <c r="N193" s="10"/>
      <c r="O193" s="10" t="s">
        <v>123</v>
      </c>
      <c r="P193" s="11"/>
    </row>
    <row r="194" customFormat="false" ht="25.5" hidden="false" customHeight="true" outlineLevel="0" collapsed="false">
      <c r="A194" s="10" t="n">
        <v>333</v>
      </c>
      <c r="B194" s="10" t="n">
        <v>2</v>
      </c>
      <c r="C194" s="10" t="s">
        <v>115</v>
      </c>
      <c r="D194" s="11" t="s">
        <v>892</v>
      </c>
      <c r="E194" s="10" t="s">
        <v>117</v>
      </c>
      <c r="F194" s="11" t="s">
        <v>572</v>
      </c>
      <c r="G194" s="10" t="s">
        <v>505</v>
      </c>
      <c r="H194" s="10" t="s">
        <v>506</v>
      </c>
      <c r="I194" s="11" t="s">
        <v>185</v>
      </c>
      <c r="J194" s="11" t="s">
        <v>893</v>
      </c>
      <c r="K194" s="12" t="n">
        <f aca="false">ROUND((IF(E194="Transactional",5,IF(E194="Commercial",4,IF(E194="Comparison",3,IF(E194="Informational",2,3))))*LOG10(IF(ISNUMBER(L194),L194,IFERROR(VALUE(LEFT(F194,FIND("-",F194)-1)),100))+1))/IF(IF(ISBLANK(M194),G194,M194)="High",5,IF(IF(ISBLANK(M194),G194,M194)="Medium",3,1)),2)</f>
        <v>5.97</v>
      </c>
      <c r="L194" s="10"/>
      <c r="M194" s="10"/>
      <c r="N194" s="10"/>
      <c r="O194" s="10" t="s">
        <v>123</v>
      </c>
      <c r="P194" s="11" t="s">
        <v>508</v>
      </c>
    </row>
    <row r="195" customFormat="false" ht="25.5" hidden="false" customHeight="true" outlineLevel="0" collapsed="false">
      <c r="A195" s="10" t="n">
        <v>334</v>
      </c>
      <c r="B195" s="10" t="n">
        <v>2</v>
      </c>
      <c r="C195" s="10" t="s">
        <v>125</v>
      </c>
      <c r="D195" s="13" t="s">
        <v>894</v>
      </c>
      <c r="E195" s="10" t="s">
        <v>117</v>
      </c>
      <c r="F195" s="11" t="s">
        <v>572</v>
      </c>
      <c r="G195" s="10" t="s">
        <v>505</v>
      </c>
      <c r="H195" s="10" t="s">
        <v>506</v>
      </c>
      <c r="I195" s="11" t="s">
        <v>185</v>
      </c>
      <c r="J195" s="13" t="s">
        <v>895</v>
      </c>
      <c r="K195" s="12" t="n">
        <f aca="false">ROUND((IF(E195="Transactional",5,IF(E195="Commercial",4,IF(E195="Comparison",3,IF(E195="Informational",2,3))))*LOG10(IF(ISNUMBER(L195),L195,IFERROR(VALUE(LEFT(F195,FIND("-",F195)-1)),100))+1))/IF(IF(ISBLANK(M195),G195,M195)="High",5,IF(IF(ISBLANK(M195),G195,M195)="Medium",3,1)),2)</f>
        <v>5.97</v>
      </c>
      <c r="L195" s="10"/>
      <c r="M195" s="10"/>
      <c r="N195" s="10"/>
      <c r="O195" s="10" t="s">
        <v>123</v>
      </c>
      <c r="P195" s="11"/>
    </row>
    <row r="196" customFormat="false" ht="25.5" hidden="false" customHeight="true" outlineLevel="0" collapsed="false">
      <c r="A196" s="10" t="n">
        <v>335</v>
      </c>
      <c r="B196" s="10" t="n">
        <v>2</v>
      </c>
      <c r="C196" s="10" t="s">
        <v>115</v>
      </c>
      <c r="D196" s="11" t="s">
        <v>896</v>
      </c>
      <c r="E196" s="10" t="s">
        <v>117</v>
      </c>
      <c r="F196" s="11" t="s">
        <v>572</v>
      </c>
      <c r="G196" s="10" t="s">
        <v>505</v>
      </c>
      <c r="H196" s="10" t="s">
        <v>506</v>
      </c>
      <c r="I196" s="11" t="s">
        <v>185</v>
      </c>
      <c r="J196" s="11" t="s">
        <v>897</v>
      </c>
      <c r="K196" s="12" t="n">
        <f aca="false">ROUND((IF(E196="Transactional",5,IF(E196="Commercial",4,IF(E196="Comparison",3,IF(E196="Informational",2,3))))*LOG10(IF(ISNUMBER(L196),L196,IFERROR(VALUE(LEFT(F196,FIND("-",F196)-1)),100))+1))/IF(IF(ISBLANK(M196),G196,M196)="High",5,IF(IF(ISBLANK(M196),G196,M196)="Medium",3,1)),2)</f>
        <v>5.97</v>
      </c>
      <c r="L196" s="10"/>
      <c r="M196" s="10"/>
      <c r="N196" s="10"/>
      <c r="O196" s="10" t="s">
        <v>123</v>
      </c>
      <c r="P196" s="11" t="s">
        <v>508</v>
      </c>
    </row>
    <row r="197" customFormat="false" ht="25.5" hidden="false" customHeight="true" outlineLevel="0" collapsed="false">
      <c r="A197" s="10" t="n">
        <v>336</v>
      </c>
      <c r="B197" s="10" t="n">
        <v>2</v>
      </c>
      <c r="C197" s="10" t="s">
        <v>125</v>
      </c>
      <c r="D197" s="13" t="s">
        <v>898</v>
      </c>
      <c r="E197" s="10" t="s">
        <v>117</v>
      </c>
      <c r="F197" s="11" t="s">
        <v>572</v>
      </c>
      <c r="G197" s="10" t="s">
        <v>505</v>
      </c>
      <c r="H197" s="10" t="s">
        <v>506</v>
      </c>
      <c r="I197" s="11" t="s">
        <v>185</v>
      </c>
      <c r="J197" s="13" t="s">
        <v>899</v>
      </c>
      <c r="K197" s="12" t="n">
        <f aca="false">ROUND((IF(E197="Transactional",5,IF(E197="Commercial",4,IF(E197="Comparison",3,IF(E197="Informational",2,3))))*LOG10(IF(ISNUMBER(L197),L197,IFERROR(VALUE(LEFT(F197,FIND("-",F197)-1)),100))+1))/IF(IF(ISBLANK(M197),G197,M197)="High",5,IF(IF(ISBLANK(M197),G197,M197)="Medium",3,1)),2)</f>
        <v>5.97</v>
      </c>
      <c r="L197" s="10"/>
      <c r="M197" s="10"/>
      <c r="N197" s="10"/>
      <c r="O197" s="10" t="s">
        <v>123</v>
      </c>
      <c r="P197" s="11"/>
    </row>
    <row r="198" customFormat="false" ht="25.5" hidden="false" customHeight="true" outlineLevel="0" collapsed="false">
      <c r="A198" s="10" t="n">
        <v>337</v>
      </c>
      <c r="B198" s="10" t="n">
        <v>2</v>
      </c>
      <c r="C198" s="10" t="s">
        <v>115</v>
      </c>
      <c r="D198" s="11" t="s">
        <v>900</v>
      </c>
      <c r="E198" s="10" t="s">
        <v>117</v>
      </c>
      <c r="F198" s="11" t="s">
        <v>572</v>
      </c>
      <c r="G198" s="10" t="s">
        <v>505</v>
      </c>
      <c r="H198" s="10" t="s">
        <v>506</v>
      </c>
      <c r="I198" s="11" t="s">
        <v>185</v>
      </c>
      <c r="J198" s="11" t="s">
        <v>901</v>
      </c>
      <c r="K198" s="12" t="n">
        <f aca="false">ROUND((IF(E198="Transactional",5,IF(E198="Commercial",4,IF(E198="Comparison",3,IF(E198="Informational",2,3))))*LOG10(IF(ISNUMBER(L198),L198,IFERROR(VALUE(LEFT(F198,FIND("-",F198)-1)),100))+1))/IF(IF(ISBLANK(M198),G198,M198)="High",5,IF(IF(ISBLANK(M198),G198,M198)="Medium",3,1)),2)</f>
        <v>5.97</v>
      </c>
      <c r="L198" s="10"/>
      <c r="M198" s="10"/>
      <c r="N198" s="10"/>
      <c r="O198" s="10" t="s">
        <v>123</v>
      </c>
      <c r="P198" s="11" t="s">
        <v>508</v>
      </c>
    </row>
    <row r="199" customFormat="false" ht="25.5" hidden="false" customHeight="true" outlineLevel="0" collapsed="false">
      <c r="A199" s="10" t="n">
        <v>338</v>
      </c>
      <c r="B199" s="10" t="n">
        <v>2</v>
      </c>
      <c r="C199" s="10" t="s">
        <v>125</v>
      </c>
      <c r="D199" s="13" t="s">
        <v>902</v>
      </c>
      <c r="E199" s="10" t="s">
        <v>117</v>
      </c>
      <c r="F199" s="11" t="s">
        <v>572</v>
      </c>
      <c r="G199" s="10" t="s">
        <v>505</v>
      </c>
      <c r="H199" s="10" t="s">
        <v>506</v>
      </c>
      <c r="I199" s="11" t="s">
        <v>185</v>
      </c>
      <c r="J199" s="13" t="s">
        <v>903</v>
      </c>
      <c r="K199" s="12" t="n">
        <f aca="false">ROUND((IF(E199="Transactional",5,IF(E199="Commercial",4,IF(E199="Comparison",3,IF(E199="Informational",2,3))))*LOG10(IF(ISNUMBER(L199),L199,IFERROR(VALUE(LEFT(F199,FIND("-",F199)-1)),100))+1))/IF(IF(ISBLANK(M199),G199,M199)="High",5,IF(IF(ISBLANK(M199),G199,M199)="Medium",3,1)),2)</f>
        <v>5.97</v>
      </c>
      <c r="L199" s="10"/>
      <c r="M199" s="10"/>
      <c r="N199" s="10"/>
      <c r="O199" s="10" t="s">
        <v>123</v>
      </c>
      <c r="P199" s="11"/>
    </row>
    <row r="200" customFormat="false" ht="25.5" hidden="false" customHeight="true" outlineLevel="0" collapsed="false">
      <c r="A200" s="10" t="n">
        <v>339</v>
      </c>
      <c r="B200" s="10" t="n">
        <v>2</v>
      </c>
      <c r="C200" s="10" t="s">
        <v>115</v>
      </c>
      <c r="D200" s="11" t="s">
        <v>904</v>
      </c>
      <c r="E200" s="10" t="s">
        <v>117</v>
      </c>
      <c r="F200" s="11" t="s">
        <v>572</v>
      </c>
      <c r="G200" s="10" t="s">
        <v>505</v>
      </c>
      <c r="H200" s="10" t="s">
        <v>506</v>
      </c>
      <c r="I200" s="11" t="s">
        <v>185</v>
      </c>
      <c r="J200" s="11" t="s">
        <v>905</v>
      </c>
      <c r="K200" s="12" t="n">
        <f aca="false">ROUND((IF(E200="Transactional",5,IF(E200="Commercial",4,IF(E200="Comparison",3,IF(E200="Informational",2,3))))*LOG10(IF(ISNUMBER(L200),L200,IFERROR(VALUE(LEFT(F200,FIND("-",F200)-1)),100))+1))/IF(IF(ISBLANK(M200),G200,M200)="High",5,IF(IF(ISBLANK(M200),G200,M200)="Medium",3,1)),2)</f>
        <v>5.97</v>
      </c>
      <c r="L200" s="10"/>
      <c r="M200" s="10"/>
      <c r="N200" s="10"/>
      <c r="O200" s="10" t="s">
        <v>123</v>
      </c>
      <c r="P200" s="11" t="s">
        <v>508</v>
      </c>
    </row>
    <row r="201" customFormat="false" ht="25.5" hidden="false" customHeight="true" outlineLevel="0" collapsed="false">
      <c r="A201" s="10" t="n">
        <v>340</v>
      </c>
      <c r="B201" s="10" t="n">
        <v>2</v>
      </c>
      <c r="C201" s="10" t="s">
        <v>125</v>
      </c>
      <c r="D201" s="13" t="s">
        <v>906</v>
      </c>
      <c r="E201" s="10" t="s">
        <v>117</v>
      </c>
      <c r="F201" s="11" t="s">
        <v>572</v>
      </c>
      <c r="G201" s="10" t="s">
        <v>505</v>
      </c>
      <c r="H201" s="10" t="s">
        <v>506</v>
      </c>
      <c r="I201" s="11" t="s">
        <v>185</v>
      </c>
      <c r="J201" s="13" t="s">
        <v>907</v>
      </c>
      <c r="K201" s="12" t="n">
        <f aca="false">ROUND((IF(E201="Transactional",5,IF(E201="Commercial",4,IF(E201="Comparison",3,IF(E201="Informational",2,3))))*LOG10(IF(ISNUMBER(L201),L201,IFERROR(VALUE(LEFT(F201,FIND("-",F201)-1)),100))+1))/IF(IF(ISBLANK(M201),G201,M201)="High",5,IF(IF(ISBLANK(M201),G201,M201)="Medium",3,1)),2)</f>
        <v>5.97</v>
      </c>
      <c r="L201" s="10"/>
      <c r="M201" s="10"/>
      <c r="N201" s="10"/>
      <c r="O201" s="10" t="s">
        <v>123</v>
      </c>
      <c r="P201" s="11"/>
    </row>
    <row r="202" customFormat="false" ht="25.5" hidden="false" customHeight="true" outlineLevel="0" collapsed="false">
      <c r="A202" s="10" t="n">
        <v>341</v>
      </c>
      <c r="B202" s="10" t="n">
        <v>2</v>
      </c>
      <c r="C202" s="10" t="s">
        <v>115</v>
      </c>
      <c r="D202" s="11" t="s">
        <v>908</v>
      </c>
      <c r="E202" s="10" t="s">
        <v>117</v>
      </c>
      <c r="F202" s="11" t="s">
        <v>572</v>
      </c>
      <c r="G202" s="10" t="s">
        <v>505</v>
      </c>
      <c r="H202" s="10" t="s">
        <v>506</v>
      </c>
      <c r="I202" s="11" t="s">
        <v>185</v>
      </c>
      <c r="J202" s="11" t="s">
        <v>909</v>
      </c>
      <c r="K202" s="12" t="n">
        <f aca="false">ROUND((IF(E202="Transactional",5,IF(E202="Commercial",4,IF(E202="Comparison",3,IF(E202="Informational",2,3))))*LOG10(IF(ISNUMBER(L202),L202,IFERROR(VALUE(LEFT(F202,FIND("-",F202)-1)),100))+1))/IF(IF(ISBLANK(M202),G202,M202)="High",5,IF(IF(ISBLANK(M202),G202,M202)="Medium",3,1)),2)</f>
        <v>5.97</v>
      </c>
      <c r="L202" s="10"/>
      <c r="M202" s="10"/>
      <c r="N202" s="10"/>
      <c r="O202" s="10" t="s">
        <v>123</v>
      </c>
      <c r="P202" s="11" t="s">
        <v>508</v>
      </c>
    </row>
    <row r="203" customFormat="false" ht="25.5" hidden="false" customHeight="true" outlineLevel="0" collapsed="false">
      <c r="A203" s="10" t="n">
        <v>342</v>
      </c>
      <c r="B203" s="10" t="n">
        <v>2</v>
      </c>
      <c r="C203" s="10" t="s">
        <v>125</v>
      </c>
      <c r="D203" s="13" t="s">
        <v>910</v>
      </c>
      <c r="E203" s="10" t="s">
        <v>117</v>
      </c>
      <c r="F203" s="11" t="s">
        <v>572</v>
      </c>
      <c r="G203" s="10" t="s">
        <v>505</v>
      </c>
      <c r="H203" s="10" t="s">
        <v>506</v>
      </c>
      <c r="I203" s="11" t="s">
        <v>185</v>
      </c>
      <c r="J203" s="13" t="s">
        <v>911</v>
      </c>
      <c r="K203" s="12" t="n">
        <f aca="false">ROUND((IF(E203="Transactional",5,IF(E203="Commercial",4,IF(E203="Comparison",3,IF(E203="Informational",2,3))))*LOG10(IF(ISNUMBER(L203),L203,IFERROR(VALUE(LEFT(F203,FIND("-",F203)-1)),100))+1))/IF(IF(ISBLANK(M203),G203,M203)="High",5,IF(IF(ISBLANK(M203),G203,M203)="Medium",3,1)),2)</f>
        <v>5.97</v>
      </c>
      <c r="L203" s="10"/>
      <c r="M203" s="10"/>
      <c r="N203" s="10"/>
      <c r="O203" s="10" t="s">
        <v>123</v>
      </c>
      <c r="P203" s="11"/>
    </row>
    <row r="204" customFormat="false" ht="25.5" hidden="false" customHeight="true" outlineLevel="0" collapsed="false">
      <c r="A204" s="10" t="n">
        <v>343</v>
      </c>
      <c r="B204" s="10" t="n">
        <v>2</v>
      </c>
      <c r="C204" s="10" t="s">
        <v>115</v>
      </c>
      <c r="D204" s="11" t="s">
        <v>912</v>
      </c>
      <c r="E204" s="10" t="s">
        <v>117</v>
      </c>
      <c r="F204" s="11" t="s">
        <v>572</v>
      </c>
      <c r="G204" s="10" t="s">
        <v>505</v>
      </c>
      <c r="H204" s="10" t="s">
        <v>506</v>
      </c>
      <c r="I204" s="11" t="s">
        <v>185</v>
      </c>
      <c r="J204" s="11" t="s">
        <v>913</v>
      </c>
      <c r="K204" s="12" t="n">
        <f aca="false">ROUND((IF(E204="Transactional",5,IF(E204="Commercial",4,IF(E204="Comparison",3,IF(E204="Informational",2,3))))*LOG10(IF(ISNUMBER(L204),L204,IFERROR(VALUE(LEFT(F204,FIND("-",F204)-1)),100))+1))/IF(IF(ISBLANK(M204),G204,M204)="High",5,IF(IF(ISBLANK(M204),G204,M204)="Medium",3,1)),2)</f>
        <v>5.97</v>
      </c>
      <c r="L204" s="10"/>
      <c r="M204" s="10"/>
      <c r="N204" s="10"/>
      <c r="O204" s="10" t="s">
        <v>123</v>
      </c>
      <c r="P204" s="11" t="s">
        <v>508</v>
      </c>
    </row>
    <row r="205" customFormat="false" ht="25.5" hidden="false" customHeight="true" outlineLevel="0" collapsed="false">
      <c r="A205" s="10" t="n">
        <v>344</v>
      </c>
      <c r="B205" s="10" t="n">
        <v>2</v>
      </c>
      <c r="C205" s="10" t="s">
        <v>125</v>
      </c>
      <c r="D205" s="13" t="s">
        <v>914</v>
      </c>
      <c r="E205" s="10" t="s">
        <v>117</v>
      </c>
      <c r="F205" s="11" t="s">
        <v>572</v>
      </c>
      <c r="G205" s="10" t="s">
        <v>505</v>
      </c>
      <c r="H205" s="10" t="s">
        <v>506</v>
      </c>
      <c r="I205" s="11" t="s">
        <v>185</v>
      </c>
      <c r="J205" s="13" t="s">
        <v>915</v>
      </c>
      <c r="K205" s="12" t="n">
        <f aca="false">ROUND((IF(E205="Transactional",5,IF(E205="Commercial",4,IF(E205="Comparison",3,IF(E205="Informational",2,3))))*LOG10(IF(ISNUMBER(L205),L205,IFERROR(VALUE(LEFT(F205,FIND("-",F205)-1)),100))+1))/IF(IF(ISBLANK(M205),G205,M205)="High",5,IF(IF(ISBLANK(M205),G205,M205)="Medium",3,1)),2)</f>
        <v>5.97</v>
      </c>
      <c r="L205" s="10"/>
      <c r="M205" s="10"/>
      <c r="N205" s="10"/>
      <c r="O205" s="10" t="s">
        <v>123</v>
      </c>
      <c r="P205" s="11"/>
    </row>
    <row r="206" customFormat="false" ht="25.5" hidden="false" customHeight="true" outlineLevel="0" collapsed="false">
      <c r="A206" s="10" t="n">
        <v>345</v>
      </c>
      <c r="B206" s="10" t="n">
        <v>2</v>
      </c>
      <c r="C206" s="10" t="s">
        <v>115</v>
      </c>
      <c r="D206" s="11" t="s">
        <v>916</v>
      </c>
      <c r="E206" s="10" t="s">
        <v>117</v>
      </c>
      <c r="F206" s="11" t="s">
        <v>572</v>
      </c>
      <c r="G206" s="10" t="s">
        <v>505</v>
      </c>
      <c r="H206" s="10" t="s">
        <v>506</v>
      </c>
      <c r="I206" s="11" t="s">
        <v>185</v>
      </c>
      <c r="J206" s="11" t="s">
        <v>917</v>
      </c>
      <c r="K206" s="12" t="n">
        <f aca="false">ROUND((IF(E206="Transactional",5,IF(E206="Commercial",4,IF(E206="Comparison",3,IF(E206="Informational",2,3))))*LOG10(IF(ISNUMBER(L206),L206,IFERROR(VALUE(LEFT(F206,FIND("-",F206)-1)),100))+1))/IF(IF(ISBLANK(M206),G206,M206)="High",5,IF(IF(ISBLANK(M206),G206,M206)="Medium",3,1)),2)</f>
        <v>5.97</v>
      </c>
      <c r="L206" s="10"/>
      <c r="M206" s="10"/>
      <c r="N206" s="10"/>
      <c r="O206" s="10" t="s">
        <v>123</v>
      </c>
      <c r="P206" s="11" t="s">
        <v>508</v>
      </c>
    </row>
    <row r="207" customFormat="false" ht="25.5" hidden="false" customHeight="true" outlineLevel="0" collapsed="false">
      <c r="A207" s="10" t="n">
        <v>346</v>
      </c>
      <c r="B207" s="10" t="n">
        <v>2</v>
      </c>
      <c r="C207" s="10" t="s">
        <v>125</v>
      </c>
      <c r="D207" s="13" t="s">
        <v>918</v>
      </c>
      <c r="E207" s="10" t="s">
        <v>117</v>
      </c>
      <c r="F207" s="11" t="s">
        <v>572</v>
      </c>
      <c r="G207" s="10" t="s">
        <v>505</v>
      </c>
      <c r="H207" s="10" t="s">
        <v>506</v>
      </c>
      <c r="I207" s="11" t="s">
        <v>185</v>
      </c>
      <c r="J207" s="13" t="s">
        <v>919</v>
      </c>
      <c r="K207" s="12" t="n">
        <f aca="false">ROUND((IF(E207="Transactional",5,IF(E207="Commercial",4,IF(E207="Comparison",3,IF(E207="Informational",2,3))))*LOG10(IF(ISNUMBER(L207),L207,IFERROR(VALUE(LEFT(F207,FIND("-",F207)-1)),100))+1))/IF(IF(ISBLANK(M207),G207,M207)="High",5,IF(IF(ISBLANK(M207),G207,M207)="Medium",3,1)),2)</f>
        <v>5.97</v>
      </c>
      <c r="L207" s="10"/>
      <c r="M207" s="10"/>
      <c r="N207" s="10"/>
      <c r="O207" s="10" t="s">
        <v>123</v>
      </c>
      <c r="P207" s="11"/>
    </row>
    <row r="208" customFormat="false" ht="25.5" hidden="false" customHeight="true" outlineLevel="0" collapsed="false">
      <c r="A208" s="10" t="n">
        <v>347</v>
      </c>
      <c r="B208" s="10" t="n">
        <v>2</v>
      </c>
      <c r="C208" s="10" t="s">
        <v>115</v>
      </c>
      <c r="D208" s="11" t="s">
        <v>920</v>
      </c>
      <c r="E208" s="10" t="s">
        <v>117</v>
      </c>
      <c r="F208" s="11" t="s">
        <v>572</v>
      </c>
      <c r="G208" s="10" t="s">
        <v>505</v>
      </c>
      <c r="H208" s="10" t="s">
        <v>506</v>
      </c>
      <c r="I208" s="11" t="s">
        <v>185</v>
      </c>
      <c r="J208" s="11" t="s">
        <v>921</v>
      </c>
      <c r="K208" s="12" t="n">
        <f aca="false">ROUND((IF(E208="Transactional",5,IF(E208="Commercial",4,IF(E208="Comparison",3,IF(E208="Informational",2,3))))*LOG10(IF(ISNUMBER(L208),L208,IFERROR(VALUE(LEFT(F208,FIND("-",F208)-1)),100))+1))/IF(IF(ISBLANK(M208),G208,M208)="High",5,IF(IF(ISBLANK(M208),G208,M208)="Medium",3,1)),2)</f>
        <v>5.97</v>
      </c>
      <c r="L208" s="10"/>
      <c r="M208" s="10"/>
      <c r="N208" s="10"/>
      <c r="O208" s="10" t="s">
        <v>123</v>
      </c>
      <c r="P208" s="11" t="s">
        <v>508</v>
      </c>
    </row>
    <row r="209" customFormat="false" ht="25.5" hidden="false" customHeight="true" outlineLevel="0" collapsed="false">
      <c r="A209" s="10" t="n">
        <v>348</v>
      </c>
      <c r="B209" s="10" t="n">
        <v>2</v>
      </c>
      <c r="C209" s="10" t="s">
        <v>125</v>
      </c>
      <c r="D209" s="13" t="s">
        <v>922</v>
      </c>
      <c r="E209" s="10" t="s">
        <v>117</v>
      </c>
      <c r="F209" s="11" t="s">
        <v>572</v>
      </c>
      <c r="G209" s="10" t="s">
        <v>505</v>
      </c>
      <c r="H209" s="10" t="s">
        <v>506</v>
      </c>
      <c r="I209" s="11" t="s">
        <v>185</v>
      </c>
      <c r="J209" s="13" t="s">
        <v>923</v>
      </c>
      <c r="K209" s="12" t="n">
        <f aca="false">ROUND((IF(E209="Transactional",5,IF(E209="Commercial",4,IF(E209="Comparison",3,IF(E209="Informational",2,3))))*LOG10(IF(ISNUMBER(L209),L209,IFERROR(VALUE(LEFT(F209,FIND("-",F209)-1)),100))+1))/IF(IF(ISBLANK(M209),G209,M209)="High",5,IF(IF(ISBLANK(M209),G209,M209)="Medium",3,1)),2)</f>
        <v>5.97</v>
      </c>
      <c r="L209" s="10"/>
      <c r="M209" s="10"/>
      <c r="N209" s="10"/>
      <c r="O209" s="10" t="s">
        <v>123</v>
      </c>
      <c r="P209" s="11"/>
    </row>
    <row r="210" customFormat="false" ht="25.5" hidden="false" customHeight="true" outlineLevel="0" collapsed="false">
      <c r="A210" s="10" t="n">
        <v>349</v>
      </c>
      <c r="B210" s="10" t="n">
        <v>2</v>
      </c>
      <c r="C210" s="10" t="s">
        <v>115</v>
      </c>
      <c r="D210" s="11" t="s">
        <v>924</v>
      </c>
      <c r="E210" s="10" t="s">
        <v>117</v>
      </c>
      <c r="F210" s="11" t="s">
        <v>504</v>
      </c>
      <c r="G210" s="10" t="s">
        <v>505</v>
      </c>
      <c r="H210" s="10" t="s">
        <v>506</v>
      </c>
      <c r="I210" s="11" t="s">
        <v>185</v>
      </c>
      <c r="J210" s="11" t="s">
        <v>925</v>
      </c>
      <c r="K210" s="12" t="n">
        <f aca="false">ROUND((IF(E210="Transactional",5,IF(E210="Commercial",4,IF(E210="Comparison",3,IF(E210="Informational",2,3))))*LOG10(IF(ISNUMBER(L210),L210,IFERROR(VALUE(LEFT(F210,FIND("-",F210)-1)),100))+1))/IF(IF(ISBLANK(M210),G210,M210)="High",5,IF(IF(ISBLANK(M210),G210,M210)="Medium",3,1)),2)</f>
        <v>6.45</v>
      </c>
      <c r="L210" s="10"/>
      <c r="M210" s="10"/>
      <c r="N210" s="10"/>
      <c r="O210" s="10" t="s">
        <v>123</v>
      </c>
      <c r="P210" s="11" t="s">
        <v>508</v>
      </c>
    </row>
    <row r="211" customFormat="false" ht="25.5" hidden="false" customHeight="true" outlineLevel="0" collapsed="false">
      <c r="A211" s="10" t="n">
        <v>350</v>
      </c>
      <c r="B211" s="10" t="n">
        <v>2</v>
      </c>
      <c r="C211" s="10" t="s">
        <v>125</v>
      </c>
      <c r="D211" s="13" t="s">
        <v>926</v>
      </c>
      <c r="E211" s="10" t="s">
        <v>117</v>
      </c>
      <c r="F211" s="11" t="s">
        <v>504</v>
      </c>
      <c r="G211" s="10" t="s">
        <v>505</v>
      </c>
      <c r="H211" s="10" t="s">
        <v>506</v>
      </c>
      <c r="I211" s="11" t="s">
        <v>185</v>
      </c>
      <c r="J211" s="13" t="s">
        <v>927</v>
      </c>
      <c r="K211" s="12" t="n">
        <f aca="false">ROUND((IF(E211="Transactional",5,IF(E211="Commercial",4,IF(E211="Comparison",3,IF(E211="Informational",2,3))))*LOG10(IF(ISNUMBER(L211),L211,IFERROR(VALUE(LEFT(F211,FIND("-",F211)-1)),100))+1))/IF(IF(ISBLANK(M211),G211,M211)="High",5,IF(IF(ISBLANK(M211),G211,M211)="Medium",3,1)),2)</f>
        <v>6.45</v>
      </c>
      <c r="L211" s="10"/>
      <c r="M211" s="10"/>
      <c r="N211" s="10"/>
      <c r="O211" s="10" t="s">
        <v>123</v>
      </c>
      <c r="P211" s="11"/>
    </row>
    <row r="212" customFormat="false" ht="25.5" hidden="false" customHeight="true" outlineLevel="0" collapsed="false">
      <c r="A212" s="10" t="n">
        <v>351</v>
      </c>
      <c r="B212" s="10" t="n">
        <v>2</v>
      </c>
      <c r="C212" s="10" t="s">
        <v>115</v>
      </c>
      <c r="D212" s="11" t="s">
        <v>928</v>
      </c>
      <c r="E212" s="10" t="s">
        <v>117</v>
      </c>
      <c r="F212" s="11" t="s">
        <v>504</v>
      </c>
      <c r="G212" s="10" t="s">
        <v>505</v>
      </c>
      <c r="H212" s="10" t="s">
        <v>506</v>
      </c>
      <c r="I212" s="11" t="s">
        <v>185</v>
      </c>
      <c r="J212" s="11" t="s">
        <v>929</v>
      </c>
      <c r="K212" s="12" t="n">
        <f aca="false">ROUND((IF(E212="Transactional",5,IF(E212="Commercial",4,IF(E212="Comparison",3,IF(E212="Informational",2,3))))*LOG10(IF(ISNUMBER(L212),L212,IFERROR(VALUE(LEFT(F212,FIND("-",F212)-1)),100))+1))/IF(IF(ISBLANK(M212),G212,M212)="High",5,IF(IF(ISBLANK(M212),G212,M212)="Medium",3,1)),2)</f>
        <v>6.45</v>
      </c>
      <c r="L212" s="10"/>
      <c r="M212" s="10"/>
      <c r="N212" s="10"/>
      <c r="O212" s="10" t="s">
        <v>123</v>
      </c>
      <c r="P212" s="11" t="s">
        <v>508</v>
      </c>
    </row>
    <row r="213" customFormat="false" ht="25.5" hidden="false" customHeight="true" outlineLevel="0" collapsed="false">
      <c r="A213" s="10" t="n">
        <v>352</v>
      </c>
      <c r="B213" s="10" t="n">
        <v>2</v>
      </c>
      <c r="C213" s="10" t="s">
        <v>125</v>
      </c>
      <c r="D213" s="13" t="s">
        <v>930</v>
      </c>
      <c r="E213" s="10" t="s">
        <v>117</v>
      </c>
      <c r="F213" s="11" t="s">
        <v>504</v>
      </c>
      <c r="G213" s="10" t="s">
        <v>505</v>
      </c>
      <c r="H213" s="10" t="s">
        <v>506</v>
      </c>
      <c r="I213" s="11" t="s">
        <v>185</v>
      </c>
      <c r="J213" s="13" t="s">
        <v>931</v>
      </c>
      <c r="K213" s="12" t="n">
        <f aca="false">ROUND((IF(E213="Transactional",5,IF(E213="Commercial",4,IF(E213="Comparison",3,IF(E213="Informational",2,3))))*LOG10(IF(ISNUMBER(L213),L213,IFERROR(VALUE(LEFT(F213,FIND("-",F213)-1)),100))+1))/IF(IF(ISBLANK(M213),G213,M213)="High",5,IF(IF(ISBLANK(M213),G213,M213)="Medium",3,1)),2)</f>
        <v>6.45</v>
      </c>
      <c r="L213" s="10"/>
      <c r="M213" s="10"/>
      <c r="N213" s="10"/>
      <c r="O213" s="10" t="s">
        <v>123</v>
      </c>
      <c r="P213" s="11"/>
    </row>
    <row r="214" customFormat="false" ht="25.5" hidden="false" customHeight="true" outlineLevel="0" collapsed="false">
      <c r="A214" s="10" t="n">
        <v>353</v>
      </c>
      <c r="B214" s="10" t="n">
        <v>2</v>
      </c>
      <c r="C214" s="10" t="s">
        <v>115</v>
      </c>
      <c r="D214" s="11" t="s">
        <v>932</v>
      </c>
      <c r="E214" s="10" t="s">
        <v>117</v>
      </c>
      <c r="F214" s="11" t="s">
        <v>504</v>
      </c>
      <c r="G214" s="10" t="s">
        <v>505</v>
      </c>
      <c r="H214" s="10" t="s">
        <v>506</v>
      </c>
      <c r="I214" s="11" t="s">
        <v>185</v>
      </c>
      <c r="J214" s="11" t="s">
        <v>933</v>
      </c>
      <c r="K214" s="12" t="n">
        <f aca="false">ROUND((IF(E214="Transactional",5,IF(E214="Commercial",4,IF(E214="Comparison",3,IF(E214="Informational",2,3))))*LOG10(IF(ISNUMBER(L214),L214,IFERROR(VALUE(LEFT(F214,FIND("-",F214)-1)),100))+1))/IF(IF(ISBLANK(M214),G214,M214)="High",5,IF(IF(ISBLANK(M214),G214,M214)="Medium",3,1)),2)</f>
        <v>6.45</v>
      </c>
      <c r="L214" s="10"/>
      <c r="M214" s="10"/>
      <c r="N214" s="10"/>
      <c r="O214" s="10" t="s">
        <v>123</v>
      </c>
      <c r="P214" s="11" t="s">
        <v>508</v>
      </c>
    </row>
    <row r="215" customFormat="false" ht="25.5" hidden="false" customHeight="true" outlineLevel="0" collapsed="false">
      <c r="A215" s="10" t="n">
        <v>354</v>
      </c>
      <c r="B215" s="10" t="n">
        <v>2</v>
      </c>
      <c r="C215" s="10" t="s">
        <v>125</v>
      </c>
      <c r="D215" s="13" t="s">
        <v>934</v>
      </c>
      <c r="E215" s="10" t="s">
        <v>117</v>
      </c>
      <c r="F215" s="11" t="s">
        <v>504</v>
      </c>
      <c r="G215" s="10" t="s">
        <v>505</v>
      </c>
      <c r="H215" s="10" t="s">
        <v>506</v>
      </c>
      <c r="I215" s="11" t="s">
        <v>185</v>
      </c>
      <c r="J215" s="13" t="s">
        <v>935</v>
      </c>
      <c r="K215" s="12" t="n">
        <f aca="false">ROUND((IF(E215="Transactional",5,IF(E215="Commercial",4,IF(E215="Comparison",3,IF(E215="Informational",2,3))))*LOG10(IF(ISNUMBER(L215),L215,IFERROR(VALUE(LEFT(F215,FIND("-",F215)-1)),100))+1))/IF(IF(ISBLANK(M215),G215,M215)="High",5,IF(IF(ISBLANK(M215),G215,M215)="Medium",3,1)),2)</f>
        <v>6.45</v>
      </c>
      <c r="L215" s="10"/>
      <c r="M215" s="10"/>
      <c r="N215" s="10"/>
      <c r="O215" s="10" t="s">
        <v>123</v>
      </c>
      <c r="P215" s="11"/>
    </row>
    <row r="216" customFormat="false" ht="25.5" hidden="false" customHeight="true" outlineLevel="0" collapsed="false">
      <c r="A216" s="10" t="n">
        <v>355</v>
      </c>
      <c r="B216" s="10" t="n">
        <v>2</v>
      </c>
      <c r="C216" s="10" t="s">
        <v>115</v>
      </c>
      <c r="D216" s="11" t="s">
        <v>936</v>
      </c>
      <c r="E216" s="10" t="s">
        <v>117</v>
      </c>
      <c r="F216" s="11" t="s">
        <v>504</v>
      </c>
      <c r="G216" s="10" t="s">
        <v>505</v>
      </c>
      <c r="H216" s="10" t="s">
        <v>506</v>
      </c>
      <c r="I216" s="11" t="s">
        <v>185</v>
      </c>
      <c r="J216" s="11" t="s">
        <v>937</v>
      </c>
      <c r="K216" s="12" t="n">
        <f aca="false">ROUND((IF(E216="Transactional",5,IF(E216="Commercial",4,IF(E216="Comparison",3,IF(E216="Informational",2,3))))*LOG10(IF(ISNUMBER(L216),L216,IFERROR(VALUE(LEFT(F216,FIND("-",F216)-1)),100))+1))/IF(IF(ISBLANK(M216),G216,M216)="High",5,IF(IF(ISBLANK(M216),G216,M216)="Medium",3,1)),2)</f>
        <v>6.45</v>
      </c>
      <c r="L216" s="10"/>
      <c r="M216" s="10"/>
      <c r="N216" s="10"/>
      <c r="O216" s="10" t="s">
        <v>123</v>
      </c>
      <c r="P216" s="11" t="s">
        <v>508</v>
      </c>
    </row>
    <row r="217" customFormat="false" ht="25.5" hidden="false" customHeight="true" outlineLevel="0" collapsed="false">
      <c r="A217" s="10" t="n">
        <v>356</v>
      </c>
      <c r="B217" s="10" t="n">
        <v>2</v>
      </c>
      <c r="C217" s="10" t="s">
        <v>125</v>
      </c>
      <c r="D217" s="13" t="s">
        <v>938</v>
      </c>
      <c r="E217" s="10" t="s">
        <v>117</v>
      </c>
      <c r="F217" s="11" t="s">
        <v>504</v>
      </c>
      <c r="G217" s="10" t="s">
        <v>505</v>
      </c>
      <c r="H217" s="10" t="s">
        <v>506</v>
      </c>
      <c r="I217" s="11" t="s">
        <v>185</v>
      </c>
      <c r="J217" s="13" t="s">
        <v>939</v>
      </c>
      <c r="K217" s="12" t="n">
        <f aca="false">ROUND((IF(E217="Transactional",5,IF(E217="Commercial",4,IF(E217="Comparison",3,IF(E217="Informational",2,3))))*LOG10(IF(ISNUMBER(L217),L217,IFERROR(VALUE(LEFT(F217,FIND("-",F217)-1)),100))+1))/IF(IF(ISBLANK(M217),G217,M217)="High",5,IF(IF(ISBLANK(M217),G217,M217)="Medium",3,1)),2)</f>
        <v>6.45</v>
      </c>
      <c r="L217" s="10"/>
      <c r="M217" s="10"/>
      <c r="N217" s="10"/>
      <c r="O217" s="10" t="s">
        <v>123</v>
      </c>
      <c r="P217" s="11"/>
    </row>
    <row r="218" customFormat="false" ht="25.5" hidden="false" customHeight="true" outlineLevel="0" collapsed="false">
      <c r="A218" s="10" t="n">
        <v>357</v>
      </c>
      <c r="B218" s="10" t="n">
        <v>2</v>
      </c>
      <c r="C218" s="10" t="s">
        <v>115</v>
      </c>
      <c r="D218" s="11" t="s">
        <v>940</v>
      </c>
      <c r="E218" s="10" t="s">
        <v>117</v>
      </c>
      <c r="F218" s="11" t="s">
        <v>504</v>
      </c>
      <c r="G218" s="10" t="s">
        <v>505</v>
      </c>
      <c r="H218" s="10" t="s">
        <v>506</v>
      </c>
      <c r="I218" s="11" t="s">
        <v>185</v>
      </c>
      <c r="J218" s="11" t="s">
        <v>941</v>
      </c>
      <c r="K218" s="12" t="n">
        <f aca="false">ROUND((IF(E218="Transactional",5,IF(E218="Commercial",4,IF(E218="Comparison",3,IF(E218="Informational",2,3))))*LOG10(IF(ISNUMBER(L218),L218,IFERROR(VALUE(LEFT(F218,FIND("-",F218)-1)),100))+1))/IF(IF(ISBLANK(M218),G218,M218)="High",5,IF(IF(ISBLANK(M218),G218,M218)="Medium",3,1)),2)</f>
        <v>6.45</v>
      </c>
      <c r="L218" s="10"/>
      <c r="M218" s="10"/>
      <c r="N218" s="10"/>
      <c r="O218" s="10" t="s">
        <v>123</v>
      </c>
      <c r="P218" s="11" t="s">
        <v>508</v>
      </c>
    </row>
    <row r="219" customFormat="false" ht="25.5" hidden="false" customHeight="true" outlineLevel="0" collapsed="false">
      <c r="A219" s="10" t="n">
        <v>358</v>
      </c>
      <c r="B219" s="10" t="n">
        <v>2</v>
      </c>
      <c r="C219" s="10" t="s">
        <v>125</v>
      </c>
      <c r="D219" s="13" t="s">
        <v>942</v>
      </c>
      <c r="E219" s="10" t="s">
        <v>117</v>
      </c>
      <c r="F219" s="11" t="s">
        <v>504</v>
      </c>
      <c r="G219" s="10" t="s">
        <v>505</v>
      </c>
      <c r="H219" s="10" t="s">
        <v>506</v>
      </c>
      <c r="I219" s="11" t="s">
        <v>185</v>
      </c>
      <c r="J219" s="13" t="s">
        <v>943</v>
      </c>
      <c r="K219" s="12" t="n">
        <f aca="false">ROUND((IF(E219="Transactional",5,IF(E219="Commercial",4,IF(E219="Comparison",3,IF(E219="Informational",2,3))))*LOG10(IF(ISNUMBER(L219),L219,IFERROR(VALUE(LEFT(F219,FIND("-",F219)-1)),100))+1))/IF(IF(ISBLANK(M219),G219,M219)="High",5,IF(IF(ISBLANK(M219),G219,M219)="Medium",3,1)),2)</f>
        <v>6.45</v>
      </c>
      <c r="L219" s="10"/>
      <c r="M219" s="10"/>
      <c r="N219" s="10"/>
      <c r="O219" s="10" t="s">
        <v>123</v>
      </c>
      <c r="P219" s="11"/>
    </row>
    <row r="220" customFormat="false" ht="25.5" hidden="false" customHeight="true" outlineLevel="0" collapsed="false">
      <c r="A220" s="10" t="n">
        <v>359</v>
      </c>
      <c r="B220" s="10" t="n">
        <v>2</v>
      </c>
      <c r="C220" s="10" t="s">
        <v>115</v>
      </c>
      <c r="D220" s="11" t="s">
        <v>944</v>
      </c>
      <c r="E220" s="10" t="s">
        <v>117</v>
      </c>
      <c r="F220" s="11" t="s">
        <v>504</v>
      </c>
      <c r="G220" s="10" t="s">
        <v>505</v>
      </c>
      <c r="H220" s="10" t="s">
        <v>506</v>
      </c>
      <c r="I220" s="11" t="s">
        <v>185</v>
      </c>
      <c r="J220" s="11" t="s">
        <v>945</v>
      </c>
      <c r="K220" s="12" t="n">
        <f aca="false">ROUND((IF(E220="Transactional",5,IF(E220="Commercial",4,IF(E220="Comparison",3,IF(E220="Informational",2,3))))*LOG10(IF(ISNUMBER(L220),L220,IFERROR(VALUE(LEFT(F220,FIND("-",F220)-1)),100))+1))/IF(IF(ISBLANK(M220),G220,M220)="High",5,IF(IF(ISBLANK(M220),G220,M220)="Medium",3,1)),2)</f>
        <v>6.45</v>
      </c>
      <c r="L220" s="10"/>
      <c r="M220" s="10"/>
      <c r="N220" s="10"/>
      <c r="O220" s="10" t="s">
        <v>123</v>
      </c>
      <c r="P220" s="11" t="s">
        <v>508</v>
      </c>
    </row>
    <row r="221" customFormat="false" ht="25.5" hidden="false" customHeight="true" outlineLevel="0" collapsed="false">
      <c r="A221" s="10" t="n">
        <v>360</v>
      </c>
      <c r="B221" s="10" t="n">
        <v>2</v>
      </c>
      <c r="C221" s="10" t="s">
        <v>125</v>
      </c>
      <c r="D221" s="13" t="s">
        <v>946</v>
      </c>
      <c r="E221" s="10" t="s">
        <v>117</v>
      </c>
      <c r="F221" s="11" t="s">
        <v>504</v>
      </c>
      <c r="G221" s="10" t="s">
        <v>505</v>
      </c>
      <c r="H221" s="10" t="s">
        <v>506</v>
      </c>
      <c r="I221" s="11" t="s">
        <v>185</v>
      </c>
      <c r="J221" s="13" t="s">
        <v>947</v>
      </c>
      <c r="K221" s="12" t="n">
        <f aca="false">ROUND((IF(E221="Transactional",5,IF(E221="Commercial",4,IF(E221="Comparison",3,IF(E221="Informational",2,3))))*LOG10(IF(ISNUMBER(L221),L221,IFERROR(VALUE(LEFT(F221,FIND("-",F221)-1)),100))+1))/IF(IF(ISBLANK(M221),G221,M221)="High",5,IF(IF(ISBLANK(M221),G221,M221)="Medium",3,1)),2)</f>
        <v>6.45</v>
      </c>
      <c r="L221" s="10"/>
      <c r="M221" s="10"/>
      <c r="N221" s="10"/>
      <c r="O221" s="10" t="s">
        <v>123</v>
      </c>
      <c r="P221" s="11"/>
    </row>
    <row r="222" customFormat="false" ht="25.5" hidden="false" customHeight="true" outlineLevel="0" collapsed="false">
      <c r="A222" s="10" t="n">
        <v>361</v>
      </c>
      <c r="B222" s="10" t="n">
        <v>2</v>
      </c>
      <c r="C222" s="10" t="s">
        <v>115</v>
      </c>
      <c r="D222" s="11" t="s">
        <v>948</v>
      </c>
      <c r="E222" s="10" t="s">
        <v>117</v>
      </c>
      <c r="F222" s="11" t="s">
        <v>504</v>
      </c>
      <c r="G222" s="10" t="s">
        <v>505</v>
      </c>
      <c r="H222" s="10" t="s">
        <v>506</v>
      </c>
      <c r="I222" s="11" t="s">
        <v>185</v>
      </c>
      <c r="J222" s="11" t="s">
        <v>949</v>
      </c>
      <c r="K222" s="12" t="n">
        <f aca="false">ROUND((IF(E222="Transactional",5,IF(E222="Commercial",4,IF(E222="Comparison",3,IF(E222="Informational",2,3))))*LOG10(IF(ISNUMBER(L222),L222,IFERROR(VALUE(LEFT(F222,FIND("-",F222)-1)),100))+1))/IF(IF(ISBLANK(M222),G222,M222)="High",5,IF(IF(ISBLANK(M222),G222,M222)="Medium",3,1)),2)</f>
        <v>6.45</v>
      </c>
      <c r="L222" s="10"/>
      <c r="M222" s="10"/>
      <c r="N222" s="10"/>
      <c r="O222" s="10" t="s">
        <v>123</v>
      </c>
      <c r="P222" s="11" t="s">
        <v>508</v>
      </c>
    </row>
    <row r="223" customFormat="false" ht="25.5" hidden="false" customHeight="true" outlineLevel="0" collapsed="false">
      <c r="A223" s="10" t="n">
        <v>362</v>
      </c>
      <c r="B223" s="10" t="n">
        <v>2</v>
      </c>
      <c r="C223" s="10" t="s">
        <v>125</v>
      </c>
      <c r="D223" s="13" t="s">
        <v>950</v>
      </c>
      <c r="E223" s="10" t="s">
        <v>117</v>
      </c>
      <c r="F223" s="11" t="s">
        <v>504</v>
      </c>
      <c r="G223" s="10" t="s">
        <v>505</v>
      </c>
      <c r="H223" s="10" t="s">
        <v>506</v>
      </c>
      <c r="I223" s="11" t="s">
        <v>185</v>
      </c>
      <c r="J223" s="13" t="s">
        <v>951</v>
      </c>
      <c r="K223" s="12" t="n">
        <f aca="false">ROUND((IF(E223="Transactional",5,IF(E223="Commercial",4,IF(E223="Comparison",3,IF(E223="Informational",2,3))))*LOG10(IF(ISNUMBER(L223),L223,IFERROR(VALUE(LEFT(F223,FIND("-",F223)-1)),100))+1))/IF(IF(ISBLANK(M223),G223,M223)="High",5,IF(IF(ISBLANK(M223),G223,M223)="Medium",3,1)),2)</f>
        <v>6.45</v>
      </c>
      <c r="L223" s="10"/>
      <c r="M223" s="10"/>
      <c r="N223" s="10"/>
      <c r="O223" s="10" t="s">
        <v>123</v>
      </c>
      <c r="P223" s="11"/>
    </row>
    <row r="224" customFormat="false" ht="25.5" hidden="false" customHeight="true" outlineLevel="0" collapsed="false">
      <c r="A224" s="10" t="n">
        <v>363</v>
      </c>
      <c r="B224" s="10" t="n">
        <v>2</v>
      </c>
      <c r="C224" s="10" t="s">
        <v>115</v>
      </c>
      <c r="D224" s="11" t="s">
        <v>952</v>
      </c>
      <c r="E224" s="10" t="s">
        <v>117</v>
      </c>
      <c r="F224" s="11" t="s">
        <v>504</v>
      </c>
      <c r="G224" s="10" t="s">
        <v>505</v>
      </c>
      <c r="H224" s="10" t="s">
        <v>506</v>
      </c>
      <c r="I224" s="11" t="s">
        <v>185</v>
      </c>
      <c r="J224" s="11" t="s">
        <v>953</v>
      </c>
      <c r="K224" s="12" t="n">
        <f aca="false">ROUND((IF(E224="Transactional",5,IF(E224="Commercial",4,IF(E224="Comparison",3,IF(E224="Informational",2,3))))*LOG10(IF(ISNUMBER(L224),L224,IFERROR(VALUE(LEFT(F224,FIND("-",F224)-1)),100))+1))/IF(IF(ISBLANK(M224),G224,M224)="High",5,IF(IF(ISBLANK(M224),G224,M224)="Medium",3,1)),2)</f>
        <v>6.45</v>
      </c>
      <c r="L224" s="10"/>
      <c r="M224" s="10"/>
      <c r="N224" s="10"/>
      <c r="O224" s="10" t="s">
        <v>123</v>
      </c>
      <c r="P224" s="11" t="s">
        <v>508</v>
      </c>
    </row>
    <row r="225" customFormat="false" ht="25.5" hidden="false" customHeight="true" outlineLevel="0" collapsed="false">
      <c r="A225" s="10" t="n">
        <v>364</v>
      </c>
      <c r="B225" s="10" t="n">
        <v>2</v>
      </c>
      <c r="C225" s="10" t="s">
        <v>125</v>
      </c>
      <c r="D225" s="13" t="s">
        <v>954</v>
      </c>
      <c r="E225" s="10" t="s">
        <v>117</v>
      </c>
      <c r="F225" s="11" t="s">
        <v>504</v>
      </c>
      <c r="G225" s="10" t="s">
        <v>505</v>
      </c>
      <c r="H225" s="10" t="s">
        <v>506</v>
      </c>
      <c r="I225" s="11" t="s">
        <v>185</v>
      </c>
      <c r="J225" s="13" t="s">
        <v>955</v>
      </c>
      <c r="K225" s="12" t="n">
        <f aca="false">ROUND((IF(E225="Transactional",5,IF(E225="Commercial",4,IF(E225="Comparison",3,IF(E225="Informational",2,3))))*LOG10(IF(ISNUMBER(L225),L225,IFERROR(VALUE(LEFT(F225,FIND("-",F225)-1)),100))+1))/IF(IF(ISBLANK(M225),G225,M225)="High",5,IF(IF(ISBLANK(M225),G225,M225)="Medium",3,1)),2)</f>
        <v>6.45</v>
      </c>
      <c r="L225" s="10"/>
      <c r="M225" s="10"/>
      <c r="N225" s="10"/>
      <c r="O225" s="10" t="s">
        <v>123</v>
      </c>
      <c r="P225" s="11"/>
    </row>
    <row r="226" customFormat="false" ht="25.5" hidden="false" customHeight="true" outlineLevel="0" collapsed="false">
      <c r="A226" s="10" t="n">
        <v>365</v>
      </c>
      <c r="B226" s="10" t="n">
        <v>2</v>
      </c>
      <c r="C226" s="10" t="s">
        <v>115</v>
      </c>
      <c r="D226" s="11" t="s">
        <v>956</v>
      </c>
      <c r="E226" s="10" t="s">
        <v>117</v>
      </c>
      <c r="F226" s="11" t="s">
        <v>504</v>
      </c>
      <c r="G226" s="10" t="s">
        <v>505</v>
      </c>
      <c r="H226" s="10" t="s">
        <v>506</v>
      </c>
      <c r="I226" s="11" t="s">
        <v>185</v>
      </c>
      <c r="J226" s="11" t="s">
        <v>957</v>
      </c>
      <c r="K226" s="12" t="n">
        <f aca="false">ROUND((IF(E226="Transactional",5,IF(E226="Commercial",4,IF(E226="Comparison",3,IF(E226="Informational",2,3))))*LOG10(IF(ISNUMBER(L226),L226,IFERROR(VALUE(LEFT(F226,FIND("-",F226)-1)),100))+1))/IF(IF(ISBLANK(M226),G226,M226)="High",5,IF(IF(ISBLANK(M226),G226,M226)="Medium",3,1)),2)</f>
        <v>6.45</v>
      </c>
      <c r="L226" s="10"/>
      <c r="M226" s="10"/>
      <c r="N226" s="10"/>
      <c r="O226" s="10" t="s">
        <v>123</v>
      </c>
      <c r="P226" s="11" t="s">
        <v>508</v>
      </c>
    </row>
    <row r="227" customFormat="false" ht="25.5" hidden="false" customHeight="true" outlineLevel="0" collapsed="false">
      <c r="A227" s="10" t="n">
        <v>366</v>
      </c>
      <c r="B227" s="10" t="n">
        <v>2</v>
      </c>
      <c r="C227" s="10" t="s">
        <v>125</v>
      </c>
      <c r="D227" s="13" t="s">
        <v>958</v>
      </c>
      <c r="E227" s="10" t="s">
        <v>117</v>
      </c>
      <c r="F227" s="11" t="s">
        <v>504</v>
      </c>
      <c r="G227" s="10" t="s">
        <v>505</v>
      </c>
      <c r="H227" s="10" t="s">
        <v>506</v>
      </c>
      <c r="I227" s="11" t="s">
        <v>185</v>
      </c>
      <c r="J227" s="13" t="s">
        <v>959</v>
      </c>
      <c r="K227" s="12" t="n">
        <f aca="false">ROUND((IF(E227="Transactional",5,IF(E227="Commercial",4,IF(E227="Comparison",3,IF(E227="Informational",2,3))))*LOG10(IF(ISNUMBER(L227),L227,IFERROR(VALUE(LEFT(F227,FIND("-",F227)-1)),100))+1))/IF(IF(ISBLANK(M227),G227,M227)="High",5,IF(IF(ISBLANK(M227),G227,M227)="Medium",3,1)),2)</f>
        <v>6.45</v>
      </c>
      <c r="L227" s="10"/>
      <c r="M227" s="10"/>
      <c r="N227" s="10"/>
      <c r="O227" s="10" t="s">
        <v>123</v>
      </c>
      <c r="P227" s="11"/>
    </row>
    <row r="228" customFormat="false" ht="25.5" hidden="false" customHeight="true" outlineLevel="0" collapsed="false">
      <c r="A228" s="10" t="n">
        <v>367</v>
      </c>
      <c r="B228" s="10" t="n">
        <v>2</v>
      </c>
      <c r="C228" s="10" t="s">
        <v>115</v>
      </c>
      <c r="D228" s="11" t="s">
        <v>960</v>
      </c>
      <c r="E228" s="10" t="s">
        <v>117</v>
      </c>
      <c r="F228" s="11" t="s">
        <v>504</v>
      </c>
      <c r="G228" s="10" t="s">
        <v>505</v>
      </c>
      <c r="H228" s="10" t="s">
        <v>506</v>
      </c>
      <c r="I228" s="11" t="s">
        <v>185</v>
      </c>
      <c r="J228" s="11" t="s">
        <v>961</v>
      </c>
      <c r="K228" s="12" t="n">
        <f aca="false">ROUND((IF(E228="Transactional",5,IF(E228="Commercial",4,IF(E228="Comparison",3,IF(E228="Informational",2,3))))*LOG10(IF(ISNUMBER(L228),L228,IFERROR(VALUE(LEFT(F228,FIND("-",F228)-1)),100))+1))/IF(IF(ISBLANK(M228),G228,M228)="High",5,IF(IF(ISBLANK(M228),G228,M228)="Medium",3,1)),2)</f>
        <v>6.45</v>
      </c>
      <c r="L228" s="10"/>
      <c r="M228" s="10"/>
      <c r="N228" s="10"/>
      <c r="O228" s="10" t="s">
        <v>123</v>
      </c>
      <c r="P228" s="11" t="s">
        <v>508</v>
      </c>
    </row>
    <row r="229" customFormat="false" ht="25.5" hidden="false" customHeight="true" outlineLevel="0" collapsed="false">
      <c r="A229" s="10" t="n">
        <v>368</v>
      </c>
      <c r="B229" s="10" t="n">
        <v>2</v>
      </c>
      <c r="C229" s="10" t="s">
        <v>125</v>
      </c>
      <c r="D229" s="13" t="s">
        <v>962</v>
      </c>
      <c r="E229" s="10" t="s">
        <v>117</v>
      </c>
      <c r="F229" s="11" t="s">
        <v>504</v>
      </c>
      <c r="G229" s="10" t="s">
        <v>505</v>
      </c>
      <c r="H229" s="10" t="s">
        <v>506</v>
      </c>
      <c r="I229" s="11" t="s">
        <v>185</v>
      </c>
      <c r="J229" s="13" t="s">
        <v>963</v>
      </c>
      <c r="K229" s="12" t="n">
        <f aca="false">ROUND((IF(E229="Transactional",5,IF(E229="Commercial",4,IF(E229="Comparison",3,IF(E229="Informational",2,3))))*LOG10(IF(ISNUMBER(L229),L229,IFERROR(VALUE(LEFT(F229,FIND("-",F229)-1)),100))+1))/IF(IF(ISBLANK(M229),G229,M229)="High",5,IF(IF(ISBLANK(M229),G229,M229)="Medium",3,1)),2)</f>
        <v>6.45</v>
      </c>
      <c r="L229" s="10"/>
      <c r="M229" s="10"/>
      <c r="N229" s="10"/>
      <c r="O229" s="10" t="s">
        <v>123</v>
      </c>
      <c r="P229" s="11"/>
    </row>
    <row r="230" customFormat="false" ht="25.5" hidden="false" customHeight="true" outlineLevel="0" collapsed="false">
      <c r="A230" s="10" t="n">
        <v>369</v>
      </c>
      <c r="B230" s="10" t="n">
        <v>2</v>
      </c>
      <c r="C230" s="10" t="s">
        <v>115</v>
      </c>
      <c r="D230" s="11" t="s">
        <v>964</v>
      </c>
      <c r="E230" s="10" t="s">
        <v>117</v>
      </c>
      <c r="F230" s="11" t="s">
        <v>504</v>
      </c>
      <c r="G230" s="10" t="s">
        <v>505</v>
      </c>
      <c r="H230" s="10" t="s">
        <v>506</v>
      </c>
      <c r="I230" s="11" t="s">
        <v>185</v>
      </c>
      <c r="J230" s="11" t="s">
        <v>965</v>
      </c>
      <c r="K230" s="12" t="n">
        <f aca="false">ROUND((IF(E230="Transactional",5,IF(E230="Commercial",4,IF(E230="Comparison",3,IF(E230="Informational",2,3))))*LOG10(IF(ISNUMBER(L230),L230,IFERROR(VALUE(LEFT(F230,FIND("-",F230)-1)),100))+1))/IF(IF(ISBLANK(M230),G230,M230)="High",5,IF(IF(ISBLANK(M230),G230,M230)="Medium",3,1)),2)</f>
        <v>6.45</v>
      </c>
      <c r="L230" s="10"/>
      <c r="M230" s="10"/>
      <c r="N230" s="10"/>
      <c r="O230" s="10" t="s">
        <v>123</v>
      </c>
      <c r="P230" s="11" t="s">
        <v>508</v>
      </c>
    </row>
    <row r="231" customFormat="false" ht="25.5" hidden="false" customHeight="true" outlineLevel="0" collapsed="false">
      <c r="A231" s="10" t="n">
        <v>370</v>
      </c>
      <c r="B231" s="10" t="n">
        <v>2</v>
      </c>
      <c r="C231" s="10" t="s">
        <v>125</v>
      </c>
      <c r="D231" s="13" t="s">
        <v>966</v>
      </c>
      <c r="E231" s="10" t="s">
        <v>117</v>
      </c>
      <c r="F231" s="11" t="s">
        <v>504</v>
      </c>
      <c r="G231" s="10" t="s">
        <v>505</v>
      </c>
      <c r="H231" s="10" t="s">
        <v>506</v>
      </c>
      <c r="I231" s="11" t="s">
        <v>185</v>
      </c>
      <c r="J231" s="13" t="s">
        <v>967</v>
      </c>
      <c r="K231" s="12" t="n">
        <f aca="false">ROUND((IF(E231="Transactional",5,IF(E231="Commercial",4,IF(E231="Comparison",3,IF(E231="Informational",2,3))))*LOG10(IF(ISNUMBER(L231),L231,IFERROR(VALUE(LEFT(F231,FIND("-",F231)-1)),100))+1))/IF(IF(ISBLANK(M231),G231,M231)="High",5,IF(IF(ISBLANK(M231),G231,M231)="Medium",3,1)),2)</f>
        <v>6.45</v>
      </c>
      <c r="L231" s="10"/>
      <c r="M231" s="10"/>
      <c r="N231" s="10"/>
      <c r="O231" s="10" t="s">
        <v>123</v>
      </c>
      <c r="P231" s="11"/>
    </row>
    <row r="232" customFormat="false" ht="25.5" hidden="false" customHeight="true" outlineLevel="0" collapsed="false">
      <c r="A232" s="10" t="n">
        <v>371</v>
      </c>
      <c r="B232" s="10" t="n">
        <v>2</v>
      </c>
      <c r="C232" s="10" t="s">
        <v>115</v>
      </c>
      <c r="D232" s="11" t="s">
        <v>968</v>
      </c>
      <c r="E232" s="10" t="s">
        <v>117</v>
      </c>
      <c r="F232" s="11" t="s">
        <v>504</v>
      </c>
      <c r="G232" s="10" t="s">
        <v>505</v>
      </c>
      <c r="H232" s="10" t="s">
        <v>506</v>
      </c>
      <c r="I232" s="11" t="s">
        <v>185</v>
      </c>
      <c r="J232" s="11" t="s">
        <v>969</v>
      </c>
      <c r="K232" s="12" t="n">
        <f aca="false">ROUND((IF(E232="Transactional",5,IF(E232="Commercial",4,IF(E232="Comparison",3,IF(E232="Informational",2,3))))*LOG10(IF(ISNUMBER(L232),L232,IFERROR(VALUE(LEFT(F232,FIND("-",F232)-1)),100))+1))/IF(IF(ISBLANK(M232),G232,M232)="High",5,IF(IF(ISBLANK(M232),G232,M232)="Medium",3,1)),2)</f>
        <v>6.45</v>
      </c>
      <c r="L232" s="10"/>
      <c r="M232" s="10"/>
      <c r="N232" s="10"/>
      <c r="O232" s="10" t="s">
        <v>123</v>
      </c>
      <c r="P232" s="11" t="s">
        <v>508</v>
      </c>
    </row>
    <row r="233" customFormat="false" ht="25.5" hidden="false" customHeight="true" outlineLevel="0" collapsed="false">
      <c r="A233" s="10" t="n">
        <v>372</v>
      </c>
      <c r="B233" s="10" t="n">
        <v>2</v>
      </c>
      <c r="C233" s="10" t="s">
        <v>125</v>
      </c>
      <c r="D233" s="13" t="s">
        <v>970</v>
      </c>
      <c r="E233" s="10" t="s">
        <v>117</v>
      </c>
      <c r="F233" s="11" t="s">
        <v>504</v>
      </c>
      <c r="G233" s="10" t="s">
        <v>505</v>
      </c>
      <c r="H233" s="10" t="s">
        <v>506</v>
      </c>
      <c r="I233" s="11" t="s">
        <v>185</v>
      </c>
      <c r="J233" s="13" t="s">
        <v>971</v>
      </c>
      <c r="K233" s="12" t="n">
        <f aca="false">ROUND((IF(E233="Transactional",5,IF(E233="Commercial",4,IF(E233="Comparison",3,IF(E233="Informational",2,3))))*LOG10(IF(ISNUMBER(L233),L233,IFERROR(VALUE(LEFT(F233,FIND("-",F233)-1)),100))+1))/IF(IF(ISBLANK(M233),G233,M233)="High",5,IF(IF(ISBLANK(M233),G233,M233)="Medium",3,1)),2)</f>
        <v>6.45</v>
      </c>
      <c r="L233" s="10"/>
      <c r="M233" s="10"/>
      <c r="N233" s="10"/>
      <c r="O233" s="10" t="s">
        <v>123</v>
      </c>
      <c r="P233" s="11"/>
    </row>
    <row r="234" customFormat="false" ht="25.5" hidden="false" customHeight="true" outlineLevel="0" collapsed="false">
      <c r="A234" s="10" t="n">
        <v>373</v>
      </c>
      <c r="B234" s="10" t="n">
        <v>2</v>
      </c>
      <c r="C234" s="10" t="s">
        <v>115</v>
      </c>
      <c r="D234" s="11" t="s">
        <v>972</v>
      </c>
      <c r="E234" s="10" t="s">
        <v>117</v>
      </c>
      <c r="F234" s="11" t="s">
        <v>504</v>
      </c>
      <c r="G234" s="10" t="s">
        <v>505</v>
      </c>
      <c r="H234" s="10" t="s">
        <v>506</v>
      </c>
      <c r="I234" s="11" t="s">
        <v>185</v>
      </c>
      <c r="J234" s="11" t="s">
        <v>973</v>
      </c>
      <c r="K234" s="12" t="n">
        <f aca="false">ROUND((IF(E234="Transactional",5,IF(E234="Commercial",4,IF(E234="Comparison",3,IF(E234="Informational",2,3))))*LOG10(IF(ISNUMBER(L234),L234,IFERROR(VALUE(LEFT(F234,FIND("-",F234)-1)),100))+1))/IF(IF(ISBLANK(M234),G234,M234)="High",5,IF(IF(ISBLANK(M234),G234,M234)="Medium",3,1)),2)</f>
        <v>6.45</v>
      </c>
      <c r="L234" s="10"/>
      <c r="M234" s="10"/>
      <c r="N234" s="10"/>
      <c r="O234" s="10" t="s">
        <v>123</v>
      </c>
      <c r="P234" s="11" t="s">
        <v>508</v>
      </c>
    </row>
    <row r="235" customFormat="false" ht="25.5" hidden="false" customHeight="true" outlineLevel="0" collapsed="false">
      <c r="A235" s="10" t="n">
        <v>374</v>
      </c>
      <c r="B235" s="10" t="n">
        <v>2</v>
      </c>
      <c r="C235" s="10" t="s">
        <v>125</v>
      </c>
      <c r="D235" s="13" t="s">
        <v>974</v>
      </c>
      <c r="E235" s="10" t="s">
        <v>117</v>
      </c>
      <c r="F235" s="11" t="s">
        <v>504</v>
      </c>
      <c r="G235" s="10" t="s">
        <v>505</v>
      </c>
      <c r="H235" s="10" t="s">
        <v>506</v>
      </c>
      <c r="I235" s="11" t="s">
        <v>185</v>
      </c>
      <c r="J235" s="13" t="s">
        <v>975</v>
      </c>
      <c r="K235" s="12" t="n">
        <f aca="false">ROUND((IF(E235="Transactional",5,IF(E235="Commercial",4,IF(E235="Comparison",3,IF(E235="Informational",2,3))))*LOG10(IF(ISNUMBER(L235),L235,IFERROR(VALUE(LEFT(F235,FIND("-",F235)-1)),100))+1))/IF(IF(ISBLANK(M235),G235,M235)="High",5,IF(IF(ISBLANK(M235),G235,M235)="Medium",3,1)),2)</f>
        <v>6.45</v>
      </c>
      <c r="L235" s="10"/>
      <c r="M235" s="10"/>
      <c r="N235" s="10"/>
      <c r="O235" s="10" t="s">
        <v>123</v>
      </c>
      <c r="P235" s="11"/>
    </row>
    <row r="236" customFormat="false" ht="25.5" hidden="false" customHeight="true" outlineLevel="0" collapsed="false">
      <c r="A236" s="10" t="n">
        <v>375</v>
      </c>
      <c r="B236" s="10" t="n">
        <v>2</v>
      </c>
      <c r="C236" s="10" t="s">
        <v>115</v>
      </c>
      <c r="D236" s="11" t="s">
        <v>976</v>
      </c>
      <c r="E236" s="10" t="s">
        <v>117</v>
      </c>
      <c r="F236" s="11" t="s">
        <v>504</v>
      </c>
      <c r="G236" s="10" t="s">
        <v>505</v>
      </c>
      <c r="H236" s="10" t="s">
        <v>506</v>
      </c>
      <c r="I236" s="11" t="s">
        <v>185</v>
      </c>
      <c r="J236" s="11" t="s">
        <v>977</v>
      </c>
      <c r="K236" s="12" t="n">
        <f aca="false">ROUND((IF(E236="Transactional",5,IF(E236="Commercial",4,IF(E236="Comparison",3,IF(E236="Informational",2,3))))*LOG10(IF(ISNUMBER(L236),L236,IFERROR(VALUE(LEFT(F236,FIND("-",F236)-1)),100))+1))/IF(IF(ISBLANK(M236),G236,M236)="High",5,IF(IF(ISBLANK(M236),G236,M236)="Medium",3,1)),2)</f>
        <v>6.45</v>
      </c>
      <c r="L236" s="10"/>
      <c r="M236" s="10"/>
      <c r="N236" s="10"/>
      <c r="O236" s="10" t="s">
        <v>123</v>
      </c>
      <c r="P236" s="11" t="s">
        <v>508</v>
      </c>
    </row>
    <row r="237" customFormat="false" ht="25.5" hidden="false" customHeight="true" outlineLevel="0" collapsed="false">
      <c r="A237" s="10" t="n">
        <v>376</v>
      </c>
      <c r="B237" s="10" t="n">
        <v>2</v>
      </c>
      <c r="C237" s="10" t="s">
        <v>125</v>
      </c>
      <c r="D237" s="13" t="s">
        <v>978</v>
      </c>
      <c r="E237" s="10" t="s">
        <v>117</v>
      </c>
      <c r="F237" s="11" t="s">
        <v>504</v>
      </c>
      <c r="G237" s="10" t="s">
        <v>505</v>
      </c>
      <c r="H237" s="10" t="s">
        <v>506</v>
      </c>
      <c r="I237" s="11" t="s">
        <v>185</v>
      </c>
      <c r="J237" s="13" t="s">
        <v>979</v>
      </c>
      <c r="K237" s="12" t="n">
        <f aca="false">ROUND((IF(E237="Transactional",5,IF(E237="Commercial",4,IF(E237="Comparison",3,IF(E237="Informational",2,3))))*LOG10(IF(ISNUMBER(L237),L237,IFERROR(VALUE(LEFT(F237,FIND("-",F237)-1)),100))+1))/IF(IF(ISBLANK(M237),G237,M237)="High",5,IF(IF(ISBLANK(M237),G237,M237)="Medium",3,1)),2)</f>
        <v>6.45</v>
      </c>
      <c r="L237" s="10"/>
      <c r="M237" s="10"/>
      <c r="N237" s="10"/>
      <c r="O237" s="10" t="s">
        <v>123</v>
      </c>
      <c r="P237" s="11"/>
    </row>
    <row r="238" customFormat="false" ht="25.5" hidden="false" customHeight="true" outlineLevel="0" collapsed="false">
      <c r="A238" s="10" t="n">
        <v>377</v>
      </c>
      <c r="B238" s="10" t="n">
        <v>2</v>
      </c>
      <c r="C238" s="10" t="s">
        <v>115</v>
      </c>
      <c r="D238" s="11" t="s">
        <v>980</v>
      </c>
      <c r="E238" s="10" t="s">
        <v>117</v>
      </c>
      <c r="F238" s="11" t="s">
        <v>504</v>
      </c>
      <c r="G238" s="10" t="s">
        <v>505</v>
      </c>
      <c r="H238" s="10" t="s">
        <v>506</v>
      </c>
      <c r="I238" s="11" t="s">
        <v>185</v>
      </c>
      <c r="J238" s="11" t="s">
        <v>981</v>
      </c>
      <c r="K238" s="12" t="n">
        <f aca="false">ROUND((IF(E238="Transactional",5,IF(E238="Commercial",4,IF(E238="Comparison",3,IF(E238="Informational",2,3))))*LOG10(IF(ISNUMBER(L238),L238,IFERROR(VALUE(LEFT(F238,FIND("-",F238)-1)),100))+1))/IF(IF(ISBLANK(M238),G238,M238)="High",5,IF(IF(ISBLANK(M238),G238,M238)="Medium",3,1)),2)</f>
        <v>6.45</v>
      </c>
      <c r="L238" s="10"/>
      <c r="M238" s="10"/>
      <c r="N238" s="10"/>
      <c r="O238" s="10" t="s">
        <v>123</v>
      </c>
      <c r="P238" s="11" t="s">
        <v>508</v>
      </c>
    </row>
    <row r="239" customFormat="false" ht="25.5" hidden="false" customHeight="true" outlineLevel="0" collapsed="false">
      <c r="A239" s="10" t="n">
        <v>378</v>
      </c>
      <c r="B239" s="10" t="n">
        <v>2</v>
      </c>
      <c r="C239" s="10" t="s">
        <v>125</v>
      </c>
      <c r="D239" s="13" t="s">
        <v>982</v>
      </c>
      <c r="E239" s="10" t="s">
        <v>117</v>
      </c>
      <c r="F239" s="11" t="s">
        <v>504</v>
      </c>
      <c r="G239" s="10" t="s">
        <v>505</v>
      </c>
      <c r="H239" s="10" t="s">
        <v>506</v>
      </c>
      <c r="I239" s="11" t="s">
        <v>185</v>
      </c>
      <c r="J239" s="13" t="s">
        <v>983</v>
      </c>
      <c r="K239" s="12" t="n">
        <f aca="false">ROUND((IF(E239="Transactional",5,IF(E239="Commercial",4,IF(E239="Comparison",3,IF(E239="Informational",2,3))))*LOG10(IF(ISNUMBER(L239),L239,IFERROR(VALUE(LEFT(F239,FIND("-",F239)-1)),100))+1))/IF(IF(ISBLANK(M239),G239,M239)="High",5,IF(IF(ISBLANK(M239),G239,M239)="Medium",3,1)),2)</f>
        <v>6.45</v>
      </c>
      <c r="L239" s="10"/>
      <c r="M239" s="10"/>
      <c r="N239" s="10"/>
      <c r="O239" s="10" t="s">
        <v>123</v>
      </c>
      <c r="P239" s="11"/>
    </row>
    <row r="240" customFormat="false" ht="25.5" hidden="false" customHeight="true" outlineLevel="0" collapsed="false">
      <c r="A240" s="10" t="n">
        <v>379</v>
      </c>
      <c r="B240" s="10" t="n">
        <v>2</v>
      </c>
      <c r="C240" s="10" t="s">
        <v>115</v>
      </c>
      <c r="D240" s="11" t="s">
        <v>984</v>
      </c>
      <c r="E240" s="10" t="s">
        <v>117</v>
      </c>
      <c r="F240" s="11" t="s">
        <v>504</v>
      </c>
      <c r="G240" s="10" t="s">
        <v>505</v>
      </c>
      <c r="H240" s="10" t="s">
        <v>506</v>
      </c>
      <c r="I240" s="11" t="s">
        <v>185</v>
      </c>
      <c r="J240" s="11" t="s">
        <v>985</v>
      </c>
      <c r="K240" s="12" t="n">
        <f aca="false">ROUND((IF(E240="Transactional",5,IF(E240="Commercial",4,IF(E240="Comparison",3,IF(E240="Informational",2,3))))*LOG10(IF(ISNUMBER(L240),L240,IFERROR(VALUE(LEFT(F240,FIND("-",F240)-1)),100))+1))/IF(IF(ISBLANK(M240),G240,M240)="High",5,IF(IF(ISBLANK(M240),G240,M240)="Medium",3,1)),2)</f>
        <v>6.45</v>
      </c>
      <c r="L240" s="10"/>
      <c r="M240" s="10"/>
      <c r="N240" s="10"/>
      <c r="O240" s="10" t="s">
        <v>123</v>
      </c>
      <c r="P240" s="11" t="s">
        <v>508</v>
      </c>
    </row>
    <row r="241" customFormat="false" ht="25.5" hidden="false" customHeight="true" outlineLevel="0" collapsed="false">
      <c r="A241" s="10" t="n">
        <v>380</v>
      </c>
      <c r="B241" s="10" t="n">
        <v>2</v>
      </c>
      <c r="C241" s="10" t="s">
        <v>125</v>
      </c>
      <c r="D241" s="13" t="s">
        <v>986</v>
      </c>
      <c r="E241" s="10" t="s">
        <v>117</v>
      </c>
      <c r="F241" s="11" t="s">
        <v>504</v>
      </c>
      <c r="G241" s="10" t="s">
        <v>505</v>
      </c>
      <c r="H241" s="10" t="s">
        <v>506</v>
      </c>
      <c r="I241" s="11" t="s">
        <v>185</v>
      </c>
      <c r="J241" s="13" t="s">
        <v>987</v>
      </c>
      <c r="K241" s="12" t="n">
        <f aca="false">ROUND((IF(E241="Transactional",5,IF(E241="Commercial",4,IF(E241="Comparison",3,IF(E241="Informational",2,3))))*LOG10(IF(ISNUMBER(L241),L241,IFERROR(VALUE(LEFT(F241,FIND("-",F241)-1)),100))+1))/IF(IF(ISBLANK(M241),G241,M241)="High",5,IF(IF(ISBLANK(M241),G241,M241)="Medium",3,1)),2)</f>
        <v>6.45</v>
      </c>
      <c r="L241" s="10"/>
      <c r="M241" s="10"/>
      <c r="N241" s="10"/>
      <c r="O241" s="10" t="s">
        <v>123</v>
      </c>
      <c r="P241" s="11"/>
    </row>
  </sheetData>
  <conditionalFormatting sqref="K2:K241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241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241" type="list">
      <formula1>"EN,AR,FA"</formula1>
      <formula2>0</formula2>
    </dataValidation>
    <dataValidation allowBlank="true" errorStyle="stop" operator="between" showDropDown="false" showErrorMessage="false" showInputMessage="false" sqref="E2:E241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241 M2:M241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14" t="n">
        <v>381</v>
      </c>
      <c r="B2" s="14" t="n">
        <v>3</v>
      </c>
      <c r="C2" s="14" t="s">
        <v>115</v>
      </c>
      <c r="D2" s="15" t="s">
        <v>988</v>
      </c>
      <c r="E2" s="14" t="s">
        <v>117</v>
      </c>
      <c r="F2" s="15" t="s">
        <v>989</v>
      </c>
      <c r="G2" s="14" t="s">
        <v>505</v>
      </c>
      <c r="H2" s="14" t="s">
        <v>990</v>
      </c>
      <c r="I2" s="15" t="s">
        <v>121</v>
      </c>
      <c r="J2" s="15" t="s">
        <v>991</v>
      </c>
      <c r="K2" s="16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9.91</v>
      </c>
      <c r="L2" s="14"/>
      <c r="M2" s="14"/>
      <c r="N2" s="14"/>
      <c r="O2" s="14" t="s">
        <v>123</v>
      </c>
      <c r="P2" s="15" t="s">
        <v>992</v>
      </c>
    </row>
    <row r="3" customFormat="false" ht="25.5" hidden="false" customHeight="true" outlineLevel="0" collapsed="false">
      <c r="A3" s="14" t="n">
        <v>382</v>
      </c>
      <c r="B3" s="14" t="n">
        <v>3</v>
      </c>
      <c r="C3" s="14" t="s">
        <v>125</v>
      </c>
      <c r="D3" s="17" t="s">
        <v>993</v>
      </c>
      <c r="E3" s="14" t="s">
        <v>117</v>
      </c>
      <c r="F3" s="15" t="s">
        <v>994</v>
      </c>
      <c r="G3" s="14" t="s">
        <v>505</v>
      </c>
      <c r="H3" s="14" t="s">
        <v>990</v>
      </c>
      <c r="I3" s="15" t="s">
        <v>121</v>
      </c>
      <c r="J3" s="17" t="s">
        <v>995</v>
      </c>
      <c r="K3" s="16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9.6</v>
      </c>
      <c r="L3" s="14"/>
      <c r="M3" s="14"/>
      <c r="N3" s="14"/>
      <c r="O3" s="14" t="s">
        <v>123</v>
      </c>
      <c r="P3" s="15"/>
    </row>
    <row r="4" customFormat="false" ht="25.5" hidden="false" customHeight="true" outlineLevel="0" collapsed="false">
      <c r="A4" s="14" t="n">
        <v>383</v>
      </c>
      <c r="B4" s="14" t="n">
        <v>3</v>
      </c>
      <c r="C4" s="14" t="s">
        <v>115</v>
      </c>
      <c r="D4" s="15" t="s">
        <v>996</v>
      </c>
      <c r="E4" s="14" t="s">
        <v>117</v>
      </c>
      <c r="F4" s="15" t="s">
        <v>997</v>
      </c>
      <c r="G4" s="14" t="s">
        <v>505</v>
      </c>
      <c r="H4" s="14" t="s">
        <v>990</v>
      </c>
      <c r="I4" s="15" t="s">
        <v>121</v>
      </c>
      <c r="J4" s="15" t="s">
        <v>998</v>
      </c>
      <c r="K4" s="16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9.21</v>
      </c>
      <c r="L4" s="14"/>
      <c r="M4" s="14"/>
      <c r="N4" s="14"/>
      <c r="O4" s="14" t="s">
        <v>123</v>
      </c>
      <c r="P4" s="15" t="s">
        <v>992</v>
      </c>
    </row>
    <row r="5" customFormat="false" ht="25.5" hidden="false" customHeight="true" outlineLevel="0" collapsed="false">
      <c r="A5" s="14" t="n">
        <v>384</v>
      </c>
      <c r="B5" s="14" t="n">
        <v>3</v>
      </c>
      <c r="C5" s="14" t="s">
        <v>125</v>
      </c>
      <c r="D5" s="17" t="s">
        <v>999</v>
      </c>
      <c r="E5" s="14" t="s">
        <v>117</v>
      </c>
      <c r="F5" s="15" t="s">
        <v>1000</v>
      </c>
      <c r="G5" s="14" t="s">
        <v>505</v>
      </c>
      <c r="H5" s="14" t="s">
        <v>990</v>
      </c>
      <c r="I5" s="15" t="s">
        <v>121</v>
      </c>
      <c r="J5" s="17" t="s">
        <v>1001</v>
      </c>
      <c r="K5" s="16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8.72</v>
      </c>
      <c r="L5" s="14"/>
      <c r="M5" s="14"/>
      <c r="N5" s="14"/>
      <c r="O5" s="14" t="s">
        <v>123</v>
      </c>
      <c r="P5" s="15"/>
    </row>
    <row r="6" customFormat="false" ht="25.5" hidden="false" customHeight="true" outlineLevel="0" collapsed="false">
      <c r="A6" s="14" t="n">
        <v>385</v>
      </c>
      <c r="B6" s="14" t="n">
        <v>3</v>
      </c>
      <c r="C6" s="14" t="s">
        <v>115</v>
      </c>
      <c r="D6" s="15" t="s">
        <v>1002</v>
      </c>
      <c r="E6" s="14" t="s">
        <v>117</v>
      </c>
      <c r="F6" s="15" t="s">
        <v>997</v>
      </c>
      <c r="G6" s="14" t="s">
        <v>505</v>
      </c>
      <c r="H6" s="14" t="s">
        <v>990</v>
      </c>
      <c r="I6" s="15" t="s">
        <v>121</v>
      </c>
      <c r="J6" s="15" t="s">
        <v>1003</v>
      </c>
      <c r="K6" s="16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9.21</v>
      </c>
      <c r="L6" s="14"/>
      <c r="M6" s="14"/>
      <c r="N6" s="14"/>
      <c r="O6" s="14" t="s">
        <v>123</v>
      </c>
      <c r="P6" s="15" t="s">
        <v>992</v>
      </c>
    </row>
    <row r="7" customFormat="false" ht="25.5" hidden="false" customHeight="true" outlineLevel="0" collapsed="false">
      <c r="A7" s="14" t="n">
        <v>386</v>
      </c>
      <c r="B7" s="14" t="n">
        <v>3</v>
      </c>
      <c r="C7" s="14" t="s">
        <v>125</v>
      </c>
      <c r="D7" s="17" t="s">
        <v>1004</v>
      </c>
      <c r="E7" s="14" t="s">
        <v>117</v>
      </c>
      <c r="F7" s="15" t="s">
        <v>1000</v>
      </c>
      <c r="G7" s="14" t="s">
        <v>505</v>
      </c>
      <c r="H7" s="14" t="s">
        <v>990</v>
      </c>
      <c r="I7" s="15" t="s">
        <v>121</v>
      </c>
      <c r="J7" s="17" t="s">
        <v>1005</v>
      </c>
      <c r="K7" s="16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8.72</v>
      </c>
      <c r="L7" s="14"/>
      <c r="M7" s="14"/>
      <c r="N7" s="14"/>
      <c r="O7" s="14" t="s">
        <v>123</v>
      </c>
      <c r="P7" s="15"/>
    </row>
    <row r="8" customFormat="false" ht="25.5" hidden="false" customHeight="true" outlineLevel="0" collapsed="false">
      <c r="A8" s="14" t="n">
        <v>387</v>
      </c>
      <c r="B8" s="14" t="n">
        <v>3</v>
      </c>
      <c r="C8" s="14" t="s">
        <v>115</v>
      </c>
      <c r="D8" s="15" t="s">
        <v>1006</v>
      </c>
      <c r="E8" s="14" t="s">
        <v>117</v>
      </c>
      <c r="F8" s="15" t="s">
        <v>997</v>
      </c>
      <c r="G8" s="14" t="s">
        <v>505</v>
      </c>
      <c r="H8" s="14" t="s">
        <v>990</v>
      </c>
      <c r="I8" s="15" t="s">
        <v>121</v>
      </c>
      <c r="J8" s="15" t="s">
        <v>1007</v>
      </c>
      <c r="K8" s="16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9.21</v>
      </c>
      <c r="L8" s="14"/>
      <c r="M8" s="14"/>
      <c r="N8" s="14"/>
      <c r="O8" s="14" t="s">
        <v>123</v>
      </c>
      <c r="P8" s="15" t="s">
        <v>992</v>
      </c>
    </row>
    <row r="9" customFormat="false" ht="25.5" hidden="false" customHeight="true" outlineLevel="0" collapsed="false">
      <c r="A9" s="14" t="n">
        <v>388</v>
      </c>
      <c r="B9" s="14" t="n">
        <v>3</v>
      </c>
      <c r="C9" s="14" t="s">
        <v>125</v>
      </c>
      <c r="D9" s="17" t="s">
        <v>1008</v>
      </c>
      <c r="E9" s="14" t="s">
        <v>117</v>
      </c>
      <c r="F9" s="15" t="s">
        <v>1000</v>
      </c>
      <c r="G9" s="14" t="s">
        <v>505</v>
      </c>
      <c r="H9" s="14" t="s">
        <v>990</v>
      </c>
      <c r="I9" s="15" t="s">
        <v>121</v>
      </c>
      <c r="J9" s="17" t="s">
        <v>1009</v>
      </c>
      <c r="K9" s="16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8.72</v>
      </c>
      <c r="L9" s="14"/>
      <c r="M9" s="14"/>
      <c r="N9" s="14"/>
      <c r="O9" s="14" t="s">
        <v>123</v>
      </c>
      <c r="P9" s="15"/>
    </row>
    <row r="10" customFormat="false" ht="25.5" hidden="false" customHeight="true" outlineLevel="0" collapsed="false">
      <c r="A10" s="14" t="n">
        <v>389</v>
      </c>
      <c r="B10" s="14" t="n">
        <v>3</v>
      </c>
      <c r="C10" s="14" t="s">
        <v>115</v>
      </c>
      <c r="D10" s="15" t="s">
        <v>1010</v>
      </c>
      <c r="E10" s="14" t="s">
        <v>117</v>
      </c>
      <c r="F10" s="15" t="s">
        <v>997</v>
      </c>
      <c r="G10" s="14" t="s">
        <v>505</v>
      </c>
      <c r="H10" s="14" t="s">
        <v>990</v>
      </c>
      <c r="I10" s="15" t="s">
        <v>121</v>
      </c>
      <c r="J10" s="15" t="s">
        <v>1011</v>
      </c>
      <c r="K10" s="16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9.21</v>
      </c>
      <c r="L10" s="14"/>
      <c r="M10" s="14"/>
      <c r="N10" s="14"/>
      <c r="O10" s="14" t="s">
        <v>123</v>
      </c>
      <c r="P10" s="15" t="s">
        <v>992</v>
      </c>
    </row>
    <row r="11" customFormat="false" ht="25.5" hidden="false" customHeight="true" outlineLevel="0" collapsed="false">
      <c r="A11" s="14" t="n">
        <v>390</v>
      </c>
      <c r="B11" s="14" t="n">
        <v>3</v>
      </c>
      <c r="C11" s="14" t="s">
        <v>125</v>
      </c>
      <c r="D11" s="17" t="s">
        <v>1012</v>
      </c>
      <c r="E11" s="14" t="s">
        <v>117</v>
      </c>
      <c r="F11" s="15" t="s">
        <v>1000</v>
      </c>
      <c r="G11" s="14" t="s">
        <v>505</v>
      </c>
      <c r="H11" s="14" t="s">
        <v>990</v>
      </c>
      <c r="I11" s="15" t="s">
        <v>121</v>
      </c>
      <c r="J11" s="17" t="s">
        <v>1013</v>
      </c>
      <c r="K11" s="16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8.72</v>
      </c>
      <c r="L11" s="14"/>
      <c r="M11" s="14"/>
      <c r="N11" s="14"/>
      <c r="O11" s="14" t="s">
        <v>123</v>
      </c>
      <c r="P11" s="15"/>
    </row>
    <row r="12" customFormat="false" ht="25.5" hidden="false" customHeight="true" outlineLevel="0" collapsed="false">
      <c r="A12" s="14" t="n">
        <v>391</v>
      </c>
      <c r="B12" s="14" t="n">
        <v>3</v>
      </c>
      <c r="C12" s="14" t="s">
        <v>115</v>
      </c>
      <c r="D12" s="15" t="s">
        <v>1014</v>
      </c>
      <c r="E12" s="14" t="s">
        <v>117</v>
      </c>
      <c r="F12" s="15" t="s">
        <v>997</v>
      </c>
      <c r="G12" s="14" t="s">
        <v>505</v>
      </c>
      <c r="H12" s="14" t="s">
        <v>990</v>
      </c>
      <c r="I12" s="15" t="s">
        <v>226</v>
      </c>
      <c r="J12" s="15" t="s">
        <v>1015</v>
      </c>
      <c r="K12" s="16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9.21</v>
      </c>
      <c r="L12" s="14"/>
      <c r="M12" s="14"/>
      <c r="N12" s="14"/>
      <c r="O12" s="14" t="s">
        <v>123</v>
      </c>
      <c r="P12" s="15" t="s">
        <v>992</v>
      </c>
    </row>
    <row r="13" customFormat="false" ht="25.5" hidden="false" customHeight="true" outlineLevel="0" collapsed="false">
      <c r="A13" s="14" t="n">
        <v>392</v>
      </c>
      <c r="B13" s="14" t="n">
        <v>3</v>
      </c>
      <c r="C13" s="14" t="s">
        <v>125</v>
      </c>
      <c r="D13" s="17" t="s">
        <v>1016</v>
      </c>
      <c r="E13" s="14" t="s">
        <v>117</v>
      </c>
      <c r="F13" s="15" t="s">
        <v>1000</v>
      </c>
      <c r="G13" s="14" t="s">
        <v>505</v>
      </c>
      <c r="H13" s="14" t="s">
        <v>990</v>
      </c>
      <c r="I13" s="15" t="s">
        <v>226</v>
      </c>
      <c r="J13" s="17" t="s">
        <v>1017</v>
      </c>
      <c r="K13" s="16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8.72</v>
      </c>
      <c r="L13" s="14"/>
      <c r="M13" s="14"/>
      <c r="N13" s="14"/>
      <c r="O13" s="14" t="s">
        <v>123</v>
      </c>
      <c r="P13" s="15"/>
    </row>
    <row r="14" customFormat="false" ht="25.5" hidden="false" customHeight="true" outlineLevel="0" collapsed="false">
      <c r="A14" s="14" t="n">
        <v>393</v>
      </c>
      <c r="B14" s="14" t="n">
        <v>3</v>
      </c>
      <c r="C14" s="14" t="s">
        <v>115</v>
      </c>
      <c r="D14" s="15" t="s">
        <v>1018</v>
      </c>
      <c r="E14" s="14" t="s">
        <v>117</v>
      </c>
      <c r="F14" s="15" t="s">
        <v>1019</v>
      </c>
      <c r="G14" s="14" t="s">
        <v>505</v>
      </c>
      <c r="H14" s="14" t="s">
        <v>990</v>
      </c>
      <c r="I14" s="15" t="s">
        <v>226</v>
      </c>
      <c r="J14" s="15" t="s">
        <v>1020</v>
      </c>
      <c r="K14" s="16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8.02</v>
      </c>
      <c r="L14" s="14"/>
      <c r="M14" s="14"/>
      <c r="N14" s="14"/>
      <c r="O14" s="14" t="s">
        <v>123</v>
      </c>
      <c r="P14" s="15" t="s">
        <v>992</v>
      </c>
    </row>
    <row r="15" customFormat="false" ht="25.5" hidden="false" customHeight="true" outlineLevel="0" collapsed="false">
      <c r="A15" s="14" t="n">
        <v>394</v>
      </c>
      <c r="B15" s="14" t="n">
        <v>3</v>
      </c>
      <c r="C15" s="14" t="s">
        <v>125</v>
      </c>
      <c r="D15" s="17" t="s">
        <v>1021</v>
      </c>
      <c r="E15" s="14" t="s">
        <v>117</v>
      </c>
      <c r="F15" s="15" t="s">
        <v>1022</v>
      </c>
      <c r="G15" s="14" t="s">
        <v>505</v>
      </c>
      <c r="H15" s="14" t="s">
        <v>990</v>
      </c>
      <c r="I15" s="15" t="s">
        <v>226</v>
      </c>
      <c r="J15" s="17" t="s">
        <v>1023</v>
      </c>
      <c r="K15" s="16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7.63</v>
      </c>
      <c r="L15" s="14"/>
      <c r="M15" s="14"/>
      <c r="N15" s="14"/>
      <c r="O15" s="14" t="s">
        <v>123</v>
      </c>
      <c r="P15" s="15"/>
    </row>
    <row r="16" customFormat="false" ht="25.5" hidden="false" customHeight="true" outlineLevel="0" collapsed="false">
      <c r="A16" s="14" t="n">
        <v>395</v>
      </c>
      <c r="B16" s="14" t="n">
        <v>3</v>
      </c>
      <c r="C16" s="14" t="s">
        <v>115</v>
      </c>
      <c r="D16" s="15" t="s">
        <v>1024</v>
      </c>
      <c r="E16" s="14" t="s">
        <v>117</v>
      </c>
      <c r="F16" s="15" t="s">
        <v>989</v>
      </c>
      <c r="G16" s="14" t="s">
        <v>505</v>
      </c>
      <c r="H16" s="14" t="s">
        <v>990</v>
      </c>
      <c r="I16" s="15" t="s">
        <v>185</v>
      </c>
      <c r="J16" s="15" t="s">
        <v>1025</v>
      </c>
      <c r="K16" s="16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9.91</v>
      </c>
      <c r="L16" s="14"/>
      <c r="M16" s="14"/>
      <c r="N16" s="14"/>
      <c r="O16" s="14" t="s">
        <v>123</v>
      </c>
      <c r="P16" s="15" t="s">
        <v>992</v>
      </c>
    </row>
    <row r="17" customFormat="false" ht="25.5" hidden="false" customHeight="true" outlineLevel="0" collapsed="false">
      <c r="A17" s="14" t="n">
        <v>396</v>
      </c>
      <c r="B17" s="14" t="n">
        <v>3</v>
      </c>
      <c r="C17" s="14" t="s">
        <v>125</v>
      </c>
      <c r="D17" s="17" t="s">
        <v>1026</v>
      </c>
      <c r="E17" s="14" t="s">
        <v>117</v>
      </c>
      <c r="F17" s="15" t="s">
        <v>994</v>
      </c>
      <c r="G17" s="14" t="s">
        <v>505</v>
      </c>
      <c r="H17" s="14" t="s">
        <v>990</v>
      </c>
      <c r="I17" s="15" t="s">
        <v>185</v>
      </c>
      <c r="J17" s="17" t="s">
        <v>1027</v>
      </c>
      <c r="K17" s="16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9.6</v>
      </c>
      <c r="L17" s="14"/>
      <c r="M17" s="14"/>
      <c r="N17" s="14"/>
      <c r="O17" s="14" t="s">
        <v>123</v>
      </c>
      <c r="P17" s="15"/>
    </row>
    <row r="18" customFormat="false" ht="25.5" hidden="false" customHeight="true" outlineLevel="0" collapsed="false">
      <c r="A18" s="14" t="n">
        <v>397</v>
      </c>
      <c r="B18" s="14" t="n">
        <v>3</v>
      </c>
      <c r="C18" s="14" t="s">
        <v>115</v>
      </c>
      <c r="D18" s="15" t="s">
        <v>1028</v>
      </c>
      <c r="E18" s="14" t="s">
        <v>117</v>
      </c>
      <c r="F18" s="15" t="s">
        <v>989</v>
      </c>
      <c r="G18" s="14" t="s">
        <v>505</v>
      </c>
      <c r="H18" s="14" t="s">
        <v>990</v>
      </c>
      <c r="I18" s="15" t="s">
        <v>185</v>
      </c>
      <c r="J18" s="15" t="s">
        <v>1029</v>
      </c>
      <c r="K18" s="16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9.91</v>
      </c>
      <c r="L18" s="14"/>
      <c r="M18" s="14"/>
      <c r="N18" s="14"/>
      <c r="O18" s="14" t="s">
        <v>123</v>
      </c>
      <c r="P18" s="15" t="s">
        <v>992</v>
      </c>
    </row>
    <row r="19" customFormat="false" ht="25.5" hidden="false" customHeight="true" outlineLevel="0" collapsed="false">
      <c r="A19" s="14" t="n">
        <v>398</v>
      </c>
      <c r="B19" s="14" t="n">
        <v>3</v>
      </c>
      <c r="C19" s="14" t="s">
        <v>125</v>
      </c>
      <c r="D19" s="17" t="s">
        <v>1030</v>
      </c>
      <c r="E19" s="14" t="s">
        <v>117</v>
      </c>
      <c r="F19" s="15" t="s">
        <v>994</v>
      </c>
      <c r="G19" s="14" t="s">
        <v>505</v>
      </c>
      <c r="H19" s="14" t="s">
        <v>990</v>
      </c>
      <c r="I19" s="15" t="s">
        <v>185</v>
      </c>
      <c r="J19" s="17" t="s">
        <v>1031</v>
      </c>
      <c r="K19" s="16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9.6</v>
      </c>
      <c r="L19" s="14"/>
      <c r="M19" s="14"/>
      <c r="N19" s="14"/>
      <c r="O19" s="14" t="s">
        <v>123</v>
      </c>
      <c r="P19" s="15"/>
    </row>
    <row r="20" customFormat="false" ht="25.5" hidden="false" customHeight="true" outlineLevel="0" collapsed="false">
      <c r="A20" s="14" t="n">
        <v>399</v>
      </c>
      <c r="B20" s="14" t="n">
        <v>3</v>
      </c>
      <c r="C20" s="14" t="s">
        <v>115</v>
      </c>
      <c r="D20" s="15" t="s">
        <v>1032</v>
      </c>
      <c r="E20" s="14" t="s">
        <v>117</v>
      </c>
      <c r="F20" s="15" t="s">
        <v>989</v>
      </c>
      <c r="G20" s="14" t="s">
        <v>505</v>
      </c>
      <c r="H20" s="14" t="s">
        <v>990</v>
      </c>
      <c r="I20" s="15" t="s">
        <v>185</v>
      </c>
      <c r="J20" s="15" t="s">
        <v>1033</v>
      </c>
      <c r="K20" s="16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9.91</v>
      </c>
      <c r="L20" s="14"/>
      <c r="M20" s="14"/>
      <c r="N20" s="14"/>
      <c r="O20" s="14" t="s">
        <v>123</v>
      </c>
      <c r="P20" s="15" t="s">
        <v>992</v>
      </c>
    </row>
    <row r="21" customFormat="false" ht="25.5" hidden="false" customHeight="true" outlineLevel="0" collapsed="false">
      <c r="A21" s="14" t="n">
        <v>400</v>
      </c>
      <c r="B21" s="14" t="n">
        <v>3</v>
      </c>
      <c r="C21" s="14" t="s">
        <v>125</v>
      </c>
      <c r="D21" s="17" t="s">
        <v>1034</v>
      </c>
      <c r="E21" s="14" t="s">
        <v>117</v>
      </c>
      <c r="F21" s="15" t="s">
        <v>994</v>
      </c>
      <c r="G21" s="14" t="s">
        <v>505</v>
      </c>
      <c r="H21" s="14" t="s">
        <v>990</v>
      </c>
      <c r="I21" s="15" t="s">
        <v>185</v>
      </c>
      <c r="J21" s="17" t="s">
        <v>1035</v>
      </c>
      <c r="K21" s="16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9.6</v>
      </c>
      <c r="L21" s="14"/>
      <c r="M21" s="14"/>
      <c r="N21" s="14"/>
      <c r="O21" s="14" t="s">
        <v>123</v>
      </c>
      <c r="P21" s="15"/>
    </row>
    <row r="22" customFormat="false" ht="25.5" hidden="false" customHeight="true" outlineLevel="0" collapsed="false">
      <c r="A22" s="14" t="n">
        <v>401</v>
      </c>
      <c r="B22" s="14" t="n">
        <v>3</v>
      </c>
      <c r="C22" s="14" t="s">
        <v>115</v>
      </c>
      <c r="D22" s="15" t="s">
        <v>1036</v>
      </c>
      <c r="E22" s="14" t="s">
        <v>117</v>
      </c>
      <c r="F22" s="15" t="s">
        <v>997</v>
      </c>
      <c r="G22" s="14" t="s">
        <v>505</v>
      </c>
      <c r="H22" s="14" t="s">
        <v>990</v>
      </c>
      <c r="I22" s="15" t="s">
        <v>185</v>
      </c>
      <c r="J22" s="15" t="s">
        <v>1037</v>
      </c>
      <c r="K22" s="16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9.21</v>
      </c>
      <c r="L22" s="14"/>
      <c r="M22" s="14"/>
      <c r="N22" s="14"/>
      <c r="O22" s="14" t="s">
        <v>123</v>
      </c>
      <c r="P22" s="15" t="s">
        <v>992</v>
      </c>
    </row>
    <row r="23" customFormat="false" ht="25.5" hidden="false" customHeight="true" outlineLevel="0" collapsed="false">
      <c r="A23" s="14" t="n">
        <v>402</v>
      </c>
      <c r="B23" s="14" t="n">
        <v>3</v>
      </c>
      <c r="C23" s="14" t="s">
        <v>125</v>
      </c>
      <c r="D23" s="17" t="s">
        <v>1038</v>
      </c>
      <c r="E23" s="14" t="s">
        <v>117</v>
      </c>
      <c r="F23" s="15" t="s">
        <v>1000</v>
      </c>
      <c r="G23" s="14" t="s">
        <v>505</v>
      </c>
      <c r="H23" s="14" t="s">
        <v>990</v>
      </c>
      <c r="I23" s="15" t="s">
        <v>185</v>
      </c>
      <c r="J23" s="17" t="s">
        <v>1039</v>
      </c>
      <c r="K23" s="16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8.72</v>
      </c>
      <c r="L23" s="14"/>
      <c r="M23" s="14"/>
      <c r="N23" s="14"/>
      <c r="O23" s="14" t="s">
        <v>123</v>
      </c>
      <c r="P23" s="15"/>
    </row>
    <row r="24" customFormat="false" ht="25.5" hidden="false" customHeight="true" outlineLevel="0" collapsed="false">
      <c r="A24" s="14" t="n">
        <v>403</v>
      </c>
      <c r="B24" s="14" t="n">
        <v>3</v>
      </c>
      <c r="C24" s="14" t="s">
        <v>115</v>
      </c>
      <c r="D24" s="15" t="s">
        <v>1040</v>
      </c>
      <c r="E24" s="14" t="s">
        <v>117</v>
      </c>
      <c r="F24" s="15" t="s">
        <v>997</v>
      </c>
      <c r="G24" s="14" t="s">
        <v>505</v>
      </c>
      <c r="H24" s="14" t="s">
        <v>990</v>
      </c>
      <c r="I24" s="15" t="s">
        <v>185</v>
      </c>
      <c r="J24" s="15" t="s">
        <v>1041</v>
      </c>
      <c r="K24" s="16" t="n">
        <f aca="false">ROUND((IF(E24="Transactional",5,IF(E24="Commercial",4,IF(E24="Comparison",3,IF(E24="Informational",2,3))))*LOG10(IF(ISNUMBER(L24),L24,IFERROR(VALUE(LEFT(F24,FIND("-",F24)-1)),100))+1))/IF(IF(ISBLANK(M24),G24,M24)="High",5,IF(IF(ISBLANK(M24),G24,M24)="Medium",3,1)),2)</f>
        <v>9.21</v>
      </c>
      <c r="L24" s="14"/>
      <c r="M24" s="14"/>
      <c r="N24" s="14"/>
      <c r="O24" s="14" t="s">
        <v>123</v>
      </c>
      <c r="P24" s="15" t="s">
        <v>992</v>
      </c>
    </row>
    <row r="25" customFormat="false" ht="25.5" hidden="false" customHeight="true" outlineLevel="0" collapsed="false">
      <c r="A25" s="14" t="n">
        <v>404</v>
      </c>
      <c r="B25" s="14" t="n">
        <v>3</v>
      </c>
      <c r="C25" s="14" t="s">
        <v>125</v>
      </c>
      <c r="D25" s="17" t="s">
        <v>1042</v>
      </c>
      <c r="E25" s="14" t="s">
        <v>117</v>
      </c>
      <c r="F25" s="15" t="s">
        <v>1000</v>
      </c>
      <c r="G25" s="14" t="s">
        <v>505</v>
      </c>
      <c r="H25" s="14" t="s">
        <v>990</v>
      </c>
      <c r="I25" s="15" t="s">
        <v>185</v>
      </c>
      <c r="J25" s="17" t="s">
        <v>1043</v>
      </c>
      <c r="K25" s="16" t="n">
        <f aca="false">ROUND((IF(E25="Transactional",5,IF(E25="Commercial",4,IF(E25="Comparison",3,IF(E25="Informational",2,3))))*LOG10(IF(ISNUMBER(L25),L25,IFERROR(VALUE(LEFT(F25,FIND("-",F25)-1)),100))+1))/IF(IF(ISBLANK(M25),G25,M25)="High",5,IF(IF(ISBLANK(M25),G25,M25)="Medium",3,1)),2)</f>
        <v>8.72</v>
      </c>
      <c r="L25" s="14"/>
      <c r="M25" s="14"/>
      <c r="N25" s="14"/>
      <c r="O25" s="14" t="s">
        <v>123</v>
      </c>
      <c r="P25" s="15"/>
    </row>
    <row r="26" customFormat="false" ht="25.5" hidden="false" customHeight="true" outlineLevel="0" collapsed="false">
      <c r="A26" s="14" t="n">
        <v>405</v>
      </c>
      <c r="B26" s="14" t="n">
        <v>3</v>
      </c>
      <c r="C26" s="14" t="s">
        <v>115</v>
      </c>
      <c r="D26" s="15" t="s">
        <v>1044</v>
      </c>
      <c r="E26" s="14" t="s">
        <v>117</v>
      </c>
      <c r="F26" s="15" t="s">
        <v>1019</v>
      </c>
      <c r="G26" s="14" t="s">
        <v>505</v>
      </c>
      <c r="H26" s="14" t="s">
        <v>990</v>
      </c>
      <c r="I26" s="15" t="s">
        <v>185</v>
      </c>
      <c r="J26" s="15" t="s">
        <v>1045</v>
      </c>
      <c r="K26" s="16" t="n">
        <f aca="false">ROUND((IF(E26="Transactional",5,IF(E26="Commercial",4,IF(E26="Comparison",3,IF(E26="Informational",2,3))))*LOG10(IF(ISNUMBER(L26),L26,IFERROR(VALUE(LEFT(F26,FIND("-",F26)-1)),100))+1))/IF(IF(ISBLANK(M26),G26,M26)="High",5,IF(IF(ISBLANK(M26),G26,M26)="Medium",3,1)),2)</f>
        <v>8.02</v>
      </c>
      <c r="L26" s="14"/>
      <c r="M26" s="14"/>
      <c r="N26" s="14"/>
      <c r="O26" s="14" t="s">
        <v>123</v>
      </c>
      <c r="P26" s="15" t="s">
        <v>992</v>
      </c>
    </row>
    <row r="27" customFormat="false" ht="25.5" hidden="false" customHeight="true" outlineLevel="0" collapsed="false">
      <c r="A27" s="14" t="n">
        <v>406</v>
      </c>
      <c r="B27" s="14" t="n">
        <v>3</v>
      </c>
      <c r="C27" s="14" t="s">
        <v>125</v>
      </c>
      <c r="D27" s="17" t="s">
        <v>1046</v>
      </c>
      <c r="E27" s="14" t="s">
        <v>117</v>
      </c>
      <c r="F27" s="15" t="s">
        <v>1022</v>
      </c>
      <c r="G27" s="14" t="s">
        <v>505</v>
      </c>
      <c r="H27" s="14" t="s">
        <v>990</v>
      </c>
      <c r="I27" s="15" t="s">
        <v>185</v>
      </c>
      <c r="J27" s="17" t="s">
        <v>1047</v>
      </c>
      <c r="K27" s="16" t="n">
        <f aca="false">ROUND((IF(E27="Transactional",5,IF(E27="Commercial",4,IF(E27="Comparison",3,IF(E27="Informational",2,3))))*LOG10(IF(ISNUMBER(L27),L27,IFERROR(VALUE(LEFT(F27,FIND("-",F27)-1)),100))+1))/IF(IF(ISBLANK(M27),G27,M27)="High",5,IF(IF(ISBLANK(M27),G27,M27)="Medium",3,1)),2)</f>
        <v>7.63</v>
      </c>
      <c r="L27" s="14"/>
      <c r="M27" s="14"/>
      <c r="N27" s="14"/>
      <c r="O27" s="14" t="s">
        <v>123</v>
      </c>
      <c r="P27" s="15"/>
    </row>
    <row r="28" customFormat="false" ht="25.5" hidden="false" customHeight="true" outlineLevel="0" collapsed="false">
      <c r="A28" s="14" t="n">
        <v>407</v>
      </c>
      <c r="B28" s="14" t="n">
        <v>3</v>
      </c>
      <c r="C28" s="14" t="s">
        <v>115</v>
      </c>
      <c r="D28" s="15" t="s">
        <v>1048</v>
      </c>
      <c r="E28" s="14" t="s">
        <v>117</v>
      </c>
      <c r="F28" s="15" t="s">
        <v>997</v>
      </c>
      <c r="G28" s="14" t="s">
        <v>505</v>
      </c>
      <c r="H28" s="14" t="s">
        <v>990</v>
      </c>
      <c r="I28" s="15" t="s">
        <v>185</v>
      </c>
      <c r="J28" s="15" t="s">
        <v>1049</v>
      </c>
      <c r="K28" s="16" t="n">
        <f aca="false">ROUND((IF(E28="Transactional",5,IF(E28="Commercial",4,IF(E28="Comparison",3,IF(E28="Informational",2,3))))*LOG10(IF(ISNUMBER(L28),L28,IFERROR(VALUE(LEFT(F28,FIND("-",F28)-1)),100))+1))/IF(IF(ISBLANK(M28),G28,M28)="High",5,IF(IF(ISBLANK(M28),G28,M28)="Medium",3,1)),2)</f>
        <v>9.21</v>
      </c>
      <c r="L28" s="14"/>
      <c r="M28" s="14"/>
      <c r="N28" s="14"/>
      <c r="O28" s="14" t="s">
        <v>123</v>
      </c>
      <c r="P28" s="15" t="s">
        <v>992</v>
      </c>
    </row>
    <row r="29" customFormat="false" ht="25.5" hidden="false" customHeight="true" outlineLevel="0" collapsed="false">
      <c r="A29" s="14" t="n">
        <v>408</v>
      </c>
      <c r="B29" s="14" t="n">
        <v>3</v>
      </c>
      <c r="C29" s="14" t="s">
        <v>125</v>
      </c>
      <c r="D29" s="17" t="s">
        <v>1050</v>
      </c>
      <c r="E29" s="14" t="s">
        <v>117</v>
      </c>
      <c r="F29" s="15" t="s">
        <v>1000</v>
      </c>
      <c r="G29" s="14" t="s">
        <v>505</v>
      </c>
      <c r="H29" s="14" t="s">
        <v>990</v>
      </c>
      <c r="I29" s="15" t="s">
        <v>185</v>
      </c>
      <c r="J29" s="17" t="s">
        <v>1051</v>
      </c>
      <c r="K29" s="16" t="n">
        <f aca="false">ROUND((IF(E29="Transactional",5,IF(E29="Commercial",4,IF(E29="Comparison",3,IF(E29="Informational",2,3))))*LOG10(IF(ISNUMBER(L29),L29,IFERROR(VALUE(LEFT(F29,FIND("-",F29)-1)),100))+1))/IF(IF(ISBLANK(M29),G29,M29)="High",5,IF(IF(ISBLANK(M29),G29,M29)="Medium",3,1)),2)</f>
        <v>8.72</v>
      </c>
      <c r="L29" s="14"/>
      <c r="M29" s="14"/>
      <c r="N29" s="14"/>
      <c r="O29" s="14" t="s">
        <v>123</v>
      </c>
      <c r="P29" s="15"/>
    </row>
    <row r="30" customFormat="false" ht="25.5" hidden="false" customHeight="true" outlineLevel="0" collapsed="false">
      <c r="A30" s="14" t="n">
        <v>409</v>
      </c>
      <c r="B30" s="14" t="n">
        <v>3</v>
      </c>
      <c r="C30" s="14" t="s">
        <v>115</v>
      </c>
      <c r="D30" s="15" t="s">
        <v>1052</v>
      </c>
      <c r="E30" s="14" t="s">
        <v>117</v>
      </c>
      <c r="F30" s="15" t="s">
        <v>1019</v>
      </c>
      <c r="G30" s="14" t="s">
        <v>505</v>
      </c>
      <c r="H30" s="14" t="s">
        <v>990</v>
      </c>
      <c r="I30" s="15" t="s">
        <v>185</v>
      </c>
      <c r="J30" s="15" t="s">
        <v>1053</v>
      </c>
      <c r="K30" s="16" t="n">
        <f aca="false">ROUND((IF(E30="Transactional",5,IF(E30="Commercial",4,IF(E30="Comparison",3,IF(E30="Informational",2,3))))*LOG10(IF(ISNUMBER(L30),L30,IFERROR(VALUE(LEFT(F30,FIND("-",F30)-1)),100))+1))/IF(IF(ISBLANK(M30),G30,M30)="High",5,IF(IF(ISBLANK(M30),G30,M30)="Medium",3,1)),2)</f>
        <v>8.02</v>
      </c>
      <c r="L30" s="14"/>
      <c r="M30" s="14"/>
      <c r="N30" s="14"/>
      <c r="O30" s="14" t="s">
        <v>123</v>
      </c>
      <c r="P30" s="15" t="s">
        <v>992</v>
      </c>
    </row>
    <row r="31" customFormat="false" ht="25.5" hidden="false" customHeight="true" outlineLevel="0" collapsed="false">
      <c r="A31" s="14" t="n">
        <v>410</v>
      </c>
      <c r="B31" s="14" t="n">
        <v>3</v>
      </c>
      <c r="C31" s="14" t="s">
        <v>125</v>
      </c>
      <c r="D31" s="17" t="s">
        <v>1054</v>
      </c>
      <c r="E31" s="14" t="s">
        <v>117</v>
      </c>
      <c r="F31" s="15" t="s">
        <v>1022</v>
      </c>
      <c r="G31" s="14" t="s">
        <v>505</v>
      </c>
      <c r="H31" s="14" t="s">
        <v>990</v>
      </c>
      <c r="I31" s="15" t="s">
        <v>185</v>
      </c>
      <c r="J31" s="17" t="s">
        <v>1055</v>
      </c>
      <c r="K31" s="16" t="n">
        <f aca="false">ROUND((IF(E31="Transactional",5,IF(E31="Commercial",4,IF(E31="Comparison",3,IF(E31="Informational",2,3))))*LOG10(IF(ISNUMBER(L31),L31,IFERROR(VALUE(LEFT(F31,FIND("-",F31)-1)),100))+1))/IF(IF(ISBLANK(M31),G31,M31)="High",5,IF(IF(ISBLANK(M31),G31,M31)="Medium",3,1)),2)</f>
        <v>7.63</v>
      </c>
      <c r="L31" s="14"/>
      <c r="M31" s="14"/>
      <c r="N31" s="14"/>
      <c r="O31" s="14" t="s">
        <v>123</v>
      </c>
      <c r="P31" s="15"/>
    </row>
    <row r="32" customFormat="false" ht="25.5" hidden="false" customHeight="true" outlineLevel="0" collapsed="false">
      <c r="A32" s="14" t="n">
        <v>411</v>
      </c>
      <c r="B32" s="14" t="n">
        <v>3</v>
      </c>
      <c r="C32" s="14" t="s">
        <v>115</v>
      </c>
      <c r="D32" s="15" t="s">
        <v>1056</v>
      </c>
      <c r="E32" s="14" t="s">
        <v>117</v>
      </c>
      <c r="F32" s="15" t="s">
        <v>997</v>
      </c>
      <c r="G32" s="14" t="s">
        <v>505</v>
      </c>
      <c r="H32" s="14" t="s">
        <v>990</v>
      </c>
      <c r="I32" s="15" t="s">
        <v>272</v>
      </c>
      <c r="J32" s="15" t="s">
        <v>1057</v>
      </c>
      <c r="K32" s="16" t="n">
        <f aca="false">ROUND((IF(E32="Transactional",5,IF(E32="Commercial",4,IF(E32="Comparison",3,IF(E32="Informational",2,3))))*LOG10(IF(ISNUMBER(L32),L32,IFERROR(VALUE(LEFT(F32,FIND("-",F32)-1)),100))+1))/IF(IF(ISBLANK(M32),G32,M32)="High",5,IF(IF(ISBLANK(M32),G32,M32)="Medium",3,1)),2)</f>
        <v>9.21</v>
      </c>
      <c r="L32" s="14"/>
      <c r="M32" s="14"/>
      <c r="N32" s="14"/>
      <c r="O32" s="14" t="s">
        <v>123</v>
      </c>
      <c r="P32" s="15" t="s">
        <v>992</v>
      </c>
    </row>
    <row r="33" customFormat="false" ht="25.5" hidden="false" customHeight="true" outlineLevel="0" collapsed="false">
      <c r="A33" s="14" t="n">
        <v>412</v>
      </c>
      <c r="B33" s="14" t="n">
        <v>3</v>
      </c>
      <c r="C33" s="14" t="s">
        <v>125</v>
      </c>
      <c r="D33" s="17" t="s">
        <v>1058</v>
      </c>
      <c r="E33" s="14" t="s">
        <v>117</v>
      </c>
      <c r="F33" s="15" t="s">
        <v>1000</v>
      </c>
      <c r="G33" s="14" t="s">
        <v>505</v>
      </c>
      <c r="H33" s="14" t="s">
        <v>990</v>
      </c>
      <c r="I33" s="15" t="s">
        <v>272</v>
      </c>
      <c r="J33" s="17" t="s">
        <v>1059</v>
      </c>
      <c r="K33" s="16" t="n">
        <f aca="false">ROUND((IF(E33="Transactional",5,IF(E33="Commercial",4,IF(E33="Comparison",3,IF(E33="Informational",2,3))))*LOG10(IF(ISNUMBER(L33),L33,IFERROR(VALUE(LEFT(F33,FIND("-",F33)-1)),100))+1))/IF(IF(ISBLANK(M33),G33,M33)="High",5,IF(IF(ISBLANK(M33),G33,M33)="Medium",3,1)),2)</f>
        <v>8.72</v>
      </c>
      <c r="L33" s="14"/>
      <c r="M33" s="14"/>
      <c r="N33" s="14"/>
      <c r="O33" s="14" t="s">
        <v>123</v>
      </c>
      <c r="P33" s="15"/>
    </row>
    <row r="34" customFormat="false" ht="25.5" hidden="false" customHeight="true" outlineLevel="0" collapsed="false">
      <c r="A34" s="14" t="n">
        <v>413</v>
      </c>
      <c r="B34" s="14" t="n">
        <v>3</v>
      </c>
      <c r="C34" s="14" t="s">
        <v>115</v>
      </c>
      <c r="D34" s="15" t="s">
        <v>1060</v>
      </c>
      <c r="E34" s="14" t="s">
        <v>117</v>
      </c>
      <c r="F34" s="15" t="s">
        <v>997</v>
      </c>
      <c r="G34" s="14" t="s">
        <v>505</v>
      </c>
      <c r="H34" s="14" t="s">
        <v>990</v>
      </c>
      <c r="I34" s="15" t="s">
        <v>272</v>
      </c>
      <c r="J34" s="15" t="s">
        <v>1061</v>
      </c>
      <c r="K34" s="16" t="n">
        <f aca="false">ROUND((IF(E34="Transactional",5,IF(E34="Commercial",4,IF(E34="Comparison",3,IF(E34="Informational",2,3))))*LOG10(IF(ISNUMBER(L34),L34,IFERROR(VALUE(LEFT(F34,FIND("-",F34)-1)),100))+1))/IF(IF(ISBLANK(M34),G34,M34)="High",5,IF(IF(ISBLANK(M34),G34,M34)="Medium",3,1)),2)</f>
        <v>9.21</v>
      </c>
      <c r="L34" s="14"/>
      <c r="M34" s="14"/>
      <c r="N34" s="14"/>
      <c r="O34" s="14" t="s">
        <v>123</v>
      </c>
      <c r="P34" s="15" t="s">
        <v>992</v>
      </c>
    </row>
    <row r="35" customFormat="false" ht="25.5" hidden="false" customHeight="true" outlineLevel="0" collapsed="false">
      <c r="A35" s="14" t="n">
        <v>414</v>
      </c>
      <c r="B35" s="14" t="n">
        <v>3</v>
      </c>
      <c r="C35" s="14" t="s">
        <v>125</v>
      </c>
      <c r="D35" s="17" t="s">
        <v>1062</v>
      </c>
      <c r="E35" s="14" t="s">
        <v>117</v>
      </c>
      <c r="F35" s="15" t="s">
        <v>1000</v>
      </c>
      <c r="G35" s="14" t="s">
        <v>505</v>
      </c>
      <c r="H35" s="14" t="s">
        <v>990</v>
      </c>
      <c r="I35" s="15" t="s">
        <v>272</v>
      </c>
      <c r="J35" s="17" t="s">
        <v>1063</v>
      </c>
      <c r="K35" s="16" t="n">
        <f aca="false">ROUND((IF(E35="Transactional",5,IF(E35="Commercial",4,IF(E35="Comparison",3,IF(E35="Informational",2,3))))*LOG10(IF(ISNUMBER(L35),L35,IFERROR(VALUE(LEFT(F35,FIND("-",F35)-1)),100))+1))/IF(IF(ISBLANK(M35),G35,M35)="High",5,IF(IF(ISBLANK(M35),G35,M35)="Medium",3,1)),2)</f>
        <v>8.72</v>
      </c>
      <c r="L35" s="14"/>
      <c r="M35" s="14"/>
      <c r="N35" s="14"/>
      <c r="O35" s="14" t="s">
        <v>123</v>
      </c>
      <c r="P35" s="15"/>
    </row>
    <row r="36" customFormat="false" ht="25.5" hidden="false" customHeight="true" outlineLevel="0" collapsed="false">
      <c r="A36" s="14" t="n">
        <v>415</v>
      </c>
      <c r="B36" s="14" t="n">
        <v>3</v>
      </c>
      <c r="C36" s="14" t="s">
        <v>115</v>
      </c>
      <c r="D36" s="15" t="s">
        <v>1064</v>
      </c>
      <c r="E36" s="14" t="s">
        <v>117</v>
      </c>
      <c r="F36" s="15" t="s">
        <v>997</v>
      </c>
      <c r="G36" s="14" t="s">
        <v>505</v>
      </c>
      <c r="H36" s="14" t="s">
        <v>990</v>
      </c>
      <c r="I36" s="15" t="s">
        <v>272</v>
      </c>
      <c r="J36" s="15" t="s">
        <v>1065</v>
      </c>
      <c r="K36" s="16" t="n">
        <f aca="false">ROUND((IF(E36="Transactional",5,IF(E36="Commercial",4,IF(E36="Comparison",3,IF(E36="Informational",2,3))))*LOG10(IF(ISNUMBER(L36),L36,IFERROR(VALUE(LEFT(F36,FIND("-",F36)-1)),100))+1))/IF(IF(ISBLANK(M36),G36,M36)="High",5,IF(IF(ISBLANK(M36),G36,M36)="Medium",3,1)),2)</f>
        <v>9.21</v>
      </c>
      <c r="L36" s="14"/>
      <c r="M36" s="14"/>
      <c r="N36" s="14"/>
      <c r="O36" s="14" t="s">
        <v>123</v>
      </c>
      <c r="P36" s="15" t="s">
        <v>992</v>
      </c>
    </row>
    <row r="37" customFormat="false" ht="25.5" hidden="false" customHeight="true" outlineLevel="0" collapsed="false">
      <c r="A37" s="14" t="n">
        <v>416</v>
      </c>
      <c r="B37" s="14" t="n">
        <v>3</v>
      </c>
      <c r="C37" s="14" t="s">
        <v>125</v>
      </c>
      <c r="D37" s="17" t="s">
        <v>1066</v>
      </c>
      <c r="E37" s="14" t="s">
        <v>117</v>
      </c>
      <c r="F37" s="15" t="s">
        <v>1000</v>
      </c>
      <c r="G37" s="14" t="s">
        <v>505</v>
      </c>
      <c r="H37" s="14" t="s">
        <v>990</v>
      </c>
      <c r="I37" s="15" t="s">
        <v>272</v>
      </c>
      <c r="J37" s="17" t="s">
        <v>1067</v>
      </c>
      <c r="K37" s="16" t="n">
        <f aca="false">ROUND((IF(E37="Transactional",5,IF(E37="Commercial",4,IF(E37="Comparison",3,IF(E37="Informational",2,3))))*LOG10(IF(ISNUMBER(L37),L37,IFERROR(VALUE(LEFT(F37,FIND("-",F37)-1)),100))+1))/IF(IF(ISBLANK(M37),G37,M37)="High",5,IF(IF(ISBLANK(M37),G37,M37)="Medium",3,1)),2)</f>
        <v>8.72</v>
      </c>
      <c r="L37" s="14"/>
      <c r="M37" s="14"/>
      <c r="N37" s="14"/>
      <c r="O37" s="14" t="s">
        <v>123</v>
      </c>
      <c r="P37" s="15"/>
    </row>
    <row r="38" customFormat="false" ht="25.5" hidden="false" customHeight="true" outlineLevel="0" collapsed="false">
      <c r="A38" s="14" t="n">
        <v>417</v>
      </c>
      <c r="B38" s="14" t="n">
        <v>3</v>
      </c>
      <c r="C38" s="14" t="s">
        <v>115</v>
      </c>
      <c r="D38" s="15" t="s">
        <v>1068</v>
      </c>
      <c r="E38" s="14" t="s">
        <v>117</v>
      </c>
      <c r="F38" s="15" t="s">
        <v>1019</v>
      </c>
      <c r="G38" s="14" t="s">
        <v>505</v>
      </c>
      <c r="H38" s="14" t="s">
        <v>990</v>
      </c>
      <c r="I38" s="15" t="s">
        <v>254</v>
      </c>
      <c r="J38" s="15" t="s">
        <v>1069</v>
      </c>
      <c r="K38" s="16" t="n">
        <f aca="false">ROUND((IF(E38="Transactional",5,IF(E38="Commercial",4,IF(E38="Comparison",3,IF(E38="Informational",2,3))))*LOG10(IF(ISNUMBER(L38),L38,IFERROR(VALUE(LEFT(F38,FIND("-",F38)-1)),100))+1))/IF(IF(ISBLANK(M38),G38,M38)="High",5,IF(IF(ISBLANK(M38),G38,M38)="Medium",3,1)),2)</f>
        <v>8.02</v>
      </c>
      <c r="L38" s="14"/>
      <c r="M38" s="14"/>
      <c r="N38" s="14"/>
      <c r="O38" s="14" t="s">
        <v>123</v>
      </c>
      <c r="P38" s="15" t="s">
        <v>992</v>
      </c>
    </row>
    <row r="39" customFormat="false" ht="25.5" hidden="false" customHeight="true" outlineLevel="0" collapsed="false">
      <c r="A39" s="14" t="n">
        <v>418</v>
      </c>
      <c r="B39" s="14" t="n">
        <v>3</v>
      </c>
      <c r="C39" s="14" t="s">
        <v>125</v>
      </c>
      <c r="D39" s="17" t="s">
        <v>1070</v>
      </c>
      <c r="E39" s="14" t="s">
        <v>117</v>
      </c>
      <c r="F39" s="15" t="s">
        <v>1022</v>
      </c>
      <c r="G39" s="14" t="s">
        <v>505</v>
      </c>
      <c r="H39" s="14" t="s">
        <v>990</v>
      </c>
      <c r="I39" s="15" t="s">
        <v>254</v>
      </c>
      <c r="J39" s="17" t="s">
        <v>1071</v>
      </c>
      <c r="K39" s="16" t="n">
        <f aca="false">ROUND((IF(E39="Transactional",5,IF(E39="Commercial",4,IF(E39="Comparison",3,IF(E39="Informational",2,3))))*LOG10(IF(ISNUMBER(L39),L39,IFERROR(VALUE(LEFT(F39,FIND("-",F39)-1)),100))+1))/IF(IF(ISBLANK(M39),G39,M39)="High",5,IF(IF(ISBLANK(M39),G39,M39)="Medium",3,1)),2)</f>
        <v>7.63</v>
      </c>
      <c r="L39" s="14"/>
      <c r="M39" s="14"/>
      <c r="N39" s="14"/>
      <c r="O39" s="14" t="s">
        <v>123</v>
      </c>
      <c r="P39" s="15"/>
    </row>
    <row r="40" customFormat="false" ht="25.5" hidden="false" customHeight="true" outlineLevel="0" collapsed="false">
      <c r="A40" s="14" t="n">
        <v>419</v>
      </c>
      <c r="B40" s="14" t="n">
        <v>3</v>
      </c>
      <c r="C40" s="14" t="s">
        <v>115</v>
      </c>
      <c r="D40" s="15" t="s">
        <v>1072</v>
      </c>
      <c r="E40" s="14" t="s">
        <v>117</v>
      </c>
      <c r="F40" s="15" t="s">
        <v>997</v>
      </c>
      <c r="G40" s="14" t="s">
        <v>505</v>
      </c>
      <c r="H40" s="14" t="s">
        <v>990</v>
      </c>
      <c r="I40" s="15" t="s">
        <v>472</v>
      </c>
      <c r="J40" s="15" t="s">
        <v>1073</v>
      </c>
      <c r="K40" s="16" t="n">
        <f aca="false">ROUND((IF(E40="Transactional",5,IF(E40="Commercial",4,IF(E40="Comparison",3,IF(E40="Informational",2,3))))*LOG10(IF(ISNUMBER(L40),L40,IFERROR(VALUE(LEFT(F40,FIND("-",F40)-1)),100))+1))/IF(IF(ISBLANK(M40),G40,M40)="High",5,IF(IF(ISBLANK(M40),G40,M40)="Medium",3,1)),2)</f>
        <v>9.21</v>
      </c>
      <c r="L40" s="14"/>
      <c r="M40" s="14"/>
      <c r="N40" s="14"/>
      <c r="O40" s="14" t="s">
        <v>123</v>
      </c>
      <c r="P40" s="15" t="s">
        <v>992</v>
      </c>
    </row>
    <row r="41" customFormat="false" ht="25.5" hidden="false" customHeight="true" outlineLevel="0" collapsed="false">
      <c r="A41" s="14" t="n">
        <v>420</v>
      </c>
      <c r="B41" s="14" t="n">
        <v>3</v>
      </c>
      <c r="C41" s="14" t="s">
        <v>125</v>
      </c>
      <c r="D41" s="17" t="s">
        <v>1074</v>
      </c>
      <c r="E41" s="14" t="s">
        <v>117</v>
      </c>
      <c r="F41" s="15" t="s">
        <v>1000</v>
      </c>
      <c r="G41" s="14" t="s">
        <v>505</v>
      </c>
      <c r="H41" s="14" t="s">
        <v>990</v>
      </c>
      <c r="I41" s="15" t="s">
        <v>472</v>
      </c>
      <c r="J41" s="17" t="s">
        <v>1075</v>
      </c>
      <c r="K41" s="16" t="n">
        <f aca="false">ROUND((IF(E41="Transactional",5,IF(E41="Commercial",4,IF(E41="Comparison",3,IF(E41="Informational",2,3))))*LOG10(IF(ISNUMBER(L41),L41,IFERROR(VALUE(LEFT(F41,FIND("-",F41)-1)),100))+1))/IF(IF(ISBLANK(M41),G41,M41)="High",5,IF(IF(ISBLANK(M41),G41,M41)="Medium",3,1)),2)</f>
        <v>8.72</v>
      </c>
      <c r="L41" s="14"/>
      <c r="M41" s="14"/>
      <c r="N41" s="14"/>
      <c r="O41" s="14" t="s">
        <v>123</v>
      </c>
      <c r="P41" s="15"/>
    </row>
    <row r="42" customFormat="false" ht="25.5" hidden="false" customHeight="true" outlineLevel="0" collapsed="false">
      <c r="A42" s="14" t="n">
        <v>421</v>
      </c>
      <c r="B42" s="14" t="n">
        <v>3</v>
      </c>
      <c r="C42" s="14" t="s">
        <v>115</v>
      </c>
      <c r="D42" s="15" t="s">
        <v>1076</v>
      </c>
      <c r="E42" s="14" t="s">
        <v>117</v>
      </c>
      <c r="F42" s="15" t="s">
        <v>997</v>
      </c>
      <c r="G42" s="14" t="s">
        <v>505</v>
      </c>
      <c r="H42" s="14" t="s">
        <v>990</v>
      </c>
      <c r="I42" s="15" t="s">
        <v>472</v>
      </c>
      <c r="J42" s="15" t="s">
        <v>1077</v>
      </c>
      <c r="K42" s="16" t="n">
        <f aca="false">ROUND((IF(E42="Transactional",5,IF(E42="Commercial",4,IF(E42="Comparison",3,IF(E42="Informational",2,3))))*LOG10(IF(ISNUMBER(L42),L42,IFERROR(VALUE(LEFT(F42,FIND("-",F42)-1)),100))+1))/IF(IF(ISBLANK(M42),G42,M42)="High",5,IF(IF(ISBLANK(M42),G42,M42)="Medium",3,1)),2)</f>
        <v>9.21</v>
      </c>
      <c r="L42" s="14"/>
      <c r="M42" s="14"/>
      <c r="N42" s="14"/>
      <c r="O42" s="14" t="s">
        <v>123</v>
      </c>
      <c r="P42" s="15" t="s">
        <v>992</v>
      </c>
    </row>
    <row r="43" customFormat="false" ht="25.5" hidden="false" customHeight="true" outlineLevel="0" collapsed="false">
      <c r="A43" s="14" t="n">
        <v>422</v>
      </c>
      <c r="B43" s="14" t="n">
        <v>3</v>
      </c>
      <c r="C43" s="14" t="s">
        <v>125</v>
      </c>
      <c r="D43" s="17" t="s">
        <v>1078</v>
      </c>
      <c r="E43" s="14" t="s">
        <v>117</v>
      </c>
      <c r="F43" s="15" t="s">
        <v>1000</v>
      </c>
      <c r="G43" s="14" t="s">
        <v>505</v>
      </c>
      <c r="H43" s="14" t="s">
        <v>990</v>
      </c>
      <c r="I43" s="15" t="s">
        <v>472</v>
      </c>
      <c r="J43" s="17" t="s">
        <v>1079</v>
      </c>
      <c r="K43" s="16" t="n">
        <f aca="false">ROUND((IF(E43="Transactional",5,IF(E43="Commercial",4,IF(E43="Comparison",3,IF(E43="Informational",2,3))))*LOG10(IF(ISNUMBER(L43),L43,IFERROR(VALUE(LEFT(F43,FIND("-",F43)-1)),100))+1))/IF(IF(ISBLANK(M43),G43,M43)="High",5,IF(IF(ISBLANK(M43),G43,M43)="Medium",3,1)),2)</f>
        <v>8.72</v>
      </c>
      <c r="L43" s="14"/>
      <c r="M43" s="14"/>
      <c r="N43" s="14"/>
      <c r="O43" s="14" t="s">
        <v>123</v>
      </c>
      <c r="P43" s="15"/>
    </row>
    <row r="44" customFormat="false" ht="25.5" hidden="false" customHeight="true" outlineLevel="0" collapsed="false">
      <c r="A44" s="14" t="n">
        <v>423</v>
      </c>
      <c r="B44" s="14" t="n">
        <v>3</v>
      </c>
      <c r="C44" s="14" t="s">
        <v>115</v>
      </c>
      <c r="D44" s="15" t="s">
        <v>1080</v>
      </c>
      <c r="E44" s="14" t="s">
        <v>117</v>
      </c>
      <c r="F44" s="15" t="s">
        <v>997</v>
      </c>
      <c r="G44" s="14" t="s">
        <v>505</v>
      </c>
      <c r="H44" s="14" t="s">
        <v>990</v>
      </c>
      <c r="I44" s="15" t="s">
        <v>461</v>
      </c>
      <c r="J44" s="15" t="s">
        <v>1081</v>
      </c>
      <c r="K44" s="16" t="n">
        <f aca="false">ROUND((IF(E44="Transactional",5,IF(E44="Commercial",4,IF(E44="Comparison",3,IF(E44="Informational",2,3))))*LOG10(IF(ISNUMBER(L44),L44,IFERROR(VALUE(LEFT(F44,FIND("-",F44)-1)),100))+1))/IF(IF(ISBLANK(M44),G44,M44)="High",5,IF(IF(ISBLANK(M44),G44,M44)="Medium",3,1)),2)</f>
        <v>9.21</v>
      </c>
      <c r="L44" s="14"/>
      <c r="M44" s="14"/>
      <c r="N44" s="14"/>
      <c r="O44" s="14" t="s">
        <v>123</v>
      </c>
      <c r="P44" s="15" t="s">
        <v>992</v>
      </c>
    </row>
    <row r="45" customFormat="false" ht="25.5" hidden="false" customHeight="true" outlineLevel="0" collapsed="false">
      <c r="A45" s="14" t="n">
        <v>424</v>
      </c>
      <c r="B45" s="14" t="n">
        <v>3</v>
      </c>
      <c r="C45" s="14" t="s">
        <v>125</v>
      </c>
      <c r="D45" s="17" t="s">
        <v>1082</v>
      </c>
      <c r="E45" s="14" t="s">
        <v>117</v>
      </c>
      <c r="F45" s="15" t="s">
        <v>1000</v>
      </c>
      <c r="G45" s="14" t="s">
        <v>505</v>
      </c>
      <c r="H45" s="14" t="s">
        <v>990</v>
      </c>
      <c r="I45" s="15" t="s">
        <v>461</v>
      </c>
      <c r="J45" s="17" t="s">
        <v>1083</v>
      </c>
      <c r="K45" s="16" t="n">
        <f aca="false">ROUND((IF(E45="Transactional",5,IF(E45="Commercial",4,IF(E45="Comparison",3,IF(E45="Informational",2,3))))*LOG10(IF(ISNUMBER(L45),L45,IFERROR(VALUE(LEFT(F45,FIND("-",F45)-1)),100))+1))/IF(IF(ISBLANK(M45),G45,M45)="High",5,IF(IF(ISBLANK(M45),G45,M45)="Medium",3,1)),2)</f>
        <v>8.72</v>
      </c>
      <c r="L45" s="14"/>
      <c r="M45" s="14"/>
      <c r="N45" s="14"/>
      <c r="O45" s="14" t="s">
        <v>123</v>
      </c>
      <c r="P45" s="15"/>
    </row>
    <row r="46" customFormat="false" ht="25.5" hidden="false" customHeight="true" outlineLevel="0" collapsed="false">
      <c r="A46" s="14" t="n">
        <v>425</v>
      </c>
      <c r="B46" s="14" t="n">
        <v>3</v>
      </c>
      <c r="C46" s="14" t="s">
        <v>115</v>
      </c>
      <c r="D46" s="15" t="s">
        <v>1084</v>
      </c>
      <c r="E46" s="14" t="s">
        <v>117</v>
      </c>
      <c r="F46" s="15" t="s">
        <v>997</v>
      </c>
      <c r="G46" s="14" t="s">
        <v>505</v>
      </c>
      <c r="H46" s="14" t="s">
        <v>990</v>
      </c>
      <c r="I46" s="15" t="s">
        <v>461</v>
      </c>
      <c r="J46" s="15" t="s">
        <v>1085</v>
      </c>
      <c r="K46" s="16" t="n">
        <f aca="false">ROUND((IF(E46="Transactional",5,IF(E46="Commercial",4,IF(E46="Comparison",3,IF(E46="Informational",2,3))))*LOG10(IF(ISNUMBER(L46),L46,IFERROR(VALUE(LEFT(F46,FIND("-",F46)-1)),100))+1))/IF(IF(ISBLANK(M46),G46,M46)="High",5,IF(IF(ISBLANK(M46),G46,M46)="Medium",3,1)),2)</f>
        <v>9.21</v>
      </c>
      <c r="L46" s="14"/>
      <c r="M46" s="14"/>
      <c r="N46" s="14"/>
      <c r="O46" s="14" t="s">
        <v>123</v>
      </c>
      <c r="P46" s="15" t="s">
        <v>992</v>
      </c>
    </row>
    <row r="47" customFormat="false" ht="25.5" hidden="false" customHeight="true" outlineLevel="0" collapsed="false">
      <c r="A47" s="14" t="n">
        <v>426</v>
      </c>
      <c r="B47" s="14" t="n">
        <v>3</v>
      </c>
      <c r="C47" s="14" t="s">
        <v>125</v>
      </c>
      <c r="D47" s="17" t="s">
        <v>1086</v>
      </c>
      <c r="E47" s="14" t="s">
        <v>117</v>
      </c>
      <c r="F47" s="15" t="s">
        <v>1000</v>
      </c>
      <c r="G47" s="14" t="s">
        <v>505</v>
      </c>
      <c r="H47" s="14" t="s">
        <v>990</v>
      </c>
      <c r="I47" s="15" t="s">
        <v>461</v>
      </c>
      <c r="J47" s="17" t="s">
        <v>1087</v>
      </c>
      <c r="K47" s="16" t="n">
        <f aca="false">ROUND((IF(E47="Transactional",5,IF(E47="Commercial",4,IF(E47="Comparison",3,IF(E47="Informational",2,3))))*LOG10(IF(ISNUMBER(L47),L47,IFERROR(VALUE(LEFT(F47,FIND("-",F47)-1)),100))+1))/IF(IF(ISBLANK(M47),G47,M47)="High",5,IF(IF(ISBLANK(M47),G47,M47)="Medium",3,1)),2)</f>
        <v>8.72</v>
      </c>
      <c r="L47" s="14"/>
      <c r="M47" s="14"/>
      <c r="N47" s="14"/>
      <c r="O47" s="14" t="s">
        <v>123</v>
      </c>
      <c r="P47" s="15"/>
    </row>
    <row r="48" customFormat="false" ht="25.5" hidden="false" customHeight="true" outlineLevel="0" collapsed="false">
      <c r="A48" s="14" t="n">
        <v>427</v>
      </c>
      <c r="B48" s="14" t="n">
        <v>3</v>
      </c>
      <c r="C48" s="14" t="s">
        <v>115</v>
      </c>
      <c r="D48" s="15" t="s">
        <v>1088</v>
      </c>
      <c r="E48" s="14" t="s">
        <v>117</v>
      </c>
      <c r="F48" s="15" t="s">
        <v>997</v>
      </c>
      <c r="G48" s="14" t="s">
        <v>505</v>
      </c>
      <c r="H48" s="14" t="s">
        <v>990</v>
      </c>
      <c r="I48" s="15" t="s">
        <v>461</v>
      </c>
      <c r="J48" s="15" t="s">
        <v>1089</v>
      </c>
      <c r="K48" s="16" t="n">
        <f aca="false">ROUND((IF(E48="Transactional",5,IF(E48="Commercial",4,IF(E48="Comparison",3,IF(E48="Informational",2,3))))*LOG10(IF(ISNUMBER(L48),L48,IFERROR(VALUE(LEFT(F48,FIND("-",F48)-1)),100))+1))/IF(IF(ISBLANK(M48),G48,M48)="High",5,IF(IF(ISBLANK(M48),G48,M48)="Medium",3,1)),2)</f>
        <v>9.21</v>
      </c>
      <c r="L48" s="14"/>
      <c r="M48" s="14"/>
      <c r="N48" s="14"/>
      <c r="O48" s="14" t="s">
        <v>123</v>
      </c>
      <c r="P48" s="15" t="s">
        <v>992</v>
      </c>
    </row>
    <row r="49" customFormat="false" ht="25.5" hidden="false" customHeight="true" outlineLevel="0" collapsed="false">
      <c r="A49" s="14" t="n">
        <v>428</v>
      </c>
      <c r="B49" s="14" t="n">
        <v>3</v>
      </c>
      <c r="C49" s="14" t="s">
        <v>125</v>
      </c>
      <c r="D49" s="17" t="s">
        <v>1090</v>
      </c>
      <c r="E49" s="14" t="s">
        <v>117</v>
      </c>
      <c r="F49" s="15" t="s">
        <v>1000</v>
      </c>
      <c r="G49" s="14" t="s">
        <v>505</v>
      </c>
      <c r="H49" s="14" t="s">
        <v>990</v>
      </c>
      <c r="I49" s="15" t="s">
        <v>461</v>
      </c>
      <c r="J49" s="17" t="s">
        <v>1091</v>
      </c>
      <c r="K49" s="16" t="n">
        <f aca="false">ROUND((IF(E49="Transactional",5,IF(E49="Commercial",4,IF(E49="Comparison",3,IF(E49="Informational",2,3))))*LOG10(IF(ISNUMBER(L49),L49,IFERROR(VALUE(LEFT(F49,FIND("-",F49)-1)),100))+1))/IF(IF(ISBLANK(M49),G49,M49)="High",5,IF(IF(ISBLANK(M49),G49,M49)="Medium",3,1)),2)</f>
        <v>8.72</v>
      </c>
      <c r="L49" s="14"/>
      <c r="M49" s="14"/>
      <c r="N49" s="14"/>
      <c r="O49" s="14" t="s">
        <v>123</v>
      </c>
      <c r="P49" s="15"/>
    </row>
    <row r="50" customFormat="false" ht="25.5" hidden="false" customHeight="true" outlineLevel="0" collapsed="false">
      <c r="A50" s="14" t="n">
        <v>429</v>
      </c>
      <c r="B50" s="14" t="n">
        <v>3</v>
      </c>
      <c r="C50" s="14" t="s">
        <v>115</v>
      </c>
      <c r="D50" s="15" t="s">
        <v>1092</v>
      </c>
      <c r="E50" s="14" t="s">
        <v>117</v>
      </c>
      <c r="F50" s="15" t="s">
        <v>1019</v>
      </c>
      <c r="G50" s="14" t="s">
        <v>505</v>
      </c>
      <c r="H50" s="14" t="s">
        <v>990</v>
      </c>
      <c r="I50" s="15" t="s">
        <v>260</v>
      </c>
      <c r="J50" s="15" t="s">
        <v>1093</v>
      </c>
      <c r="K50" s="16" t="n">
        <f aca="false">ROUND((IF(E50="Transactional",5,IF(E50="Commercial",4,IF(E50="Comparison",3,IF(E50="Informational",2,3))))*LOG10(IF(ISNUMBER(L50),L50,IFERROR(VALUE(LEFT(F50,FIND("-",F50)-1)),100))+1))/IF(IF(ISBLANK(M50),G50,M50)="High",5,IF(IF(ISBLANK(M50),G50,M50)="Medium",3,1)),2)</f>
        <v>8.02</v>
      </c>
      <c r="L50" s="14"/>
      <c r="M50" s="14"/>
      <c r="N50" s="14"/>
      <c r="O50" s="14" t="s">
        <v>123</v>
      </c>
      <c r="P50" s="15" t="s">
        <v>992</v>
      </c>
    </row>
    <row r="51" customFormat="false" ht="25.5" hidden="false" customHeight="true" outlineLevel="0" collapsed="false">
      <c r="A51" s="14" t="n">
        <v>430</v>
      </c>
      <c r="B51" s="14" t="n">
        <v>3</v>
      </c>
      <c r="C51" s="14" t="s">
        <v>125</v>
      </c>
      <c r="D51" s="17" t="s">
        <v>1094</v>
      </c>
      <c r="E51" s="14" t="s">
        <v>117</v>
      </c>
      <c r="F51" s="15" t="s">
        <v>1022</v>
      </c>
      <c r="G51" s="14" t="s">
        <v>505</v>
      </c>
      <c r="H51" s="14" t="s">
        <v>990</v>
      </c>
      <c r="I51" s="15" t="s">
        <v>260</v>
      </c>
      <c r="J51" s="17" t="s">
        <v>1095</v>
      </c>
      <c r="K51" s="16" t="n">
        <f aca="false">ROUND((IF(E51="Transactional",5,IF(E51="Commercial",4,IF(E51="Comparison",3,IF(E51="Informational",2,3))))*LOG10(IF(ISNUMBER(L51),L51,IFERROR(VALUE(LEFT(F51,FIND("-",F51)-1)),100))+1))/IF(IF(ISBLANK(M51),G51,M51)="High",5,IF(IF(ISBLANK(M51),G51,M51)="Medium",3,1)),2)</f>
        <v>7.63</v>
      </c>
      <c r="L51" s="14"/>
      <c r="M51" s="14"/>
      <c r="N51" s="14"/>
      <c r="O51" s="14" t="s">
        <v>123</v>
      </c>
      <c r="P51" s="15"/>
    </row>
    <row r="52" customFormat="false" ht="25.5" hidden="false" customHeight="true" outlineLevel="0" collapsed="false">
      <c r="A52" s="14" t="n">
        <v>431</v>
      </c>
      <c r="B52" s="14" t="n">
        <v>3</v>
      </c>
      <c r="C52" s="14" t="s">
        <v>115</v>
      </c>
      <c r="D52" s="15" t="s">
        <v>1096</v>
      </c>
      <c r="E52" s="14" t="s">
        <v>117</v>
      </c>
      <c r="F52" s="15" t="s">
        <v>1019</v>
      </c>
      <c r="G52" s="14" t="s">
        <v>505</v>
      </c>
      <c r="H52" s="14" t="s">
        <v>990</v>
      </c>
      <c r="I52" s="15" t="s">
        <v>260</v>
      </c>
      <c r="J52" s="15" t="s">
        <v>1097</v>
      </c>
      <c r="K52" s="16" t="n">
        <f aca="false">ROUND((IF(E52="Transactional",5,IF(E52="Commercial",4,IF(E52="Comparison",3,IF(E52="Informational",2,3))))*LOG10(IF(ISNUMBER(L52),L52,IFERROR(VALUE(LEFT(F52,FIND("-",F52)-1)),100))+1))/IF(IF(ISBLANK(M52),G52,M52)="High",5,IF(IF(ISBLANK(M52),G52,M52)="Medium",3,1)),2)</f>
        <v>8.02</v>
      </c>
      <c r="L52" s="14"/>
      <c r="M52" s="14"/>
      <c r="N52" s="14"/>
      <c r="O52" s="14" t="s">
        <v>123</v>
      </c>
      <c r="P52" s="15" t="s">
        <v>992</v>
      </c>
    </row>
    <row r="53" customFormat="false" ht="25.5" hidden="false" customHeight="true" outlineLevel="0" collapsed="false">
      <c r="A53" s="14" t="n">
        <v>432</v>
      </c>
      <c r="B53" s="14" t="n">
        <v>3</v>
      </c>
      <c r="C53" s="14" t="s">
        <v>125</v>
      </c>
      <c r="D53" s="17" t="s">
        <v>1098</v>
      </c>
      <c r="E53" s="14" t="s">
        <v>117</v>
      </c>
      <c r="F53" s="15" t="s">
        <v>1022</v>
      </c>
      <c r="G53" s="14" t="s">
        <v>505</v>
      </c>
      <c r="H53" s="14" t="s">
        <v>990</v>
      </c>
      <c r="I53" s="15" t="s">
        <v>260</v>
      </c>
      <c r="J53" s="17" t="s">
        <v>1099</v>
      </c>
      <c r="K53" s="16" t="n">
        <f aca="false">ROUND((IF(E53="Transactional",5,IF(E53="Commercial",4,IF(E53="Comparison",3,IF(E53="Informational",2,3))))*LOG10(IF(ISNUMBER(L53),L53,IFERROR(VALUE(LEFT(F53,FIND("-",F53)-1)),100))+1))/IF(IF(ISBLANK(M53),G53,M53)="High",5,IF(IF(ISBLANK(M53),G53,M53)="Medium",3,1)),2)</f>
        <v>7.63</v>
      </c>
      <c r="L53" s="14"/>
      <c r="M53" s="14"/>
      <c r="N53" s="14"/>
      <c r="O53" s="14" t="s">
        <v>123</v>
      </c>
      <c r="P53" s="15"/>
    </row>
  </sheetData>
  <conditionalFormatting sqref="K2:K53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53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53" type="list">
      <formula1>"EN,AR,FA"</formula1>
      <formula2>0</formula2>
    </dataValidation>
    <dataValidation allowBlank="true" errorStyle="stop" operator="between" showDropDown="false" showErrorMessage="false" showInputMessage="false" sqref="E2:E53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53 M2:M53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18" t="n">
        <v>433</v>
      </c>
      <c r="B2" s="18" t="n">
        <v>4</v>
      </c>
      <c r="C2" s="18" t="s">
        <v>115</v>
      </c>
      <c r="D2" s="19" t="s">
        <v>1100</v>
      </c>
      <c r="E2" s="18" t="s">
        <v>1101</v>
      </c>
      <c r="F2" s="19" t="s">
        <v>1102</v>
      </c>
      <c r="G2" s="18" t="s">
        <v>505</v>
      </c>
      <c r="H2" s="18" t="s">
        <v>1103</v>
      </c>
      <c r="I2" s="19" t="s">
        <v>121</v>
      </c>
      <c r="J2" s="19" t="s">
        <v>1104</v>
      </c>
      <c r="K2" s="20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13.5</v>
      </c>
      <c r="L2" s="18"/>
      <c r="M2" s="18"/>
      <c r="N2" s="18"/>
      <c r="O2" s="18" t="s">
        <v>123</v>
      </c>
      <c r="P2" s="19" t="s">
        <v>1105</v>
      </c>
    </row>
    <row r="3" customFormat="false" ht="25.5" hidden="false" customHeight="true" outlineLevel="0" collapsed="false">
      <c r="A3" s="18" t="n">
        <v>434</v>
      </c>
      <c r="B3" s="18" t="n">
        <v>4</v>
      </c>
      <c r="C3" s="18" t="s">
        <v>125</v>
      </c>
      <c r="D3" s="21" t="s">
        <v>1106</v>
      </c>
      <c r="E3" s="18" t="s">
        <v>1101</v>
      </c>
      <c r="F3" s="19" t="s">
        <v>136</v>
      </c>
      <c r="G3" s="18" t="s">
        <v>505</v>
      </c>
      <c r="H3" s="18" t="s">
        <v>1103</v>
      </c>
      <c r="I3" s="19" t="s">
        <v>121</v>
      </c>
      <c r="J3" s="21" t="s">
        <v>1107</v>
      </c>
      <c r="K3" s="20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13.02</v>
      </c>
      <c r="L3" s="18"/>
      <c r="M3" s="18"/>
      <c r="N3" s="18"/>
      <c r="O3" s="18" t="s">
        <v>123</v>
      </c>
      <c r="P3" s="19"/>
    </row>
    <row r="4" customFormat="false" ht="25.5" hidden="false" customHeight="true" outlineLevel="0" collapsed="false">
      <c r="A4" s="18" t="n">
        <v>435</v>
      </c>
      <c r="B4" s="18" t="n">
        <v>4</v>
      </c>
      <c r="C4" s="18" t="s">
        <v>115</v>
      </c>
      <c r="D4" s="19" t="s">
        <v>1108</v>
      </c>
      <c r="E4" s="18" t="s">
        <v>117</v>
      </c>
      <c r="F4" s="19" t="s">
        <v>989</v>
      </c>
      <c r="G4" s="18" t="s">
        <v>505</v>
      </c>
      <c r="H4" s="18" t="s">
        <v>1103</v>
      </c>
      <c r="I4" s="19" t="s">
        <v>121</v>
      </c>
      <c r="J4" s="19" t="s">
        <v>1109</v>
      </c>
      <c r="K4" s="20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9.91</v>
      </c>
      <c r="L4" s="18"/>
      <c r="M4" s="18"/>
      <c r="N4" s="18"/>
      <c r="O4" s="18" t="s">
        <v>123</v>
      </c>
      <c r="P4" s="19" t="s">
        <v>1105</v>
      </c>
    </row>
    <row r="5" customFormat="false" ht="25.5" hidden="false" customHeight="true" outlineLevel="0" collapsed="false">
      <c r="A5" s="18" t="n">
        <v>436</v>
      </c>
      <c r="B5" s="18" t="n">
        <v>4</v>
      </c>
      <c r="C5" s="18" t="s">
        <v>125</v>
      </c>
      <c r="D5" s="21" t="s">
        <v>1110</v>
      </c>
      <c r="E5" s="18" t="s">
        <v>117</v>
      </c>
      <c r="F5" s="19" t="s">
        <v>994</v>
      </c>
      <c r="G5" s="18" t="s">
        <v>505</v>
      </c>
      <c r="H5" s="18" t="s">
        <v>1103</v>
      </c>
      <c r="I5" s="19" t="s">
        <v>121</v>
      </c>
      <c r="J5" s="21" t="s">
        <v>1111</v>
      </c>
      <c r="K5" s="20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9.6</v>
      </c>
      <c r="L5" s="18"/>
      <c r="M5" s="18"/>
      <c r="N5" s="18"/>
      <c r="O5" s="18" t="s">
        <v>123</v>
      </c>
      <c r="P5" s="19"/>
    </row>
    <row r="6" customFormat="false" ht="25.5" hidden="false" customHeight="true" outlineLevel="0" collapsed="false">
      <c r="A6" s="18" t="n">
        <v>437</v>
      </c>
      <c r="B6" s="18" t="n">
        <v>4</v>
      </c>
      <c r="C6" s="18" t="s">
        <v>115</v>
      </c>
      <c r="D6" s="19" t="s">
        <v>1112</v>
      </c>
      <c r="E6" s="18" t="s">
        <v>117</v>
      </c>
      <c r="F6" s="19" t="s">
        <v>1000</v>
      </c>
      <c r="G6" s="18" t="s">
        <v>505</v>
      </c>
      <c r="H6" s="18" t="s">
        <v>1103</v>
      </c>
      <c r="I6" s="19" t="s">
        <v>121</v>
      </c>
      <c r="J6" s="19" t="s">
        <v>1113</v>
      </c>
      <c r="K6" s="20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8.72</v>
      </c>
      <c r="L6" s="18"/>
      <c r="M6" s="18"/>
      <c r="N6" s="18"/>
      <c r="O6" s="18" t="s">
        <v>123</v>
      </c>
      <c r="P6" s="19" t="s">
        <v>1105</v>
      </c>
    </row>
    <row r="7" customFormat="false" ht="25.5" hidden="false" customHeight="true" outlineLevel="0" collapsed="false">
      <c r="A7" s="18" t="n">
        <v>438</v>
      </c>
      <c r="B7" s="18" t="n">
        <v>4</v>
      </c>
      <c r="C7" s="18" t="s">
        <v>125</v>
      </c>
      <c r="D7" s="21" t="s">
        <v>1114</v>
      </c>
      <c r="E7" s="18" t="s">
        <v>117</v>
      </c>
      <c r="F7" s="19" t="s">
        <v>1115</v>
      </c>
      <c r="G7" s="18" t="s">
        <v>505</v>
      </c>
      <c r="H7" s="18" t="s">
        <v>1103</v>
      </c>
      <c r="I7" s="19" t="s">
        <v>121</v>
      </c>
      <c r="J7" s="21" t="s">
        <v>1116</v>
      </c>
      <c r="K7" s="20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8.47</v>
      </c>
      <c r="L7" s="18"/>
      <c r="M7" s="18"/>
      <c r="N7" s="18"/>
      <c r="O7" s="18" t="s">
        <v>123</v>
      </c>
      <c r="P7" s="19"/>
    </row>
    <row r="8" customFormat="false" ht="25.5" hidden="false" customHeight="true" outlineLevel="0" collapsed="false">
      <c r="A8" s="18" t="n">
        <v>439</v>
      </c>
      <c r="B8" s="18" t="n">
        <v>4</v>
      </c>
      <c r="C8" s="18" t="s">
        <v>115</v>
      </c>
      <c r="D8" s="19" t="s">
        <v>1117</v>
      </c>
      <c r="E8" s="18" t="s">
        <v>117</v>
      </c>
      <c r="F8" s="19" t="s">
        <v>989</v>
      </c>
      <c r="G8" s="18" t="s">
        <v>505</v>
      </c>
      <c r="H8" s="18" t="s">
        <v>1103</v>
      </c>
      <c r="I8" s="19" t="s">
        <v>121</v>
      </c>
      <c r="J8" s="19" t="s">
        <v>1118</v>
      </c>
      <c r="K8" s="20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9.91</v>
      </c>
      <c r="L8" s="18"/>
      <c r="M8" s="18"/>
      <c r="N8" s="18"/>
      <c r="O8" s="18" t="s">
        <v>123</v>
      </c>
      <c r="P8" s="19" t="s">
        <v>1105</v>
      </c>
    </row>
    <row r="9" customFormat="false" ht="25.5" hidden="false" customHeight="true" outlineLevel="0" collapsed="false">
      <c r="A9" s="18" t="n">
        <v>440</v>
      </c>
      <c r="B9" s="18" t="n">
        <v>4</v>
      </c>
      <c r="C9" s="18" t="s">
        <v>125</v>
      </c>
      <c r="D9" s="21" t="s">
        <v>1119</v>
      </c>
      <c r="E9" s="18" t="s">
        <v>117</v>
      </c>
      <c r="F9" s="19" t="s">
        <v>994</v>
      </c>
      <c r="G9" s="18" t="s">
        <v>505</v>
      </c>
      <c r="H9" s="18" t="s">
        <v>1103</v>
      </c>
      <c r="I9" s="19" t="s">
        <v>121</v>
      </c>
      <c r="J9" s="21" t="s">
        <v>1120</v>
      </c>
      <c r="K9" s="20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9.6</v>
      </c>
      <c r="L9" s="18"/>
      <c r="M9" s="18"/>
      <c r="N9" s="18"/>
      <c r="O9" s="18" t="s">
        <v>123</v>
      </c>
      <c r="P9" s="19"/>
    </row>
    <row r="10" customFormat="false" ht="25.5" hidden="false" customHeight="true" outlineLevel="0" collapsed="false">
      <c r="A10" s="18" t="n">
        <v>441</v>
      </c>
      <c r="B10" s="18" t="n">
        <v>4</v>
      </c>
      <c r="C10" s="18" t="s">
        <v>115</v>
      </c>
      <c r="D10" s="19" t="s">
        <v>1121</v>
      </c>
      <c r="E10" s="18" t="s">
        <v>117</v>
      </c>
      <c r="F10" s="19" t="s">
        <v>1102</v>
      </c>
      <c r="G10" s="18" t="s">
        <v>505</v>
      </c>
      <c r="H10" s="18" t="s">
        <v>1103</v>
      </c>
      <c r="I10" s="19" t="s">
        <v>174</v>
      </c>
      <c r="J10" s="19" t="s">
        <v>1122</v>
      </c>
      <c r="K10" s="20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10.8</v>
      </c>
      <c r="L10" s="18"/>
      <c r="M10" s="18"/>
      <c r="N10" s="18"/>
      <c r="O10" s="18" t="s">
        <v>123</v>
      </c>
      <c r="P10" s="19" t="s">
        <v>1105</v>
      </c>
    </row>
    <row r="11" customFormat="false" ht="25.5" hidden="false" customHeight="true" outlineLevel="0" collapsed="false">
      <c r="A11" s="18" t="n">
        <v>442</v>
      </c>
      <c r="B11" s="18" t="n">
        <v>4</v>
      </c>
      <c r="C11" s="18" t="s">
        <v>125</v>
      </c>
      <c r="D11" s="21" t="s">
        <v>1123</v>
      </c>
      <c r="E11" s="18" t="s">
        <v>117</v>
      </c>
      <c r="F11" s="19" t="s">
        <v>136</v>
      </c>
      <c r="G11" s="18" t="s">
        <v>505</v>
      </c>
      <c r="H11" s="18" t="s">
        <v>1103</v>
      </c>
      <c r="I11" s="19" t="s">
        <v>174</v>
      </c>
      <c r="J11" s="21" t="s">
        <v>1124</v>
      </c>
      <c r="K11" s="20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10.41</v>
      </c>
      <c r="L11" s="18"/>
      <c r="M11" s="18"/>
      <c r="N11" s="18"/>
      <c r="O11" s="18" t="s">
        <v>123</v>
      </c>
      <c r="P11" s="19"/>
    </row>
    <row r="12" customFormat="false" ht="25.5" hidden="false" customHeight="true" outlineLevel="0" collapsed="false">
      <c r="A12" s="18" t="n">
        <v>443</v>
      </c>
      <c r="B12" s="18" t="n">
        <v>4</v>
      </c>
      <c r="C12" s="18" t="s">
        <v>115</v>
      </c>
      <c r="D12" s="19" t="s">
        <v>1125</v>
      </c>
      <c r="E12" s="18" t="s">
        <v>117</v>
      </c>
      <c r="F12" s="19" t="s">
        <v>989</v>
      </c>
      <c r="G12" s="18" t="s">
        <v>505</v>
      </c>
      <c r="H12" s="18" t="s">
        <v>1103</v>
      </c>
      <c r="I12" s="19" t="s">
        <v>174</v>
      </c>
      <c r="J12" s="19" t="s">
        <v>1126</v>
      </c>
      <c r="K12" s="20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9.91</v>
      </c>
      <c r="L12" s="18"/>
      <c r="M12" s="18"/>
      <c r="N12" s="18"/>
      <c r="O12" s="18" t="s">
        <v>123</v>
      </c>
      <c r="P12" s="19" t="s">
        <v>1105</v>
      </c>
    </row>
    <row r="13" customFormat="false" ht="25.5" hidden="false" customHeight="true" outlineLevel="0" collapsed="false">
      <c r="A13" s="18" t="n">
        <v>444</v>
      </c>
      <c r="B13" s="18" t="n">
        <v>4</v>
      </c>
      <c r="C13" s="18" t="s">
        <v>125</v>
      </c>
      <c r="D13" s="21" t="s">
        <v>1127</v>
      </c>
      <c r="E13" s="18" t="s">
        <v>117</v>
      </c>
      <c r="F13" s="19" t="s">
        <v>994</v>
      </c>
      <c r="G13" s="18" t="s">
        <v>505</v>
      </c>
      <c r="H13" s="18" t="s">
        <v>1103</v>
      </c>
      <c r="I13" s="19" t="s">
        <v>174</v>
      </c>
      <c r="J13" s="21" t="s">
        <v>1128</v>
      </c>
      <c r="K13" s="20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9.6</v>
      </c>
      <c r="L13" s="18"/>
      <c r="M13" s="18"/>
      <c r="N13" s="18"/>
      <c r="O13" s="18" t="s">
        <v>123</v>
      </c>
      <c r="P13" s="19"/>
    </row>
    <row r="14" customFormat="false" ht="25.5" hidden="false" customHeight="true" outlineLevel="0" collapsed="false">
      <c r="A14" s="18" t="n">
        <v>445</v>
      </c>
      <c r="B14" s="18" t="n">
        <v>4</v>
      </c>
      <c r="C14" s="18" t="s">
        <v>115</v>
      </c>
      <c r="D14" s="19" t="s">
        <v>1129</v>
      </c>
      <c r="E14" s="18" t="s">
        <v>117</v>
      </c>
      <c r="F14" s="19" t="s">
        <v>989</v>
      </c>
      <c r="G14" s="18" t="s">
        <v>505</v>
      </c>
      <c r="H14" s="18" t="s">
        <v>1103</v>
      </c>
      <c r="I14" s="19" t="s">
        <v>174</v>
      </c>
      <c r="J14" s="19" t="s">
        <v>1130</v>
      </c>
      <c r="K14" s="20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9.91</v>
      </c>
      <c r="L14" s="18"/>
      <c r="M14" s="18"/>
      <c r="N14" s="18"/>
      <c r="O14" s="18" t="s">
        <v>123</v>
      </c>
      <c r="P14" s="19" t="s">
        <v>1105</v>
      </c>
    </row>
    <row r="15" customFormat="false" ht="25.5" hidden="false" customHeight="true" outlineLevel="0" collapsed="false">
      <c r="A15" s="18" t="n">
        <v>446</v>
      </c>
      <c r="B15" s="18" t="n">
        <v>4</v>
      </c>
      <c r="C15" s="18" t="s">
        <v>125</v>
      </c>
      <c r="D15" s="21" t="s">
        <v>1131</v>
      </c>
      <c r="E15" s="18" t="s">
        <v>117</v>
      </c>
      <c r="F15" s="19" t="s">
        <v>994</v>
      </c>
      <c r="G15" s="18" t="s">
        <v>505</v>
      </c>
      <c r="H15" s="18" t="s">
        <v>1103</v>
      </c>
      <c r="I15" s="19" t="s">
        <v>174</v>
      </c>
      <c r="J15" s="21" t="s">
        <v>1132</v>
      </c>
      <c r="K15" s="20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9.6</v>
      </c>
      <c r="L15" s="18"/>
      <c r="M15" s="18"/>
      <c r="N15" s="18"/>
      <c r="O15" s="18" t="s">
        <v>123</v>
      </c>
      <c r="P15" s="19"/>
    </row>
    <row r="16" customFormat="false" ht="25.5" hidden="false" customHeight="true" outlineLevel="0" collapsed="false">
      <c r="A16" s="18" t="n">
        <v>447</v>
      </c>
      <c r="B16" s="18" t="n">
        <v>4</v>
      </c>
      <c r="C16" s="18" t="s">
        <v>115</v>
      </c>
      <c r="D16" s="19" t="s">
        <v>1133</v>
      </c>
      <c r="E16" s="18" t="s">
        <v>117</v>
      </c>
      <c r="F16" s="19" t="s">
        <v>1000</v>
      </c>
      <c r="G16" s="18" t="s">
        <v>505</v>
      </c>
      <c r="H16" s="18" t="s">
        <v>1103</v>
      </c>
      <c r="I16" s="19" t="s">
        <v>174</v>
      </c>
      <c r="J16" s="19" t="s">
        <v>1134</v>
      </c>
      <c r="K16" s="20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8.72</v>
      </c>
      <c r="L16" s="18"/>
      <c r="M16" s="18"/>
      <c r="N16" s="18"/>
      <c r="O16" s="18" t="s">
        <v>123</v>
      </c>
      <c r="P16" s="19" t="s">
        <v>1105</v>
      </c>
    </row>
    <row r="17" customFormat="false" ht="25.5" hidden="false" customHeight="true" outlineLevel="0" collapsed="false">
      <c r="A17" s="18" t="n">
        <v>448</v>
      </c>
      <c r="B17" s="18" t="n">
        <v>4</v>
      </c>
      <c r="C17" s="18" t="s">
        <v>125</v>
      </c>
      <c r="D17" s="21" t="s">
        <v>1135</v>
      </c>
      <c r="E17" s="18" t="s">
        <v>117</v>
      </c>
      <c r="F17" s="19" t="s">
        <v>1115</v>
      </c>
      <c r="G17" s="18" t="s">
        <v>505</v>
      </c>
      <c r="H17" s="18" t="s">
        <v>1103</v>
      </c>
      <c r="I17" s="19" t="s">
        <v>174</v>
      </c>
      <c r="J17" s="21" t="s">
        <v>1136</v>
      </c>
      <c r="K17" s="20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8.47</v>
      </c>
      <c r="L17" s="18"/>
      <c r="M17" s="18"/>
      <c r="N17" s="18"/>
      <c r="O17" s="18" t="s">
        <v>123</v>
      </c>
      <c r="P17" s="19"/>
    </row>
    <row r="18" customFormat="false" ht="25.5" hidden="false" customHeight="true" outlineLevel="0" collapsed="false">
      <c r="A18" s="18" t="n">
        <v>449</v>
      </c>
      <c r="B18" s="18" t="n">
        <v>4</v>
      </c>
      <c r="C18" s="18" t="s">
        <v>115</v>
      </c>
      <c r="D18" s="19" t="s">
        <v>1137</v>
      </c>
      <c r="E18" s="18" t="s">
        <v>117</v>
      </c>
      <c r="F18" s="19" t="s">
        <v>1102</v>
      </c>
      <c r="G18" s="18" t="s">
        <v>505</v>
      </c>
      <c r="H18" s="18" t="s">
        <v>1103</v>
      </c>
      <c r="I18" s="19" t="s">
        <v>174</v>
      </c>
      <c r="J18" s="19" t="s">
        <v>1138</v>
      </c>
      <c r="K18" s="20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10.8</v>
      </c>
      <c r="L18" s="18"/>
      <c r="M18" s="18"/>
      <c r="N18" s="18"/>
      <c r="O18" s="18" t="s">
        <v>123</v>
      </c>
      <c r="P18" s="19" t="s">
        <v>1105</v>
      </c>
    </row>
    <row r="19" customFormat="false" ht="25.5" hidden="false" customHeight="true" outlineLevel="0" collapsed="false">
      <c r="A19" s="18" t="n">
        <v>450</v>
      </c>
      <c r="B19" s="18" t="n">
        <v>4</v>
      </c>
      <c r="C19" s="18" t="s">
        <v>125</v>
      </c>
      <c r="D19" s="21" t="s">
        <v>1139</v>
      </c>
      <c r="E19" s="18" t="s">
        <v>117</v>
      </c>
      <c r="F19" s="19" t="s">
        <v>136</v>
      </c>
      <c r="G19" s="18" t="s">
        <v>505</v>
      </c>
      <c r="H19" s="18" t="s">
        <v>1103</v>
      </c>
      <c r="I19" s="19" t="s">
        <v>174</v>
      </c>
      <c r="J19" s="21" t="s">
        <v>1140</v>
      </c>
      <c r="K19" s="20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10.41</v>
      </c>
      <c r="L19" s="18"/>
      <c r="M19" s="18"/>
      <c r="N19" s="18"/>
      <c r="O19" s="18" t="s">
        <v>123</v>
      </c>
      <c r="P19" s="19"/>
    </row>
    <row r="20" customFormat="false" ht="25.5" hidden="false" customHeight="true" outlineLevel="0" collapsed="false">
      <c r="A20" s="18" t="n">
        <v>451</v>
      </c>
      <c r="B20" s="18" t="n">
        <v>4</v>
      </c>
      <c r="C20" s="18" t="s">
        <v>115</v>
      </c>
      <c r="D20" s="19" t="s">
        <v>1141</v>
      </c>
      <c r="E20" s="18" t="s">
        <v>117</v>
      </c>
      <c r="F20" s="19" t="s">
        <v>989</v>
      </c>
      <c r="G20" s="18" t="s">
        <v>505</v>
      </c>
      <c r="H20" s="18" t="s">
        <v>1103</v>
      </c>
      <c r="I20" s="19" t="s">
        <v>174</v>
      </c>
      <c r="J20" s="19" t="s">
        <v>1142</v>
      </c>
      <c r="K20" s="20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9.91</v>
      </c>
      <c r="L20" s="18"/>
      <c r="M20" s="18"/>
      <c r="N20" s="18"/>
      <c r="O20" s="18" t="s">
        <v>123</v>
      </c>
      <c r="P20" s="19" t="s">
        <v>1105</v>
      </c>
    </row>
    <row r="21" customFormat="false" ht="25.5" hidden="false" customHeight="true" outlineLevel="0" collapsed="false">
      <c r="A21" s="18" t="n">
        <v>452</v>
      </c>
      <c r="B21" s="18" t="n">
        <v>4</v>
      </c>
      <c r="C21" s="18" t="s">
        <v>125</v>
      </c>
      <c r="D21" s="21" t="s">
        <v>1143</v>
      </c>
      <c r="E21" s="18" t="s">
        <v>117</v>
      </c>
      <c r="F21" s="19" t="s">
        <v>994</v>
      </c>
      <c r="G21" s="18" t="s">
        <v>505</v>
      </c>
      <c r="H21" s="18" t="s">
        <v>1103</v>
      </c>
      <c r="I21" s="19" t="s">
        <v>174</v>
      </c>
      <c r="J21" s="21" t="s">
        <v>1144</v>
      </c>
      <c r="K21" s="20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9.6</v>
      </c>
      <c r="L21" s="18"/>
      <c r="M21" s="18"/>
      <c r="N21" s="18"/>
      <c r="O21" s="18" t="s">
        <v>123</v>
      </c>
      <c r="P21" s="19"/>
    </row>
    <row r="22" customFormat="false" ht="25.5" hidden="false" customHeight="true" outlineLevel="0" collapsed="false">
      <c r="A22" s="18" t="n">
        <v>453</v>
      </c>
      <c r="B22" s="18" t="n">
        <v>4</v>
      </c>
      <c r="C22" s="18" t="s">
        <v>115</v>
      </c>
      <c r="D22" s="19" t="s">
        <v>1145</v>
      </c>
      <c r="E22" s="18" t="s">
        <v>117</v>
      </c>
      <c r="F22" s="19" t="s">
        <v>989</v>
      </c>
      <c r="G22" s="18" t="s">
        <v>505</v>
      </c>
      <c r="H22" s="18" t="s">
        <v>1103</v>
      </c>
      <c r="I22" s="19" t="s">
        <v>174</v>
      </c>
      <c r="J22" s="19" t="s">
        <v>1146</v>
      </c>
      <c r="K22" s="20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9.91</v>
      </c>
      <c r="L22" s="18"/>
      <c r="M22" s="18"/>
      <c r="N22" s="18"/>
      <c r="O22" s="18" t="s">
        <v>123</v>
      </c>
      <c r="P22" s="19" t="s">
        <v>1105</v>
      </c>
    </row>
    <row r="23" customFormat="false" ht="25.5" hidden="false" customHeight="true" outlineLevel="0" collapsed="false">
      <c r="A23" s="18" t="n">
        <v>454</v>
      </c>
      <c r="B23" s="18" t="n">
        <v>4</v>
      </c>
      <c r="C23" s="18" t="s">
        <v>125</v>
      </c>
      <c r="D23" s="21" t="s">
        <v>1147</v>
      </c>
      <c r="E23" s="18" t="s">
        <v>117</v>
      </c>
      <c r="F23" s="19" t="s">
        <v>994</v>
      </c>
      <c r="G23" s="18" t="s">
        <v>505</v>
      </c>
      <c r="H23" s="18" t="s">
        <v>1103</v>
      </c>
      <c r="I23" s="19" t="s">
        <v>174</v>
      </c>
      <c r="J23" s="21" t="s">
        <v>1148</v>
      </c>
      <c r="K23" s="20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9.6</v>
      </c>
      <c r="L23" s="18"/>
      <c r="M23" s="18"/>
      <c r="N23" s="18"/>
      <c r="O23" s="18" t="s">
        <v>123</v>
      </c>
      <c r="P23" s="19"/>
    </row>
    <row r="24" customFormat="false" ht="25.5" hidden="false" customHeight="true" outlineLevel="0" collapsed="false">
      <c r="A24" s="18" t="n">
        <v>455</v>
      </c>
      <c r="B24" s="18" t="n">
        <v>4</v>
      </c>
      <c r="C24" s="18" t="s">
        <v>115</v>
      </c>
      <c r="D24" s="19" t="s">
        <v>1149</v>
      </c>
      <c r="E24" s="18" t="s">
        <v>117</v>
      </c>
      <c r="F24" s="19" t="s">
        <v>1000</v>
      </c>
      <c r="G24" s="18" t="s">
        <v>505</v>
      </c>
      <c r="H24" s="18" t="s">
        <v>1103</v>
      </c>
      <c r="I24" s="19" t="s">
        <v>174</v>
      </c>
      <c r="J24" s="19" t="s">
        <v>1150</v>
      </c>
      <c r="K24" s="20" t="n">
        <f aca="false">ROUND((IF(E24="Transactional",5,IF(E24="Commercial",4,IF(E24="Comparison",3,IF(E24="Informational",2,3))))*LOG10(IF(ISNUMBER(L24),L24,IFERROR(VALUE(LEFT(F24,FIND("-",F24)-1)),100))+1))/IF(IF(ISBLANK(M24),G24,M24)="High",5,IF(IF(ISBLANK(M24),G24,M24)="Medium",3,1)),2)</f>
        <v>8.72</v>
      </c>
      <c r="L24" s="18"/>
      <c r="M24" s="18"/>
      <c r="N24" s="18"/>
      <c r="O24" s="18" t="s">
        <v>123</v>
      </c>
      <c r="P24" s="19" t="s">
        <v>1105</v>
      </c>
    </row>
    <row r="25" customFormat="false" ht="25.5" hidden="false" customHeight="true" outlineLevel="0" collapsed="false">
      <c r="A25" s="18" t="n">
        <v>456</v>
      </c>
      <c r="B25" s="18" t="n">
        <v>4</v>
      </c>
      <c r="C25" s="18" t="s">
        <v>125</v>
      </c>
      <c r="D25" s="21" t="s">
        <v>1151</v>
      </c>
      <c r="E25" s="18" t="s">
        <v>117</v>
      </c>
      <c r="F25" s="19" t="s">
        <v>1115</v>
      </c>
      <c r="G25" s="18" t="s">
        <v>505</v>
      </c>
      <c r="H25" s="18" t="s">
        <v>1103</v>
      </c>
      <c r="I25" s="19" t="s">
        <v>174</v>
      </c>
      <c r="J25" s="21" t="s">
        <v>1152</v>
      </c>
      <c r="K25" s="20" t="n">
        <f aca="false">ROUND((IF(E25="Transactional",5,IF(E25="Commercial",4,IF(E25="Comparison",3,IF(E25="Informational",2,3))))*LOG10(IF(ISNUMBER(L25),L25,IFERROR(VALUE(LEFT(F25,FIND("-",F25)-1)),100))+1))/IF(IF(ISBLANK(M25),G25,M25)="High",5,IF(IF(ISBLANK(M25),G25,M25)="Medium",3,1)),2)</f>
        <v>8.47</v>
      </c>
      <c r="L25" s="18"/>
      <c r="M25" s="18"/>
      <c r="N25" s="18"/>
      <c r="O25" s="18" t="s">
        <v>123</v>
      </c>
      <c r="P25" s="19"/>
    </row>
    <row r="26" customFormat="false" ht="25.5" hidden="false" customHeight="true" outlineLevel="0" collapsed="false">
      <c r="A26" s="18" t="n">
        <v>457</v>
      </c>
      <c r="B26" s="18" t="n">
        <v>4</v>
      </c>
      <c r="C26" s="18" t="s">
        <v>115</v>
      </c>
      <c r="D26" s="19" t="s">
        <v>1153</v>
      </c>
      <c r="E26" s="18" t="s">
        <v>117</v>
      </c>
      <c r="F26" s="19" t="s">
        <v>989</v>
      </c>
      <c r="G26" s="18" t="s">
        <v>505</v>
      </c>
      <c r="H26" s="18" t="s">
        <v>1103</v>
      </c>
      <c r="I26" s="19" t="s">
        <v>226</v>
      </c>
      <c r="J26" s="19" t="s">
        <v>1154</v>
      </c>
      <c r="K26" s="20" t="n">
        <f aca="false">ROUND((IF(E26="Transactional",5,IF(E26="Commercial",4,IF(E26="Comparison",3,IF(E26="Informational",2,3))))*LOG10(IF(ISNUMBER(L26),L26,IFERROR(VALUE(LEFT(F26,FIND("-",F26)-1)),100))+1))/IF(IF(ISBLANK(M26),G26,M26)="High",5,IF(IF(ISBLANK(M26),G26,M26)="Medium",3,1)),2)</f>
        <v>9.91</v>
      </c>
      <c r="L26" s="18"/>
      <c r="M26" s="18"/>
      <c r="N26" s="18"/>
      <c r="O26" s="18" t="s">
        <v>123</v>
      </c>
      <c r="P26" s="19" t="s">
        <v>1105</v>
      </c>
    </row>
    <row r="27" customFormat="false" ht="25.5" hidden="false" customHeight="true" outlineLevel="0" collapsed="false">
      <c r="A27" s="18" t="n">
        <v>458</v>
      </c>
      <c r="B27" s="18" t="n">
        <v>4</v>
      </c>
      <c r="C27" s="18" t="s">
        <v>125</v>
      </c>
      <c r="D27" s="21" t="s">
        <v>1155</v>
      </c>
      <c r="E27" s="18" t="s">
        <v>117</v>
      </c>
      <c r="F27" s="19" t="s">
        <v>994</v>
      </c>
      <c r="G27" s="18" t="s">
        <v>505</v>
      </c>
      <c r="H27" s="18" t="s">
        <v>1103</v>
      </c>
      <c r="I27" s="19" t="s">
        <v>226</v>
      </c>
      <c r="J27" s="21" t="s">
        <v>1156</v>
      </c>
      <c r="K27" s="20" t="n">
        <f aca="false">ROUND((IF(E27="Transactional",5,IF(E27="Commercial",4,IF(E27="Comparison",3,IF(E27="Informational",2,3))))*LOG10(IF(ISNUMBER(L27),L27,IFERROR(VALUE(LEFT(F27,FIND("-",F27)-1)),100))+1))/IF(IF(ISBLANK(M27),G27,M27)="High",5,IF(IF(ISBLANK(M27),G27,M27)="Medium",3,1)),2)</f>
        <v>9.6</v>
      </c>
      <c r="L27" s="18"/>
      <c r="M27" s="18"/>
      <c r="N27" s="18"/>
      <c r="O27" s="18" t="s">
        <v>123</v>
      </c>
      <c r="P27" s="19"/>
    </row>
    <row r="28" customFormat="false" ht="25.5" hidden="false" customHeight="true" outlineLevel="0" collapsed="false">
      <c r="A28" s="18" t="n">
        <v>459</v>
      </c>
      <c r="B28" s="18" t="n">
        <v>4</v>
      </c>
      <c r="C28" s="18" t="s">
        <v>115</v>
      </c>
      <c r="D28" s="19" t="s">
        <v>1157</v>
      </c>
      <c r="E28" s="18" t="s">
        <v>1158</v>
      </c>
      <c r="F28" s="19" t="s">
        <v>1000</v>
      </c>
      <c r="G28" s="18" t="s">
        <v>505</v>
      </c>
      <c r="H28" s="18" t="s">
        <v>1103</v>
      </c>
      <c r="I28" s="19" t="s">
        <v>226</v>
      </c>
      <c r="J28" s="19" t="s">
        <v>1159</v>
      </c>
      <c r="K28" s="20" t="n">
        <f aca="false">ROUND((IF(E28="Transactional",5,IF(E28="Commercial",4,IF(E28="Comparison",3,IF(E28="Informational",2,3))))*LOG10(IF(ISNUMBER(L28),L28,IFERROR(VALUE(LEFT(F28,FIND("-",F28)-1)),100))+1))/IF(IF(ISBLANK(M28),G28,M28)="High",5,IF(IF(ISBLANK(M28),G28,M28)="Medium",3,1)),2)</f>
        <v>4.36</v>
      </c>
      <c r="L28" s="18"/>
      <c r="M28" s="18"/>
      <c r="N28" s="18"/>
      <c r="O28" s="18" t="s">
        <v>123</v>
      </c>
      <c r="P28" s="19" t="s">
        <v>1105</v>
      </c>
    </row>
    <row r="29" customFormat="false" ht="25.5" hidden="false" customHeight="true" outlineLevel="0" collapsed="false">
      <c r="A29" s="18" t="n">
        <v>460</v>
      </c>
      <c r="B29" s="18" t="n">
        <v>4</v>
      </c>
      <c r="C29" s="18" t="s">
        <v>125</v>
      </c>
      <c r="D29" s="21" t="s">
        <v>1160</v>
      </c>
      <c r="E29" s="18" t="s">
        <v>1158</v>
      </c>
      <c r="F29" s="19" t="s">
        <v>1115</v>
      </c>
      <c r="G29" s="18" t="s">
        <v>505</v>
      </c>
      <c r="H29" s="18" t="s">
        <v>1103</v>
      </c>
      <c r="I29" s="19" t="s">
        <v>226</v>
      </c>
      <c r="J29" s="21" t="s">
        <v>1161</v>
      </c>
      <c r="K29" s="20" t="n">
        <f aca="false">ROUND((IF(E29="Transactional",5,IF(E29="Commercial",4,IF(E29="Comparison",3,IF(E29="Informational",2,3))))*LOG10(IF(ISNUMBER(L29),L29,IFERROR(VALUE(LEFT(F29,FIND("-",F29)-1)),100))+1))/IF(IF(ISBLANK(M29),G29,M29)="High",5,IF(IF(ISBLANK(M29),G29,M29)="Medium",3,1)),2)</f>
        <v>4.23</v>
      </c>
      <c r="L29" s="18"/>
      <c r="M29" s="18"/>
      <c r="N29" s="18"/>
      <c r="O29" s="18" t="s">
        <v>123</v>
      </c>
      <c r="P29" s="19"/>
    </row>
    <row r="30" customFormat="false" ht="25.5" hidden="false" customHeight="true" outlineLevel="0" collapsed="false">
      <c r="A30" s="18" t="n">
        <v>461</v>
      </c>
      <c r="B30" s="18" t="n">
        <v>4</v>
      </c>
      <c r="C30" s="18" t="s">
        <v>115</v>
      </c>
      <c r="D30" s="19" t="s">
        <v>1162</v>
      </c>
      <c r="E30" s="18" t="s">
        <v>1158</v>
      </c>
      <c r="F30" s="19" t="s">
        <v>989</v>
      </c>
      <c r="G30" s="18" t="s">
        <v>505</v>
      </c>
      <c r="H30" s="18" t="s">
        <v>1103</v>
      </c>
      <c r="I30" s="19" t="s">
        <v>226</v>
      </c>
      <c r="J30" s="19" t="s">
        <v>1163</v>
      </c>
      <c r="K30" s="20" t="n">
        <f aca="false">ROUND((IF(E30="Transactional",5,IF(E30="Commercial",4,IF(E30="Comparison",3,IF(E30="Informational",2,3))))*LOG10(IF(ISNUMBER(L30),L30,IFERROR(VALUE(LEFT(F30,FIND("-",F30)-1)),100))+1))/IF(IF(ISBLANK(M30),G30,M30)="High",5,IF(IF(ISBLANK(M30),G30,M30)="Medium",3,1)),2)</f>
        <v>4.96</v>
      </c>
      <c r="L30" s="18"/>
      <c r="M30" s="18"/>
      <c r="N30" s="18"/>
      <c r="O30" s="18" t="s">
        <v>123</v>
      </c>
      <c r="P30" s="19" t="s">
        <v>1105</v>
      </c>
    </row>
    <row r="31" customFormat="false" ht="25.5" hidden="false" customHeight="true" outlineLevel="0" collapsed="false">
      <c r="A31" s="18" t="n">
        <v>462</v>
      </c>
      <c r="B31" s="18" t="n">
        <v>4</v>
      </c>
      <c r="C31" s="18" t="s">
        <v>125</v>
      </c>
      <c r="D31" s="21" t="s">
        <v>1164</v>
      </c>
      <c r="E31" s="18" t="s">
        <v>1158</v>
      </c>
      <c r="F31" s="19" t="s">
        <v>994</v>
      </c>
      <c r="G31" s="18" t="s">
        <v>505</v>
      </c>
      <c r="H31" s="18" t="s">
        <v>1103</v>
      </c>
      <c r="I31" s="19" t="s">
        <v>226</v>
      </c>
      <c r="J31" s="21" t="s">
        <v>1165</v>
      </c>
      <c r="K31" s="20" t="n">
        <f aca="false">ROUND((IF(E31="Transactional",5,IF(E31="Commercial",4,IF(E31="Comparison",3,IF(E31="Informational",2,3))))*LOG10(IF(ISNUMBER(L31),L31,IFERROR(VALUE(LEFT(F31,FIND("-",F31)-1)),100))+1))/IF(IF(ISBLANK(M31),G31,M31)="High",5,IF(IF(ISBLANK(M31),G31,M31)="Medium",3,1)),2)</f>
        <v>4.8</v>
      </c>
      <c r="L31" s="18"/>
      <c r="M31" s="18"/>
      <c r="N31" s="18"/>
      <c r="O31" s="18" t="s">
        <v>123</v>
      </c>
      <c r="P31" s="19"/>
    </row>
    <row r="32" customFormat="false" ht="25.5" hidden="false" customHeight="true" outlineLevel="0" collapsed="false">
      <c r="A32" s="18" t="n">
        <v>463</v>
      </c>
      <c r="B32" s="18" t="n">
        <v>4</v>
      </c>
      <c r="C32" s="18" t="s">
        <v>115</v>
      </c>
      <c r="D32" s="19" t="s">
        <v>1166</v>
      </c>
      <c r="E32" s="18" t="s">
        <v>1101</v>
      </c>
      <c r="F32" s="19" t="s">
        <v>989</v>
      </c>
      <c r="G32" s="18" t="s">
        <v>505</v>
      </c>
      <c r="H32" s="18" t="s">
        <v>1103</v>
      </c>
      <c r="I32" s="19" t="s">
        <v>242</v>
      </c>
      <c r="J32" s="19" t="s">
        <v>1167</v>
      </c>
      <c r="K32" s="20" t="n">
        <f aca="false">ROUND((IF(E32="Transactional",5,IF(E32="Commercial",4,IF(E32="Comparison",3,IF(E32="Informational",2,3))))*LOG10(IF(ISNUMBER(L32),L32,IFERROR(VALUE(LEFT(F32,FIND("-",F32)-1)),100))+1))/IF(IF(ISBLANK(M32),G32,M32)="High",5,IF(IF(ISBLANK(M32),G32,M32)="Medium",3,1)),2)</f>
        <v>12.39</v>
      </c>
      <c r="L32" s="18"/>
      <c r="M32" s="18"/>
      <c r="N32" s="18"/>
      <c r="O32" s="18" t="s">
        <v>123</v>
      </c>
      <c r="P32" s="19" t="s">
        <v>1105</v>
      </c>
    </row>
    <row r="33" customFormat="false" ht="25.5" hidden="false" customHeight="true" outlineLevel="0" collapsed="false">
      <c r="A33" s="18" t="n">
        <v>464</v>
      </c>
      <c r="B33" s="18" t="n">
        <v>4</v>
      </c>
      <c r="C33" s="18" t="s">
        <v>125</v>
      </c>
      <c r="D33" s="21" t="s">
        <v>1168</v>
      </c>
      <c r="E33" s="18" t="s">
        <v>1101</v>
      </c>
      <c r="F33" s="19" t="s">
        <v>994</v>
      </c>
      <c r="G33" s="18" t="s">
        <v>505</v>
      </c>
      <c r="H33" s="18" t="s">
        <v>1103</v>
      </c>
      <c r="I33" s="19" t="s">
        <v>242</v>
      </c>
      <c r="J33" s="21" t="s">
        <v>1169</v>
      </c>
      <c r="K33" s="20" t="n">
        <f aca="false">ROUND((IF(E33="Transactional",5,IF(E33="Commercial",4,IF(E33="Comparison",3,IF(E33="Informational",2,3))))*LOG10(IF(ISNUMBER(L33),L33,IFERROR(VALUE(LEFT(F33,FIND("-",F33)-1)),100))+1))/IF(IF(ISBLANK(M33),G33,M33)="High",5,IF(IF(ISBLANK(M33),G33,M33)="Medium",3,1)),2)</f>
        <v>12</v>
      </c>
      <c r="L33" s="18"/>
      <c r="M33" s="18"/>
      <c r="N33" s="18"/>
      <c r="O33" s="18" t="s">
        <v>123</v>
      </c>
      <c r="P33" s="19"/>
    </row>
    <row r="34" customFormat="false" ht="25.5" hidden="false" customHeight="true" outlineLevel="0" collapsed="false">
      <c r="A34" s="18" t="n">
        <v>465</v>
      </c>
      <c r="B34" s="18" t="n">
        <v>4</v>
      </c>
      <c r="C34" s="18" t="s">
        <v>115</v>
      </c>
      <c r="D34" s="19" t="s">
        <v>1170</v>
      </c>
      <c r="E34" s="18" t="s">
        <v>117</v>
      </c>
      <c r="F34" s="19" t="s">
        <v>989</v>
      </c>
      <c r="G34" s="18" t="s">
        <v>505</v>
      </c>
      <c r="H34" s="18" t="s">
        <v>1103</v>
      </c>
      <c r="I34" s="19" t="s">
        <v>242</v>
      </c>
      <c r="J34" s="19" t="s">
        <v>1171</v>
      </c>
      <c r="K34" s="20" t="n">
        <f aca="false">ROUND((IF(E34="Transactional",5,IF(E34="Commercial",4,IF(E34="Comparison",3,IF(E34="Informational",2,3))))*LOG10(IF(ISNUMBER(L34),L34,IFERROR(VALUE(LEFT(F34,FIND("-",F34)-1)),100))+1))/IF(IF(ISBLANK(M34),G34,M34)="High",5,IF(IF(ISBLANK(M34),G34,M34)="Medium",3,1)),2)</f>
        <v>9.91</v>
      </c>
      <c r="L34" s="18"/>
      <c r="M34" s="18"/>
      <c r="N34" s="18"/>
      <c r="O34" s="18" t="s">
        <v>123</v>
      </c>
      <c r="P34" s="19" t="s">
        <v>1105</v>
      </c>
    </row>
    <row r="35" customFormat="false" ht="25.5" hidden="false" customHeight="true" outlineLevel="0" collapsed="false">
      <c r="A35" s="18" t="n">
        <v>466</v>
      </c>
      <c r="B35" s="18" t="n">
        <v>4</v>
      </c>
      <c r="C35" s="18" t="s">
        <v>125</v>
      </c>
      <c r="D35" s="21" t="s">
        <v>1172</v>
      </c>
      <c r="E35" s="18" t="s">
        <v>117</v>
      </c>
      <c r="F35" s="19" t="s">
        <v>994</v>
      </c>
      <c r="G35" s="18" t="s">
        <v>505</v>
      </c>
      <c r="H35" s="18" t="s">
        <v>1103</v>
      </c>
      <c r="I35" s="19" t="s">
        <v>242</v>
      </c>
      <c r="J35" s="21" t="s">
        <v>1173</v>
      </c>
      <c r="K35" s="20" t="n">
        <f aca="false">ROUND((IF(E35="Transactional",5,IF(E35="Commercial",4,IF(E35="Comparison",3,IF(E35="Informational",2,3))))*LOG10(IF(ISNUMBER(L35),L35,IFERROR(VALUE(LEFT(F35,FIND("-",F35)-1)),100))+1))/IF(IF(ISBLANK(M35),G35,M35)="High",5,IF(IF(ISBLANK(M35),G35,M35)="Medium",3,1)),2)</f>
        <v>9.6</v>
      </c>
      <c r="L35" s="18"/>
      <c r="M35" s="18"/>
      <c r="N35" s="18"/>
      <c r="O35" s="18" t="s">
        <v>123</v>
      </c>
      <c r="P35" s="19"/>
    </row>
    <row r="36" customFormat="false" ht="25.5" hidden="false" customHeight="true" outlineLevel="0" collapsed="false">
      <c r="A36" s="18" t="n">
        <v>467</v>
      </c>
      <c r="B36" s="18" t="n">
        <v>4</v>
      </c>
      <c r="C36" s="18" t="s">
        <v>115</v>
      </c>
      <c r="D36" s="19" t="s">
        <v>1174</v>
      </c>
      <c r="E36" s="18" t="s">
        <v>117</v>
      </c>
      <c r="F36" s="19" t="s">
        <v>989</v>
      </c>
      <c r="G36" s="18" t="s">
        <v>505</v>
      </c>
      <c r="H36" s="18" t="s">
        <v>1103</v>
      </c>
      <c r="I36" s="19" t="s">
        <v>242</v>
      </c>
      <c r="J36" s="19" t="s">
        <v>1175</v>
      </c>
      <c r="K36" s="20" t="n">
        <f aca="false">ROUND((IF(E36="Transactional",5,IF(E36="Commercial",4,IF(E36="Comparison",3,IF(E36="Informational",2,3))))*LOG10(IF(ISNUMBER(L36),L36,IFERROR(VALUE(LEFT(F36,FIND("-",F36)-1)),100))+1))/IF(IF(ISBLANK(M36),G36,M36)="High",5,IF(IF(ISBLANK(M36),G36,M36)="Medium",3,1)),2)</f>
        <v>9.91</v>
      </c>
      <c r="L36" s="18"/>
      <c r="M36" s="18"/>
      <c r="N36" s="18"/>
      <c r="O36" s="18" t="s">
        <v>123</v>
      </c>
      <c r="P36" s="19" t="s">
        <v>1105</v>
      </c>
    </row>
    <row r="37" customFormat="false" ht="25.5" hidden="false" customHeight="true" outlineLevel="0" collapsed="false">
      <c r="A37" s="18" t="n">
        <v>468</v>
      </c>
      <c r="B37" s="18" t="n">
        <v>4</v>
      </c>
      <c r="C37" s="18" t="s">
        <v>125</v>
      </c>
      <c r="D37" s="21" t="s">
        <v>1176</v>
      </c>
      <c r="E37" s="18" t="s">
        <v>117</v>
      </c>
      <c r="F37" s="19" t="s">
        <v>994</v>
      </c>
      <c r="G37" s="18" t="s">
        <v>505</v>
      </c>
      <c r="H37" s="18" t="s">
        <v>1103</v>
      </c>
      <c r="I37" s="19" t="s">
        <v>242</v>
      </c>
      <c r="J37" s="21" t="s">
        <v>1177</v>
      </c>
      <c r="K37" s="20" t="n">
        <f aca="false">ROUND((IF(E37="Transactional",5,IF(E37="Commercial",4,IF(E37="Comparison",3,IF(E37="Informational",2,3))))*LOG10(IF(ISNUMBER(L37),L37,IFERROR(VALUE(LEFT(F37,FIND("-",F37)-1)),100))+1))/IF(IF(ISBLANK(M37),G37,M37)="High",5,IF(IF(ISBLANK(M37),G37,M37)="Medium",3,1)),2)</f>
        <v>9.6</v>
      </c>
      <c r="L37" s="18"/>
      <c r="M37" s="18"/>
      <c r="N37" s="18"/>
      <c r="O37" s="18" t="s">
        <v>123</v>
      </c>
      <c r="P37" s="19"/>
    </row>
    <row r="38" customFormat="false" ht="25.5" hidden="false" customHeight="true" outlineLevel="0" collapsed="false">
      <c r="A38" s="18" t="n">
        <v>469</v>
      </c>
      <c r="B38" s="18" t="n">
        <v>4</v>
      </c>
      <c r="C38" s="18" t="s">
        <v>115</v>
      </c>
      <c r="D38" s="19" t="s">
        <v>1178</v>
      </c>
      <c r="E38" s="18" t="s">
        <v>117</v>
      </c>
      <c r="F38" s="19" t="s">
        <v>1000</v>
      </c>
      <c r="G38" s="18" t="s">
        <v>505</v>
      </c>
      <c r="H38" s="18" t="s">
        <v>1103</v>
      </c>
      <c r="I38" s="19" t="s">
        <v>242</v>
      </c>
      <c r="J38" s="19" t="s">
        <v>1179</v>
      </c>
      <c r="K38" s="20" t="n">
        <f aca="false">ROUND((IF(E38="Transactional",5,IF(E38="Commercial",4,IF(E38="Comparison",3,IF(E38="Informational",2,3))))*LOG10(IF(ISNUMBER(L38),L38,IFERROR(VALUE(LEFT(F38,FIND("-",F38)-1)),100))+1))/IF(IF(ISBLANK(M38),G38,M38)="High",5,IF(IF(ISBLANK(M38),G38,M38)="Medium",3,1)),2)</f>
        <v>8.72</v>
      </c>
      <c r="L38" s="18"/>
      <c r="M38" s="18"/>
      <c r="N38" s="18"/>
      <c r="O38" s="18" t="s">
        <v>123</v>
      </c>
      <c r="P38" s="19" t="s">
        <v>1105</v>
      </c>
    </row>
    <row r="39" customFormat="false" ht="25.5" hidden="false" customHeight="true" outlineLevel="0" collapsed="false">
      <c r="A39" s="18" t="n">
        <v>470</v>
      </c>
      <c r="B39" s="18" t="n">
        <v>4</v>
      </c>
      <c r="C39" s="18" t="s">
        <v>125</v>
      </c>
      <c r="D39" s="21" t="s">
        <v>1180</v>
      </c>
      <c r="E39" s="18" t="s">
        <v>117</v>
      </c>
      <c r="F39" s="19" t="s">
        <v>1115</v>
      </c>
      <c r="G39" s="18" t="s">
        <v>505</v>
      </c>
      <c r="H39" s="18" t="s">
        <v>1103</v>
      </c>
      <c r="I39" s="19" t="s">
        <v>242</v>
      </c>
      <c r="J39" s="21" t="s">
        <v>1181</v>
      </c>
      <c r="K39" s="20" t="n">
        <f aca="false">ROUND((IF(E39="Transactional",5,IF(E39="Commercial",4,IF(E39="Comparison",3,IF(E39="Informational",2,3))))*LOG10(IF(ISNUMBER(L39),L39,IFERROR(VALUE(LEFT(F39,FIND("-",F39)-1)),100))+1))/IF(IF(ISBLANK(M39),G39,M39)="High",5,IF(IF(ISBLANK(M39),G39,M39)="Medium",3,1)),2)</f>
        <v>8.47</v>
      </c>
      <c r="L39" s="18"/>
      <c r="M39" s="18"/>
      <c r="N39" s="18"/>
      <c r="O39" s="18" t="s">
        <v>123</v>
      </c>
      <c r="P39" s="19"/>
    </row>
    <row r="40" customFormat="false" ht="25.5" hidden="false" customHeight="true" outlineLevel="0" collapsed="false">
      <c r="A40" s="18" t="n">
        <v>471</v>
      </c>
      <c r="B40" s="18" t="n">
        <v>4</v>
      </c>
      <c r="C40" s="18" t="s">
        <v>115</v>
      </c>
      <c r="D40" s="19" t="s">
        <v>1182</v>
      </c>
      <c r="E40" s="18" t="s">
        <v>1101</v>
      </c>
      <c r="F40" s="19" t="s">
        <v>1102</v>
      </c>
      <c r="G40" s="18" t="s">
        <v>505</v>
      </c>
      <c r="H40" s="18" t="s">
        <v>1103</v>
      </c>
      <c r="I40" s="19" t="s">
        <v>254</v>
      </c>
      <c r="J40" s="19" t="s">
        <v>1183</v>
      </c>
      <c r="K40" s="20" t="n">
        <f aca="false">ROUND((IF(E40="Transactional",5,IF(E40="Commercial",4,IF(E40="Comparison",3,IF(E40="Informational",2,3))))*LOG10(IF(ISNUMBER(L40),L40,IFERROR(VALUE(LEFT(F40,FIND("-",F40)-1)),100))+1))/IF(IF(ISBLANK(M40),G40,M40)="High",5,IF(IF(ISBLANK(M40),G40,M40)="Medium",3,1)),2)</f>
        <v>13.5</v>
      </c>
      <c r="L40" s="18"/>
      <c r="M40" s="18"/>
      <c r="N40" s="18"/>
      <c r="O40" s="18" t="s">
        <v>123</v>
      </c>
      <c r="P40" s="19" t="s">
        <v>1105</v>
      </c>
    </row>
    <row r="41" customFormat="false" ht="25.5" hidden="false" customHeight="true" outlineLevel="0" collapsed="false">
      <c r="A41" s="18" t="n">
        <v>472</v>
      </c>
      <c r="B41" s="18" t="n">
        <v>4</v>
      </c>
      <c r="C41" s="18" t="s">
        <v>125</v>
      </c>
      <c r="D41" s="21" t="s">
        <v>1184</v>
      </c>
      <c r="E41" s="18" t="s">
        <v>1101</v>
      </c>
      <c r="F41" s="19" t="s">
        <v>136</v>
      </c>
      <c r="G41" s="18" t="s">
        <v>505</v>
      </c>
      <c r="H41" s="18" t="s">
        <v>1103</v>
      </c>
      <c r="I41" s="19" t="s">
        <v>254</v>
      </c>
      <c r="J41" s="21" t="s">
        <v>1185</v>
      </c>
      <c r="K41" s="20" t="n">
        <f aca="false">ROUND((IF(E41="Transactional",5,IF(E41="Commercial",4,IF(E41="Comparison",3,IF(E41="Informational",2,3))))*LOG10(IF(ISNUMBER(L41),L41,IFERROR(VALUE(LEFT(F41,FIND("-",F41)-1)),100))+1))/IF(IF(ISBLANK(M41),G41,M41)="High",5,IF(IF(ISBLANK(M41),G41,M41)="Medium",3,1)),2)</f>
        <v>13.02</v>
      </c>
      <c r="L41" s="18"/>
      <c r="M41" s="18"/>
      <c r="N41" s="18"/>
      <c r="O41" s="18" t="s">
        <v>123</v>
      </c>
      <c r="P41" s="19"/>
    </row>
    <row r="42" customFormat="false" ht="25.5" hidden="false" customHeight="true" outlineLevel="0" collapsed="false">
      <c r="A42" s="18" t="n">
        <v>473</v>
      </c>
      <c r="B42" s="18" t="n">
        <v>4</v>
      </c>
      <c r="C42" s="18" t="s">
        <v>115</v>
      </c>
      <c r="D42" s="19" t="s">
        <v>1186</v>
      </c>
      <c r="E42" s="18" t="s">
        <v>1101</v>
      </c>
      <c r="F42" s="19" t="s">
        <v>1102</v>
      </c>
      <c r="G42" s="18" t="s">
        <v>505</v>
      </c>
      <c r="H42" s="18" t="s">
        <v>1103</v>
      </c>
      <c r="I42" s="19" t="s">
        <v>254</v>
      </c>
      <c r="J42" s="19" t="s">
        <v>1187</v>
      </c>
      <c r="K42" s="20" t="n">
        <f aca="false">ROUND((IF(E42="Transactional",5,IF(E42="Commercial",4,IF(E42="Comparison",3,IF(E42="Informational",2,3))))*LOG10(IF(ISNUMBER(L42),L42,IFERROR(VALUE(LEFT(F42,FIND("-",F42)-1)),100))+1))/IF(IF(ISBLANK(M42),G42,M42)="High",5,IF(IF(ISBLANK(M42),G42,M42)="Medium",3,1)),2)</f>
        <v>13.5</v>
      </c>
      <c r="L42" s="18"/>
      <c r="M42" s="18"/>
      <c r="N42" s="18"/>
      <c r="O42" s="18" t="s">
        <v>123</v>
      </c>
      <c r="P42" s="19" t="s">
        <v>1105</v>
      </c>
    </row>
    <row r="43" customFormat="false" ht="25.5" hidden="false" customHeight="true" outlineLevel="0" collapsed="false">
      <c r="A43" s="18" t="n">
        <v>474</v>
      </c>
      <c r="B43" s="18" t="n">
        <v>4</v>
      </c>
      <c r="C43" s="18" t="s">
        <v>125</v>
      </c>
      <c r="D43" s="21" t="s">
        <v>1188</v>
      </c>
      <c r="E43" s="18" t="s">
        <v>1101</v>
      </c>
      <c r="F43" s="19" t="s">
        <v>136</v>
      </c>
      <c r="G43" s="18" t="s">
        <v>505</v>
      </c>
      <c r="H43" s="18" t="s">
        <v>1103</v>
      </c>
      <c r="I43" s="19" t="s">
        <v>254</v>
      </c>
      <c r="J43" s="21" t="s">
        <v>1189</v>
      </c>
      <c r="K43" s="20" t="n">
        <f aca="false">ROUND((IF(E43="Transactional",5,IF(E43="Commercial",4,IF(E43="Comparison",3,IF(E43="Informational",2,3))))*LOG10(IF(ISNUMBER(L43),L43,IFERROR(VALUE(LEFT(F43,FIND("-",F43)-1)),100))+1))/IF(IF(ISBLANK(M43),G43,M43)="High",5,IF(IF(ISBLANK(M43),G43,M43)="Medium",3,1)),2)</f>
        <v>13.02</v>
      </c>
      <c r="L43" s="18"/>
      <c r="M43" s="18"/>
      <c r="N43" s="18"/>
      <c r="O43" s="18" t="s">
        <v>123</v>
      </c>
      <c r="P43" s="19"/>
    </row>
    <row r="44" customFormat="false" ht="25.5" hidden="false" customHeight="true" outlineLevel="0" collapsed="false">
      <c r="A44" s="18" t="n">
        <v>475</v>
      </c>
      <c r="B44" s="18" t="n">
        <v>4</v>
      </c>
      <c r="C44" s="18" t="s">
        <v>115</v>
      </c>
      <c r="D44" s="19" t="s">
        <v>1190</v>
      </c>
      <c r="E44" s="18" t="s">
        <v>117</v>
      </c>
      <c r="F44" s="19" t="s">
        <v>989</v>
      </c>
      <c r="G44" s="18" t="s">
        <v>505</v>
      </c>
      <c r="H44" s="18" t="s">
        <v>1103</v>
      </c>
      <c r="I44" s="19" t="s">
        <v>254</v>
      </c>
      <c r="J44" s="19" t="s">
        <v>1191</v>
      </c>
      <c r="K44" s="20" t="n">
        <f aca="false">ROUND((IF(E44="Transactional",5,IF(E44="Commercial",4,IF(E44="Comparison",3,IF(E44="Informational",2,3))))*LOG10(IF(ISNUMBER(L44),L44,IFERROR(VALUE(LEFT(F44,FIND("-",F44)-1)),100))+1))/IF(IF(ISBLANK(M44),G44,M44)="High",5,IF(IF(ISBLANK(M44),G44,M44)="Medium",3,1)),2)</f>
        <v>9.91</v>
      </c>
      <c r="L44" s="18"/>
      <c r="M44" s="18"/>
      <c r="N44" s="18"/>
      <c r="O44" s="18" t="s">
        <v>123</v>
      </c>
      <c r="P44" s="19" t="s">
        <v>1105</v>
      </c>
    </row>
    <row r="45" customFormat="false" ht="25.5" hidden="false" customHeight="true" outlineLevel="0" collapsed="false">
      <c r="A45" s="18" t="n">
        <v>476</v>
      </c>
      <c r="B45" s="18" t="n">
        <v>4</v>
      </c>
      <c r="C45" s="18" t="s">
        <v>125</v>
      </c>
      <c r="D45" s="21" t="s">
        <v>1192</v>
      </c>
      <c r="E45" s="18" t="s">
        <v>117</v>
      </c>
      <c r="F45" s="19" t="s">
        <v>994</v>
      </c>
      <c r="G45" s="18" t="s">
        <v>505</v>
      </c>
      <c r="H45" s="18" t="s">
        <v>1103</v>
      </c>
      <c r="I45" s="19" t="s">
        <v>254</v>
      </c>
      <c r="J45" s="21" t="s">
        <v>1193</v>
      </c>
      <c r="K45" s="20" t="n">
        <f aca="false">ROUND((IF(E45="Transactional",5,IF(E45="Commercial",4,IF(E45="Comparison",3,IF(E45="Informational",2,3))))*LOG10(IF(ISNUMBER(L45),L45,IFERROR(VALUE(LEFT(F45,FIND("-",F45)-1)),100))+1))/IF(IF(ISBLANK(M45),G45,M45)="High",5,IF(IF(ISBLANK(M45),G45,M45)="Medium",3,1)),2)</f>
        <v>9.6</v>
      </c>
      <c r="L45" s="18"/>
      <c r="M45" s="18"/>
      <c r="N45" s="18"/>
      <c r="O45" s="18" t="s">
        <v>123</v>
      </c>
      <c r="P45" s="19"/>
    </row>
    <row r="46" customFormat="false" ht="25.5" hidden="false" customHeight="true" outlineLevel="0" collapsed="false">
      <c r="A46" s="18" t="n">
        <v>477</v>
      </c>
      <c r="B46" s="18" t="n">
        <v>4</v>
      </c>
      <c r="C46" s="18" t="s">
        <v>115</v>
      </c>
      <c r="D46" s="19" t="s">
        <v>1194</v>
      </c>
      <c r="E46" s="18" t="s">
        <v>117</v>
      </c>
      <c r="F46" s="19" t="s">
        <v>989</v>
      </c>
      <c r="G46" s="18" t="s">
        <v>505</v>
      </c>
      <c r="H46" s="18" t="s">
        <v>1103</v>
      </c>
      <c r="I46" s="19" t="s">
        <v>254</v>
      </c>
      <c r="J46" s="19" t="s">
        <v>1195</v>
      </c>
      <c r="K46" s="20" t="n">
        <f aca="false">ROUND((IF(E46="Transactional",5,IF(E46="Commercial",4,IF(E46="Comparison",3,IF(E46="Informational",2,3))))*LOG10(IF(ISNUMBER(L46),L46,IFERROR(VALUE(LEFT(F46,FIND("-",F46)-1)),100))+1))/IF(IF(ISBLANK(M46),G46,M46)="High",5,IF(IF(ISBLANK(M46),G46,M46)="Medium",3,1)),2)</f>
        <v>9.91</v>
      </c>
      <c r="L46" s="18"/>
      <c r="M46" s="18"/>
      <c r="N46" s="18"/>
      <c r="O46" s="18" t="s">
        <v>123</v>
      </c>
      <c r="P46" s="19" t="s">
        <v>1105</v>
      </c>
    </row>
    <row r="47" customFormat="false" ht="25.5" hidden="false" customHeight="true" outlineLevel="0" collapsed="false">
      <c r="A47" s="18" t="n">
        <v>478</v>
      </c>
      <c r="B47" s="18" t="n">
        <v>4</v>
      </c>
      <c r="C47" s="18" t="s">
        <v>125</v>
      </c>
      <c r="D47" s="21" t="s">
        <v>1196</v>
      </c>
      <c r="E47" s="18" t="s">
        <v>117</v>
      </c>
      <c r="F47" s="19" t="s">
        <v>994</v>
      </c>
      <c r="G47" s="18" t="s">
        <v>505</v>
      </c>
      <c r="H47" s="18" t="s">
        <v>1103</v>
      </c>
      <c r="I47" s="19" t="s">
        <v>254</v>
      </c>
      <c r="J47" s="21" t="s">
        <v>1197</v>
      </c>
      <c r="K47" s="20" t="n">
        <f aca="false">ROUND((IF(E47="Transactional",5,IF(E47="Commercial",4,IF(E47="Comparison",3,IF(E47="Informational",2,3))))*LOG10(IF(ISNUMBER(L47),L47,IFERROR(VALUE(LEFT(F47,FIND("-",F47)-1)),100))+1))/IF(IF(ISBLANK(M47),G47,M47)="High",5,IF(IF(ISBLANK(M47),G47,M47)="Medium",3,1)),2)</f>
        <v>9.6</v>
      </c>
      <c r="L47" s="18"/>
      <c r="M47" s="18"/>
      <c r="N47" s="18"/>
      <c r="O47" s="18" t="s">
        <v>123</v>
      </c>
      <c r="P47" s="19"/>
    </row>
    <row r="48" customFormat="false" ht="25.5" hidden="false" customHeight="true" outlineLevel="0" collapsed="false">
      <c r="A48" s="18" t="n">
        <v>479</v>
      </c>
      <c r="B48" s="18" t="n">
        <v>4</v>
      </c>
      <c r="C48" s="18" t="s">
        <v>115</v>
      </c>
      <c r="D48" s="19" t="s">
        <v>1198</v>
      </c>
      <c r="E48" s="18" t="s">
        <v>117</v>
      </c>
      <c r="F48" s="19" t="s">
        <v>1000</v>
      </c>
      <c r="G48" s="18" t="s">
        <v>505</v>
      </c>
      <c r="H48" s="18" t="s">
        <v>1103</v>
      </c>
      <c r="I48" s="19" t="s">
        <v>254</v>
      </c>
      <c r="J48" s="19" t="s">
        <v>1199</v>
      </c>
      <c r="K48" s="20" t="n">
        <f aca="false">ROUND((IF(E48="Transactional",5,IF(E48="Commercial",4,IF(E48="Comparison",3,IF(E48="Informational",2,3))))*LOG10(IF(ISNUMBER(L48),L48,IFERROR(VALUE(LEFT(F48,FIND("-",F48)-1)),100))+1))/IF(IF(ISBLANK(M48),G48,M48)="High",5,IF(IF(ISBLANK(M48),G48,M48)="Medium",3,1)),2)</f>
        <v>8.72</v>
      </c>
      <c r="L48" s="18"/>
      <c r="M48" s="18"/>
      <c r="N48" s="18"/>
      <c r="O48" s="18" t="s">
        <v>123</v>
      </c>
      <c r="P48" s="19" t="s">
        <v>1105</v>
      </c>
    </row>
    <row r="49" customFormat="false" ht="25.5" hidden="false" customHeight="true" outlineLevel="0" collapsed="false">
      <c r="A49" s="18" t="n">
        <v>480</v>
      </c>
      <c r="B49" s="18" t="n">
        <v>4</v>
      </c>
      <c r="C49" s="18" t="s">
        <v>125</v>
      </c>
      <c r="D49" s="21" t="s">
        <v>1200</v>
      </c>
      <c r="E49" s="18" t="s">
        <v>117</v>
      </c>
      <c r="F49" s="19" t="s">
        <v>1115</v>
      </c>
      <c r="G49" s="18" t="s">
        <v>505</v>
      </c>
      <c r="H49" s="18" t="s">
        <v>1103</v>
      </c>
      <c r="I49" s="19" t="s">
        <v>254</v>
      </c>
      <c r="J49" s="21" t="s">
        <v>1201</v>
      </c>
      <c r="K49" s="20" t="n">
        <f aca="false">ROUND((IF(E49="Transactional",5,IF(E49="Commercial",4,IF(E49="Comparison",3,IF(E49="Informational",2,3))))*LOG10(IF(ISNUMBER(L49),L49,IFERROR(VALUE(LEFT(F49,FIND("-",F49)-1)),100))+1))/IF(IF(ISBLANK(M49),G49,M49)="High",5,IF(IF(ISBLANK(M49),G49,M49)="Medium",3,1)),2)</f>
        <v>8.47</v>
      </c>
      <c r="L49" s="18"/>
      <c r="M49" s="18"/>
      <c r="N49" s="18"/>
      <c r="O49" s="18" t="s">
        <v>123</v>
      </c>
      <c r="P49" s="19"/>
    </row>
    <row r="50" customFormat="false" ht="25.5" hidden="false" customHeight="true" outlineLevel="0" collapsed="false">
      <c r="A50" s="18" t="n">
        <v>481</v>
      </c>
      <c r="B50" s="18" t="n">
        <v>4</v>
      </c>
      <c r="C50" s="18" t="s">
        <v>115</v>
      </c>
      <c r="D50" s="19" t="s">
        <v>1202</v>
      </c>
      <c r="E50" s="18" t="s">
        <v>117</v>
      </c>
      <c r="F50" s="19" t="s">
        <v>1102</v>
      </c>
      <c r="G50" s="18" t="s">
        <v>505</v>
      </c>
      <c r="H50" s="18" t="s">
        <v>1103</v>
      </c>
      <c r="I50" s="19" t="s">
        <v>325</v>
      </c>
      <c r="J50" s="19" t="s">
        <v>1203</v>
      </c>
      <c r="K50" s="20" t="n">
        <f aca="false">ROUND((IF(E50="Transactional",5,IF(E50="Commercial",4,IF(E50="Comparison",3,IF(E50="Informational",2,3))))*LOG10(IF(ISNUMBER(L50),L50,IFERROR(VALUE(LEFT(F50,FIND("-",F50)-1)),100))+1))/IF(IF(ISBLANK(M50),G50,M50)="High",5,IF(IF(ISBLANK(M50),G50,M50)="Medium",3,1)),2)</f>
        <v>10.8</v>
      </c>
      <c r="L50" s="18"/>
      <c r="M50" s="18"/>
      <c r="N50" s="18"/>
      <c r="O50" s="18" t="s">
        <v>123</v>
      </c>
      <c r="P50" s="19" t="s">
        <v>1105</v>
      </c>
    </row>
    <row r="51" customFormat="false" ht="25.5" hidden="false" customHeight="true" outlineLevel="0" collapsed="false">
      <c r="A51" s="18" t="n">
        <v>482</v>
      </c>
      <c r="B51" s="18" t="n">
        <v>4</v>
      </c>
      <c r="C51" s="18" t="s">
        <v>125</v>
      </c>
      <c r="D51" s="21" t="s">
        <v>1204</v>
      </c>
      <c r="E51" s="18" t="s">
        <v>117</v>
      </c>
      <c r="F51" s="19" t="s">
        <v>136</v>
      </c>
      <c r="G51" s="18" t="s">
        <v>505</v>
      </c>
      <c r="H51" s="18" t="s">
        <v>1103</v>
      </c>
      <c r="I51" s="19" t="s">
        <v>325</v>
      </c>
      <c r="J51" s="21" t="s">
        <v>1205</v>
      </c>
      <c r="K51" s="20" t="n">
        <f aca="false">ROUND((IF(E51="Transactional",5,IF(E51="Commercial",4,IF(E51="Comparison",3,IF(E51="Informational",2,3))))*LOG10(IF(ISNUMBER(L51),L51,IFERROR(VALUE(LEFT(F51,FIND("-",F51)-1)),100))+1))/IF(IF(ISBLANK(M51),G51,M51)="High",5,IF(IF(ISBLANK(M51),G51,M51)="Medium",3,1)),2)</f>
        <v>10.41</v>
      </c>
      <c r="L51" s="18"/>
      <c r="M51" s="18"/>
      <c r="N51" s="18"/>
      <c r="O51" s="18" t="s">
        <v>123</v>
      </c>
      <c r="P51" s="19"/>
    </row>
    <row r="52" customFormat="false" ht="25.5" hidden="false" customHeight="true" outlineLevel="0" collapsed="false">
      <c r="A52" s="18" t="n">
        <v>483</v>
      </c>
      <c r="B52" s="18" t="n">
        <v>4</v>
      </c>
      <c r="C52" s="18" t="s">
        <v>115</v>
      </c>
      <c r="D52" s="19" t="s">
        <v>1206</v>
      </c>
      <c r="E52" s="18" t="s">
        <v>1158</v>
      </c>
      <c r="F52" s="19" t="s">
        <v>989</v>
      </c>
      <c r="G52" s="18" t="s">
        <v>505</v>
      </c>
      <c r="H52" s="18" t="s">
        <v>1103</v>
      </c>
      <c r="I52" s="19" t="s">
        <v>325</v>
      </c>
      <c r="J52" s="19" t="s">
        <v>1207</v>
      </c>
      <c r="K52" s="20" t="n">
        <f aca="false">ROUND((IF(E52="Transactional",5,IF(E52="Commercial",4,IF(E52="Comparison",3,IF(E52="Informational",2,3))))*LOG10(IF(ISNUMBER(L52),L52,IFERROR(VALUE(LEFT(F52,FIND("-",F52)-1)),100))+1))/IF(IF(ISBLANK(M52),G52,M52)="High",5,IF(IF(ISBLANK(M52),G52,M52)="Medium",3,1)),2)</f>
        <v>4.96</v>
      </c>
      <c r="L52" s="18"/>
      <c r="M52" s="18"/>
      <c r="N52" s="18"/>
      <c r="O52" s="18" t="s">
        <v>123</v>
      </c>
      <c r="P52" s="19" t="s">
        <v>1105</v>
      </c>
    </row>
    <row r="53" customFormat="false" ht="25.5" hidden="false" customHeight="true" outlineLevel="0" collapsed="false">
      <c r="A53" s="18" t="n">
        <v>484</v>
      </c>
      <c r="B53" s="18" t="n">
        <v>4</v>
      </c>
      <c r="C53" s="18" t="s">
        <v>125</v>
      </c>
      <c r="D53" s="21" t="s">
        <v>1208</v>
      </c>
      <c r="E53" s="18" t="s">
        <v>1158</v>
      </c>
      <c r="F53" s="19" t="s">
        <v>994</v>
      </c>
      <c r="G53" s="18" t="s">
        <v>505</v>
      </c>
      <c r="H53" s="18" t="s">
        <v>1103</v>
      </c>
      <c r="I53" s="19" t="s">
        <v>325</v>
      </c>
      <c r="J53" s="21" t="s">
        <v>1209</v>
      </c>
      <c r="K53" s="20" t="n">
        <f aca="false">ROUND((IF(E53="Transactional",5,IF(E53="Commercial",4,IF(E53="Comparison",3,IF(E53="Informational",2,3))))*LOG10(IF(ISNUMBER(L53),L53,IFERROR(VALUE(LEFT(F53,FIND("-",F53)-1)),100))+1))/IF(IF(ISBLANK(M53),G53,M53)="High",5,IF(IF(ISBLANK(M53),G53,M53)="Medium",3,1)),2)</f>
        <v>4.8</v>
      </c>
      <c r="L53" s="18"/>
      <c r="M53" s="18"/>
      <c r="N53" s="18"/>
      <c r="O53" s="18" t="s">
        <v>123</v>
      </c>
      <c r="P53" s="19"/>
    </row>
    <row r="54" customFormat="false" ht="25.5" hidden="false" customHeight="true" outlineLevel="0" collapsed="false">
      <c r="A54" s="18" t="n">
        <v>485</v>
      </c>
      <c r="B54" s="18" t="n">
        <v>4</v>
      </c>
      <c r="C54" s="18" t="s">
        <v>115</v>
      </c>
      <c r="D54" s="19" t="s">
        <v>1210</v>
      </c>
      <c r="E54" s="18" t="s">
        <v>117</v>
      </c>
      <c r="F54" s="19" t="s">
        <v>989</v>
      </c>
      <c r="G54" s="18" t="s">
        <v>505</v>
      </c>
      <c r="H54" s="18" t="s">
        <v>1103</v>
      </c>
      <c r="I54" s="19" t="s">
        <v>248</v>
      </c>
      <c r="J54" s="19" t="s">
        <v>1211</v>
      </c>
      <c r="K54" s="20" t="n">
        <f aca="false">ROUND((IF(E54="Transactional",5,IF(E54="Commercial",4,IF(E54="Comparison",3,IF(E54="Informational",2,3))))*LOG10(IF(ISNUMBER(L54),L54,IFERROR(VALUE(LEFT(F54,FIND("-",F54)-1)),100))+1))/IF(IF(ISBLANK(M54),G54,M54)="High",5,IF(IF(ISBLANK(M54),G54,M54)="Medium",3,1)),2)</f>
        <v>9.91</v>
      </c>
      <c r="L54" s="18"/>
      <c r="M54" s="18"/>
      <c r="N54" s="18"/>
      <c r="O54" s="18" t="s">
        <v>123</v>
      </c>
      <c r="P54" s="19" t="s">
        <v>1105</v>
      </c>
    </row>
    <row r="55" customFormat="false" ht="25.5" hidden="false" customHeight="true" outlineLevel="0" collapsed="false">
      <c r="A55" s="18" t="n">
        <v>486</v>
      </c>
      <c r="B55" s="18" t="n">
        <v>4</v>
      </c>
      <c r="C55" s="18" t="s">
        <v>125</v>
      </c>
      <c r="D55" s="21" t="s">
        <v>1212</v>
      </c>
      <c r="E55" s="18" t="s">
        <v>117</v>
      </c>
      <c r="F55" s="19" t="s">
        <v>994</v>
      </c>
      <c r="G55" s="18" t="s">
        <v>505</v>
      </c>
      <c r="H55" s="18" t="s">
        <v>1103</v>
      </c>
      <c r="I55" s="19" t="s">
        <v>248</v>
      </c>
      <c r="J55" s="21" t="s">
        <v>1213</v>
      </c>
      <c r="K55" s="20" t="n">
        <f aca="false">ROUND((IF(E55="Transactional",5,IF(E55="Commercial",4,IF(E55="Comparison",3,IF(E55="Informational",2,3))))*LOG10(IF(ISNUMBER(L55),L55,IFERROR(VALUE(LEFT(F55,FIND("-",F55)-1)),100))+1))/IF(IF(ISBLANK(M55),G55,M55)="High",5,IF(IF(ISBLANK(M55),G55,M55)="Medium",3,1)),2)</f>
        <v>9.6</v>
      </c>
      <c r="L55" s="18"/>
      <c r="M55" s="18"/>
      <c r="N55" s="18"/>
      <c r="O55" s="18" t="s">
        <v>123</v>
      </c>
      <c r="P55" s="19"/>
    </row>
    <row r="56" customFormat="false" ht="25.5" hidden="false" customHeight="true" outlineLevel="0" collapsed="false">
      <c r="A56" s="18" t="n">
        <v>487</v>
      </c>
      <c r="B56" s="18" t="n">
        <v>4</v>
      </c>
      <c r="C56" s="18" t="s">
        <v>115</v>
      </c>
      <c r="D56" s="19" t="s">
        <v>1214</v>
      </c>
      <c r="E56" s="18" t="s">
        <v>1101</v>
      </c>
      <c r="F56" s="19" t="s">
        <v>989</v>
      </c>
      <c r="G56" s="18" t="s">
        <v>505</v>
      </c>
      <c r="H56" s="18" t="s">
        <v>1103</v>
      </c>
      <c r="I56" s="19" t="s">
        <v>248</v>
      </c>
      <c r="J56" s="19" t="s">
        <v>1215</v>
      </c>
      <c r="K56" s="20" t="n">
        <f aca="false">ROUND((IF(E56="Transactional",5,IF(E56="Commercial",4,IF(E56="Comparison",3,IF(E56="Informational",2,3))))*LOG10(IF(ISNUMBER(L56),L56,IFERROR(VALUE(LEFT(F56,FIND("-",F56)-1)),100))+1))/IF(IF(ISBLANK(M56),G56,M56)="High",5,IF(IF(ISBLANK(M56),G56,M56)="Medium",3,1)),2)</f>
        <v>12.39</v>
      </c>
      <c r="L56" s="18"/>
      <c r="M56" s="18"/>
      <c r="N56" s="18"/>
      <c r="O56" s="18" t="s">
        <v>123</v>
      </c>
      <c r="P56" s="19" t="s">
        <v>1105</v>
      </c>
    </row>
    <row r="57" customFormat="false" ht="25.5" hidden="false" customHeight="true" outlineLevel="0" collapsed="false">
      <c r="A57" s="18" t="n">
        <v>488</v>
      </c>
      <c r="B57" s="18" t="n">
        <v>4</v>
      </c>
      <c r="C57" s="18" t="s">
        <v>125</v>
      </c>
      <c r="D57" s="21" t="s">
        <v>1216</v>
      </c>
      <c r="E57" s="18" t="s">
        <v>1101</v>
      </c>
      <c r="F57" s="19" t="s">
        <v>994</v>
      </c>
      <c r="G57" s="18" t="s">
        <v>505</v>
      </c>
      <c r="H57" s="18" t="s">
        <v>1103</v>
      </c>
      <c r="I57" s="19" t="s">
        <v>248</v>
      </c>
      <c r="J57" s="21" t="s">
        <v>1217</v>
      </c>
      <c r="K57" s="20" t="n">
        <f aca="false">ROUND((IF(E57="Transactional",5,IF(E57="Commercial",4,IF(E57="Comparison",3,IF(E57="Informational",2,3))))*LOG10(IF(ISNUMBER(L57),L57,IFERROR(VALUE(LEFT(F57,FIND("-",F57)-1)),100))+1))/IF(IF(ISBLANK(M57),G57,M57)="High",5,IF(IF(ISBLANK(M57),G57,M57)="Medium",3,1)),2)</f>
        <v>12</v>
      </c>
      <c r="L57" s="18"/>
      <c r="M57" s="18"/>
      <c r="N57" s="18"/>
      <c r="O57" s="18" t="s">
        <v>123</v>
      </c>
      <c r="P57" s="19"/>
    </row>
    <row r="58" customFormat="false" ht="25.5" hidden="false" customHeight="true" outlineLevel="0" collapsed="false">
      <c r="A58" s="18" t="n">
        <v>489</v>
      </c>
      <c r="B58" s="18" t="n">
        <v>4</v>
      </c>
      <c r="C58" s="18" t="s">
        <v>115</v>
      </c>
      <c r="D58" s="19" t="s">
        <v>1218</v>
      </c>
      <c r="E58" s="18" t="s">
        <v>1158</v>
      </c>
      <c r="F58" s="19" t="s">
        <v>1000</v>
      </c>
      <c r="G58" s="18" t="s">
        <v>505</v>
      </c>
      <c r="H58" s="18" t="s">
        <v>1103</v>
      </c>
      <c r="I58" s="19" t="s">
        <v>248</v>
      </c>
      <c r="J58" s="19" t="s">
        <v>1219</v>
      </c>
      <c r="K58" s="20" t="n">
        <f aca="false">ROUND((IF(E58="Transactional",5,IF(E58="Commercial",4,IF(E58="Comparison",3,IF(E58="Informational",2,3))))*LOG10(IF(ISNUMBER(L58),L58,IFERROR(VALUE(LEFT(F58,FIND("-",F58)-1)),100))+1))/IF(IF(ISBLANK(M58),G58,M58)="High",5,IF(IF(ISBLANK(M58),G58,M58)="Medium",3,1)),2)</f>
        <v>4.36</v>
      </c>
      <c r="L58" s="18"/>
      <c r="M58" s="18"/>
      <c r="N58" s="18"/>
      <c r="O58" s="18" t="s">
        <v>123</v>
      </c>
      <c r="P58" s="19" t="s">
        <v>1105</v>
      </c>
    </row>
    <row r="59" customFormat="false" ht="25.5" hidden="false" customHeight="true" outlineLevel="0" collapsed="false">
      <c r="A59" s="18" t="n">
        <v>490</v>
      </c>
      <c r="B59" s="18" t="n">
        <v>4</v>
      </c>
      <c r="C59" s="18" t="s">
        <v>125</v>
      </c>
      <c r="D59" s="21" t="s">
        <v>1220</v>
      </c>
      <c r="E59" s="18" t="s">
        <v>1158</v>
      </c>
      <c r="F59" s="19" t="s">
        <v>1115</v>
      </c>
      <c r="G59" s="18" t="s">
        <v>505</v>
      </c>
      <c r="H59" s="18" t="s">
        <v>1103</v>
      </c>
      <c r="I59" s="19" t="s">
        <v>248</v>
      </c>
      <c r="J59" s="21" t="s">
        <v>1221</v>
      </c>
      <c r="K59" s="20" t="n">
        <f aca="false">ROUND((IF(E59="Transactional",5,IF(E59="Commercial",4,IF(E59="Comparison",3,IF(E59="Informational",2,3))))*LOG10(IF(ISNUMBER(L59),L59,IFERROR(VALUE(LEFT(F59,FIND("-",F59)-1)),100))+1))/IF(IF(ISBLANK(M59),G59,M59)="High",5,IF(IF(ISBLANK(M59),G59,M59)="Medium",3,1)),2)</f>
        <v>4.23</v>
      </c>
      <c r="L59" s="18"/>
      <c r="M59" s="18"/>
      <c r="N59" s="18"/>
      <c r="O59" s="18" t="s">
        <v>123</v>
      </c>
      <c r="P59" s="19"/>
    </row>
    <row r="60" customFormat="false" ht="25.5" hidden="false" customHeight="true" outlineLevel="0" collapsed="false">
      <c r="A60" s="18" t="n">
        <v>491</v>
      </c>
      <c r="B60" s="18" t="n">
        <v>4</v>
      </c>
      <c r="C60" s="18" t="s">
        <v>115</v>
      </c>
      <c r="D60" s="19" t="s">
        <v>1222</v>
      </c>
      <c r="E60" s="18" t="s">
        <v>117</v>
      </c>
      <c r="F60" s="19" t="s">
        <v>1102</v>
      </c>
      <c r="G60" s="18" t="s">
        <v>505</v>
      </c>
      <c r="H60" s="18" t="s">
        <v>1103</v>
      </c>
      <c r="I60" s="19" t="s">
        <v>309</v>
      </c>
      <c r="J60" s="19" t="s">
        <v>1223</v>
      </c>
      <c r="K60" s="20" t="n">
        <f aca="false">ROUND((IF(E60="Transactional",5,IF(E60="Commercial",4,IF(E60="Comparison",3,IF(E60="Informational",2,3))))*LOG10(IF(ISNUMBER(L60),L60,IFERROR(VALUE(LEFT(F60,FIND("-",F60)-1)),100))+1))/IF(IF(ISBLANK(M60),G60,M60)="High",5,IF(IF(ISBLANK(M60),G60,M60)="Medium",3,1)),2)</f>
        <v>10.8</v>
      </c>
      <c r="L60" s="18"/>
      <c r="M60" s="18"/>
      <c r="N60" s="18"/>
      <c r="O60" s="18" t="s">
        <v>123</v>
      </c>
      <c r="P60" s="19" t="s">
        <v>1105</v>
      </c>
    </row>
    <row r="61" customFormat="false" ht="25.5" hidden="false" customHeight="true" outlineLevel="0" collapsed="false">
      <c r="A61" s="18" t="n">
        <v>492</v>
      </c>
      <c r="B61" s="18" t="n">
        <v>4</v>
      </c>
      <c r="C61" s="18" t="s">
        <v>125</v>
      </c>
      <c r="D61" s="21" t="s">
        <v>1224</v>
      </c>
      <c r="E61" s="18" t="s">
        <v>117</v>
      </c>
      <c r="F61" s="19" t="s">
        <v>136</v>
      </c>
      <c r="G61" s="18" t="s">
        <v>505</v>
      </c>
      <c r="H61" s="18" t="s">
        <v>1103</v>
      </c>
      <c r="I61" s="19" t="s">
        <v>309</v>
      </c>
      <c r="J61" s="21" t="s">
        <v>1225</v>
      </c>
      <c r="K61" s="20" t="n">
        <f aca="false">ROUND((IF(E61="Transactional",5,IF(E61="Commercial",4,IF(E61="Comparison",3,IF(E61="Informational",2,3))))*LOG10(IF(ISNUMBER(L61),L61,IFERROR(VALUE(LEFT(F61,FIND("-",F61)-1)),100))+1))/IF(IF(ISBLANK(M61),G61,M61)="High",5,IF(IF(ISBLANK(M61),G61,M61)="Medium",3,1)),2)</f>
        <v>10.41</v>
      </c>
      <c r="L61" s="18"/>
      <c r="M61" s="18"/>
      <c r="N61" s="18"/>
      <c r="O61" s="18" t="s">
        <v>123</v>
      </c>
      <c r="P61" s="19"/>
    </row>
    <row r="62" customFormat="false" ht="25.5" hidden="false" customHeight="true" outlineLevel="0" collapsed="false">
      <c r="A62" s="18" t="n">
        <v>493</v>
      </c>
      <c r="B62" s="18" t="n">
        <v>4</v>
      </c>
      <c r="C62" s="18" t="s">
        <v>115</v>
      </c>
      <c r="D62" s="19" t="s">
        <v>1226</v>
      </c>
      <c r="E62" s="18" t="s">
        <v>117</v>
      </c>
      <c r="F62" s="19" t="s">
        <v>1102</v>
      </c>
      <c r="G62" s="18" t="s">
        <v>505</v>
      </c>
      <c r="H62" s="18" t="s">
        <v>1103</v>
      </c>
      <c r="I62" s="19" t="s">
        <v>309</v>
      </c>
      <c r="J62" s="19" t="s">
        <v>1227</v>
      </c>
      <c r="K62" s="20" t="n">
        <f aca="false">ROUND((IF(E62="Transactional",5,IF(E62="Commercial",4,IF(E62="Comparison",3,IF(E62="Informational",2,3))))*LOG10(IF(ISNUMBER(L62),L62,IFERROR(VALUE(LEFT(F62,FIND("-",F62)-1)),100))+1))/IF(IF(ISBLANK(M62),G62,M62)="High",5,IF(IF(ISBLANK(M62),G62,M62)="Medium",3,1)),2)</f>
        <v>10.8</v>
      </c>
      <c r="L62" s="18"/>
      <c r="M62" s="18"/>
      <c r="N62" s="18"/>
      <c r="O62" s="18" t="s">
        <v>123</v>
      </c>
      <c r="P62" s="19" t="s">
        <v>1105</v>
      </c>
    </row>
    <row r="63" customFormat="false" ht="25.5" hidden="false" customHeight="true" outlineLevel="0" collapsed="false">
      <c r="A63" s="18" t="n">
        <v>494</v>
      </c>
      <c r="B63" s="18" t="n">
        <v>4</v>
      </c>
      <c r="C63" s="18" t="s">
        <v>125</v>
      </c>
      <c r="D63" s="21" t="s">
        <v>1228</v>
      </c>
      <c r="E63" s="18" t="s">
        <v>117</v>
      </c>
      <c r="F63" s="19" t="s">
        <v>136</v>
      </c>
      <c r="G63" s="18" t="s">
        <v>505</v>
      </c>
      <c r="H63" s="18" t="s">
        <v>1103</v>
      </c>
      <c r="I63" s="19" t="s">
        <v>309</v>
      </c>
      <c r="J63" s="21" t="s">
        <v>1229</v>
      </c>
      <c r="K63" s="20" t="n">
        <f aca="false">ROUND((IF(E63="Transactional",5,IF(E63="Commercial",4,IF(E63="Comparison",3,IF(E63="Informational",2,3))))*LOG10(IF(ISNUMBER(L63),L63,IFERROR(VALUE(LEFT(F63,FIND("-",F63)-1)),100))+1))/IF(IF(ISBLANK(M63),G63,M63)="High",5,IF(IF(ISBLANK(M63),G63,M63)="Medium",3,1)),2)</f>
        <v>10.41</v>
      </c>
      <c r="L63" s="18"/>
      <c r="M63" s="18"/>
      <c r="N63" s="18"/>
      <c r="O63" s="18" t="s">
        <v>123</v>
      </c>
      <c r="P63" s="19"/>
    </row>
    <row r="64" customFormat="false" ht="25.5" hidden="false" customHeight="true" outlineLevel="0" collapsed="false">
      <c r="A64" s="18" t="n">
        <v>495</v>
      </c>
      <c r="B64" s="18" t="n">
        <v>4</v>
      </c>
      <c r="C64" s="18" t="s">
        <v>115</v>
      </c>
      <c r="D64" s="19" t="s">
        <v>1230</v>
      </c>
      <c r="E64" s="18" t="s">
        <v>117</v>
      </c>
      <c r="F64" s="19" t="s">
        <v>989</v>
      </c>
      <c r="G64" s="18" t="s">
        <v>505</v>
      </c>
      <c r="H64" s="18" t="s">
        <v>1103</v>
      </c>
      <c r="I64" s="19" t="s">
        <v>309</v>
      </c>
      <c r="J64" s="19" t="s">
        <v>1231</v>
      </c>
      <c r="K64" s="20" t="n">
        <f aca="false">ROUND((IF(E64="Transactional",5,IF(E64="Commercial",4,IF(E64="Comparison",3,IF(E64="Informational",2,3))))*LOG10(IF(ISNUMBER(L64),L64,IFERROR(VALUE(LEFT(F64,FIND("-",F64)-1)),100))+1))/IF(IF(ISBLANK(M64),G64,M64)="High",5,IF(IF(ISBLANK(M64),G64,M64)="Medium",3,1)),2)</f>
        <v>9.91</v>
      </c>
      <c r="L64" s="18"/>
      <c r="M64" s="18"/>
      <c r="N64" s="18"/>
      <c r="O64" s="18" t="s">
        <v>123</v>
      </c>
      <c r="P64" s="19" t="s">
        <v>1105</v>
      </c>
    </row>
    <row r="65" customFormat="false" ht="25.5" hidden="false" customHeight="true" outlineLevel="0" collapsed="false">
      <c r="A65" s="18" t="n">
        <v>496</v>
      </c>
      <c r="B65" s="18" t="n">
        <v>4</v>
      </c>
      <c r="C65" s="18" t="s">
        <v>125</v>
      </c>
      <c r="D65" s="21" t="s">
        <v>1232</v>
      </c>
      <c r="E65" s="18" t="s">
        <v>117</v>
      </c>
      <c r="F65" s="19" t="s">
        <v>994</v>
      </c>
      <c r="G65" s="18" t="s">
        <v>505</v>
      </c>
      <c r="H65" s="18" t="s">
        <v>1103</v>
      </c>
      <c r="I65" s="19" t="s">
        <v>309</v>
      </c>
      <c r="J65" s="21" t="s">
        <v>1233</v>
      </c>
      <c r="K65" s="20" t="n">
        <f aca="false">ROUND((IF(E65="Transactional",5,IF(E65="Commercial",4,IF(E65="Comparison",3,IF(E65="Informational",2,3))))*LOG10(IF(ISNUMBER(L65),L65,IFERROR(VALUE(LEFT(F65,FIND("-",F65)-1)),100))+1))/IF(IF(ISBLANK(M65),G65,M65)="High",5,IF(IF(ISBLANK(M65),G65,M65)="Medium",3,1)),2)</f>
        <v>9.6</v>
      </c>
      <c r="L65" s="18"/>
      <c r="M65" s="18"/>
      <c r="N65" s="18"/>
      <c r="O65" s="18" t="s">
        <v>123</v>
      </c>
      <c r="P65" s="19"/>
    </row>
    <row r="66" customFormat="false" ht="25.5" hidden="false" customHeight="true" outlineLevel="0" collapsed="false">
      <c r="A66" s="18" t="n">
        <v>497</v>
      </c>
      <c r="B66" s="18" t="n">
        <v>4</v>
      </c>
      <c r="C66" s="18" t="s">
        <v>115</v>
      </c>
      <c r="D66" s="19" t="s">
        <v>1234</v>
      </c>
      <c r="E66" s="18" t="s">
        <v>117</v>
      </c>
      <c r="F66" s="19" t="s">
        <v>989</v>
      </c>
      <c r="G66" s="18" t="s">
        <v>505</v>
      </c>
      <c r="H66" s="18" t="s">
        <v>1103</v>
      </c>
      <c r="I66" s="19" t="s">
        <v>309</v>
      </c>
      <c r="J66" s="19" t="s">
        <v>1235</v>
      </c>
      <c r="K66" s="20" t="n">
        <f aca="false">ROUND((IF(E66="Transactional",5,IF(E66="Commercial",4,IF(E66="Comparison",3,IF(E66="Informational",2,3))))*LOG10(IF(ISNUMBER(L66),L66,IFERROR(VALUE(LEFT(F66,FIND("-",F66)-1)),100))+1))/IF(IF(ISBLANK(M66),G66,M66)="High",5,IF(IF(ISBLANK(M66),G66,M66)="Medium",3,1)),2)</f>
        <v>9.91</v>
      </c>
      <c r="L66" s="18"/>
      <c r="M66" s="18"/>
      <c r="N66" s="18"/>
      <c r="O66" s="18" t="s">
        <v>123</v>
      </c>
      <c r="P66" s="19" t="s">
        <v>1105</v>
      </c>
    </row>
    <row r="67" customFormat="false" ht="25.5" hidden="false" customHeight="true" outlineLevel="0" collapsed="false">
      <c r="A67" s="18" t="n">
        <v>498</v>
      </c>
      <c r="B67" s="18" t="n">
        <v>4</v>
      </c>
      <c r="C67" s="18" t="s">
        <v>125</v>
      </c>
      <c r="D67" s="21" t="s">
        <v>1236</v>
      </c>
      <c r="E67" s="18" t="s">
        <v>117</v>
      </c>
      <c r="F67" s="19" t="s">
        <v>994</v>
      </c>
      <c r="G67" s="18" t="s">
        <v>505</v>
      </c>
      <c r="H67" s="18" t="s">
        <v>1103</v>
      </c>
      <c r="I67" s="19" t="s">
        <v>309</v>
      </c>
      <c r="J67" s="21" t="s">
        <v>1237</v>
      </c>
      <c r="K67" s="20" t="n">
        <f aca="false">ROUND((IF(E67="Transactional",5,IF(E67="Commercial",4,IF(E67="Comparison",3,IF(E67="Informational",2,3))))*LOG10(IF(ISNUMBER(L67),L67,IFERROR(VALUE(LEFT(F67,FIND("-",F67)-1)),100))+1))/IF(IF(ISBLANK(M67),G67,M67)="High",5,IF(IF(ISBLANK(M67),G67,M67)="Medium",3,1)),2)</f>
        <v>9.6</v>
      </c>
      <c r="L67" s="18"/>
      <c r="M67" s="18"/>
      <c r="N67" s="18"/>
      <c r="O67" s="18" t="s">
        <v>123</v>
      </c>
      <c r="P67" s="19"/>
    </row>
    <row r="68" customFormat="false" ht="25.5" hidden="false" customHeight="true" outlineLevel="0" collapsed="false">
      <c r="A68" s="18" t="n">
        <v>499</v>
      </c>
      <c r="B68" s="18" t="n">
        <v>4</v>
      </c>
      <c r="C68" s="18" t="s">
        <v>115</v>
      </c>
      <c r="D68" s="19" t="s">
        <v>1238</v>
      </c>
      <c r="E68" s="18" t="s">
        <v>117</v>
      </c>
      <c r="F68" s="19" t="s">
        <v>989</v>
      </c>
      <c r="G68" s="18" t="s">
        <v>505</v>
      </c>
      <c r="H68" s="18" t="s">
        <v>1103</v>
      </c>
      <c r="I68" s="19" t="s">
        <v>309</v>
      </c>
      <c r="J68" s="19" t="s">
        <v>1239</v>
      </c>
      <c r="K68" s="20" t="n">
        <f aca="false">ROUND((IF(E68="Transactional",5,IF(E68="Commercial",4,IF(E68="Comparison",3,IF(E68="Informational",2,3))))*LOG10(IF(ISNUMBER(L68),L68,IFERROR(VALUE(LEFT(F68,FIND("-",F68)-1)),100))+1))/IF(IF(ISBLANK(M68),G68,M68)="High",5,IF(IF(ISBLANK(M68),G68,M68)="Medium",3,1)),2)</f>
        <v>9.91</v>
      </c>
      <c r="L68" s="18"/>
      <c r="M68" s="18"/>
      <c r="N68" s="18"/>
      <c r="O68" s="18" t="s">
        <v>123</v>
      </c>
      <c r="P68" s="19" t="s">
        <v>1105</v>
      </c>
    </row>
    <row r="69" customFormat="false" ht="25.5" hidden="false" customHeight="true" outlineLevel="0" collapsed="false">
      <c r="A69" s="18" t="n">
        <v>500</v>
      </c>
      <c r="B69" s="18" t="n">
        <v>4</v>
      </c>
      <c r="C69" s="18" t="s">
        <v>125</v>
      </c>
      <c r="D69" s="21" t="s">
        <v>1240</v>
      </c>
      <c r="E69" s="18" t="s">
        <v>117</v>
      </c>
      <c r="F69" s="19" t="s">
        <v>994</v>
      </c>
      <c r="G69" s="18" t="s">
        <v>505</v>
      </c>
      <c r="H69" s="18" t="s">
        <v>1103</v>
      </c>
      <c r="I69" s="19" t="s">
        <v>309</v>
      </c>
      <c r="J69" s="21" t="s">
        <v>1241</v>
      </c>
      <c r="K69" s="20" t="n">
        <f aca="false">ROUND((IF(E69="Transactional",5,IF(E69="Commercial",4,IF(E69="Comparison",3,IF(E69="Informational",2,3))))*LOG10(IF(ISNUMBER(L69),L69,IFERROR(VALUE(LEFT(F69,FIND("-",F69)-1)),100))+1))/IF(IF(ISBLANK(M69),G69,M69)="High",5,IF(IF(ISBLANK(M69),G69,M69)="Medium",3,1)),2)</f>
        <v>9.6</v>
      </c>
      <c r="L69" s="18"/>
      <c r="M69" s="18"/>
      <c r="N69" s="18"/>
      <c r="O69" s="18" t="s">
        <v>123</v>
      </c>
      <c r="P69" s="19"/>
    </row>
    <row r="70" customFormat="false" ht="25.5" hidden="false" customHeight="true" outlineLevel="0" collapsed="false">
      <c r="A70" s="18" t="n">
        <v>501</v>
      </c>
      <c r="B70" s="18" t="n">
        <v>4</v>
      </c>
      <c r="C70" s="18" t="s">
        <v>115</v>
      </c>
      <c r="D70" s="19" t="s">
        <v>1242</v>
      </c>
      <c r="E70" s="18" t="s">
        <v>117</v>
      </c>
      <c r="F70" s="19" t="s">
        <v>989</v>
      </c>
      <c r="G70" s="18" t="s">
        <v>505</v>
      </c>
      <c r="H70" s="18" t="s">
        <v>1103</v>
      </c>
      <c r="I70" s="19" t="s">
        <v>272</v>
      </c>
      <c r="J70" s="19" t="s">
        <v>1243</v>
      </c>
      <c r="K70" s="20" t="n">
        <f aca="false">ROUND((IF(E70="Transactional",5,IF(E70="Commercial",4,IF(E70="Comparison",3,IF(E70="Informational",2,3))))*LOG10(IF(ISNUMBER(L70),L70,IFERROR(VALUE(LEFT(F70,FIND("-",F70)-1)),100))+1))/IF(IF(ISBLANK(M70),G70,M70)="High",5,IF(IF(ISBLANK(M70),G70,M70)="Medium",3,1)),2)</f>
        <v>9.91</v>
      </c>
      <c r="L70" s="18"/>
      <c r="M70" s="18"/>
      <c r="N70" s="18"/>
      <c r="O70" s="18" t="s">
        <v>123</v>
      </c>
      <c r="P70" s="19" t="s">
        <v>1105</v>
      </c>
    </row>
    <row r="71" customFormat="false" ht="25.5" hidden="false" customHeight="true" outlineLevel="0" collapsed="false">
      <c r="A71" s="18" t="n">
        <v>502</v>
      </c>
      <c r="B71" s="18" t="n">
        <v>4</v>
      </c>
      <c r="C71" s="18" t="s">
        <v>125</v>
      </c>
      <c r="D71" s="21" t="s">
        <v>1244</v>
      </c>
      <c r="E71" s="18" t="s">
        <v>117</v>
      </c>
      <c r="F71" s="19" t="s">
        <v>994</v>
      </c>
      <c r="G71" s="18" t="s">
        <v>505</v>
      </c>
      <c r="H71" s="18" t="s">
        <v>1103</v>
      </c>
      <c r="I71" s="19" t="s">
        <v>272</v>
      </c>
      <c r="J71" s="21" t="s">
        <v>1245</v>
      </c>
      <c r="K71" s="20" t="n">
        <f aca="false">ROUND((IF(E71="Transactional",5,IF(E71="Commercial",4,IF(E71="Comparison",3,IF(E71="Informational",2,3))))*LOG10(IF(ISNUMBER(L71),L71,IFERROR(VALUE(LEFT(F71,FIND("-",F71)-1)),100))+1))/IF(IF(ISBLANK(M71),G71,M71)="High",5,IF(IF(ISBLANK(M71),G71,M71)="Medium",3,1)),2)</f>
        <v>9.6</v>
      </c>
      <c r="L71" s="18"/>
      <c r="M71" s="18"/>
      <c r="N71" s="18"/>
      <c r="O71" s="18" t="s">
        <v>123</v>
      </c>
      <c r="P71" s="19"/>
    </row>
    <row r="72" customFormat="false" ht="25.5" hidden="false" customHeight="true" outlineLevel="0" collapsed="false">
      <c r="A72" s="18" t="n">
        <v>503</v>
      </c>
      <c r="B72" s="18" t="n">
        <v>4</v>
      </c>
      <c r="C72" s="18" t="s">
        <v>115</v>
      </c>
      <c r="D72" s="19" t="s">
        <v>1246</v>
      </c>
      <c r="E72" s="18" t="s">
        <v>117</v>
      </c>
      <c r="F72" s="19" t="s">
        <v>989</v>
      </c>
      <c r="G72" s="18" t="s">
        <v>505</v>
      </c>
      <c r="H72" s="18" t="s">
        <v>1103</v>
      </c>
      <c r="I72" s="19" t="s">
        <v>272</v>
      </c>
      <c r="J72" s="19" t="s">
        <v>1247</v>
      </c>
      <c r="K72" s="20" t="n">
        <f aca="false">ROUND((IF(E72="Transactional",5,IF(E72="Commercial",4,IF(E72="Comparison",3,IF(E72="Informational",2,3))))*LOG10(IF(ISNUMBER(L72),L72,IFERROR(VALUE(LEFT(F72,FIND("-",F72)-1)),100))+1))/IF(IF(ISBLANK(M72),G72,M72)="High",5,IF(IF(ISBLANK(M72),G72,M72)="Medium",3,1)),2)</f>
        <v>9.91</v>
      </c>
      <c r="L72" s="18"/>
      <c r="M72" s="18"/>
      <c r="N72" s="18"/>
      <c r="O72" s="18" t="s">
        <v>123</v>
      </c>
      <c r="P72" s="19" t="s">
        <v>1105</v>
      </c>
    </row>
    <row r="73" customFormat="false" ht="25.5" hidden="false" customHeight="true" outlineLevel="0" collapsed="false">
      <c r="A73" s="18" t="n">
        <v>504</v>
      </c>
      <c r="B73" s="18" t="n">
        <v>4</v>
      </c>
      <c r="C73" s="18" t="s">
        <v>125</v>
      </c>
      <c r="D73" s="21" t="s">
        <v>1248</v>
      </c>
      <c r="E73" s="18" t="s">
        <v>117</v>
      </c>
      <c r="F73" s="19" t="s">
        <v>994</v>
      </c>
      <c r="G73" s="18" t="s">
        <v>505</v>
      </c>
      <c r="H73" s="18" t="s">
        <v>1103</v>
      </c>
      <c r="I73" s="19" t="s">
        <v>272</v>
      </c>
      <c r="J73" s="21" t="s">
        <v>1249</v>
      </c>
      <c r="K73" s="20" t="n">
        <f aca="false">ROUND((IF(E73="Transactional",5,IF(E73="Commercial",4,IF(E73="Comparison",3,IF(E73="Informational",2,3))))*LOG10(IF(ISNUMBER(L73),L73,IFERROR(VALUE(LEFT(F73,FIND("-",F73)-1)),100))+1))/IF(IF(ISBLANK(M73),G73,M73)="High",5,IF(IF(ISBLANK(M73),G73,M73)="Medium",3,1)),2)</f>
        <v>9.6</v>
      </c>
      <c r="L73" s="18"/>
      <c r="M73" s="18"/>
      <c r="N73" s="18"/>
      <c r="O73" s="18" t="s">
        <v>123</v>
      </c>
      <c r="P73" s="19"/>
    </row>
    <row r="74" customFormat="false" ht="25.5" hidden="false" customHeight="true" outlineLevel="0" collapsed="false">
      <c r="A74" s="18" t="n">
        <v>505</v>
      </c>
      <c r="B74" s="18" t="n">
        <v>4</v>
      </c>
      <c r="C74" s="18" t="s">
        <v>115</v>
      </c>
      <c r="D74" s="19" t="s">
        <v>1250</v>
      </c>
      <c r="E74" s="18" t="s">
        <v>1158</v>
      </c>
      <c r="F74" s="19" t="s">
        <v>989</v>
      </c>
      <c r="G74" s="18" t="s">
        <v>505</v>
      </c>
      <c r="H74" s="18" t="s">
        <v>1103</v>
      </c>
      <c r="I74" s="19" t="s">
        <v>272</v>
      </c>
      <c r="J74" s="19" t="s">
        <v>1251</v>
      </c>
      <c r="K74" s="20" t="n">
        <f aca="false">ROUND((IF(E74="Transactional",5,IF(E74="Commercial",4,IF(E74="Comparison",3,IF(E74="Informational",2,3))))*LOG10(IF(ISNUMBER(L74),L74,IFERROR(VALUE(LEFT(F74,FIND("-",F74)-1)),100))+1))/IF(IF(ISBLANK(M74),G74,M74)="High",5,IF(IF(ISBLANK(M74),G74,M74)="Medium",3,1)),2)</f>
        <v>4.96</v>
      </c>
      <c r="L74" s="18"/>
      <c r="M74" s="18"/>
      <c r="N74" s="18"/>
      <c r="O74" s="18" t="s">
        <v>123</v>
      </c>
      <c r="P74" s="19" t="s">
        <v>1105</v>
      </c>
    </row>
    <row r="75" customFormat="false" ht="25.5" hidden="false" customHeight="true" outlineLevel="0" collapsed="false">
      <c r="A75" s="18" t="n">
        <v>506</v>
      </c>
      <c r="B75" s="18" t="n">
        <v>4</v>
      </c>
      <c r="C75" s="18" t="s">
        <v>125</v>
      </c>
      <c r="D75" s="21" t="s">
        <v>1252</v>
      </c>
      <c r="E75" s="18" t="s">
        <v>1158</v>
      </c>
      <c r="F75" s="19" t="s">
        <v>994</v>
      </c>
      <c r="G75" s="18" t="s">
        <v>505</v>
      </c>
      <c r="H75" s="18" t="s">
        <v>1103</v>
      </c>
      <c r="I75" s="19" t="s">
        <v>272</v>
      </c>
      <c r="J75" s="21" t="s">
        <v>1253</v>
      </c>
      <c r="K75" s="20" t="n">
        <f aca="false">ROUND((IF(E75="Transactional",5,IF(E75="Commercial",4,IF(E75="Comparison",3,IF(E75="Informational",2,3))))*LOG10(IF(ISNUMBER(L75),L75,IFERROR(VALUE(LEFT(F75,FIND("-",F75)-1)),100))+1))/IF(IF(ISBLANK(M75),G75,M75)="High",5,IF(IF(ISBLANK(M75),G75,M75)="Medium",3,1)),2)</f>
        <v>4.8</v>
      </c>
      <c r="L75" s="18"/>
      <c r="M75" s="18"/>
      <c r="N75" s="18"/>
      <c r="O75" s="18" t="s">
        <v>123</v>
      </c>
      <c r="P75" s="19"/>
    </row>
    <row r="76" customFormat="false" ht="25.5" hidden="false" customHeight="true" outlineLevel="0" collapsed="false">
      <c r="A76" s="18" t="n">
        <v>507</v>
      </c>
      <c r="B76" s="18" t="n">
        <v>4</v>
      </c>
      <c r="C76" s="18" t="s">
        <v>115</v>
      </c>
      <c r="D76" s="19" t="s">
        <v>1254</v>
      </c>
      <c r="E76" s="18" t="s">
        <v>1158</v>
      </c>
      <c r="F76" s="19" t="s">
        <v>1000</v>
      </c>
      <c r="G76" s="18" t="s">
        <v>505</v>
      </c>
      <c r="H76" s="18" t="s">
        <v>1103</v>
      </c>
      <c r="I76" s="19" t="s">
        <v>272</v>
      </c>
      <c r="J76" s="19" t="s">
        <v>1255</v>
      </c>
      <c r="K76" s="20" t="n">
        <f aca="false">ROUND((IF(E76="Transactional",5,IF(E76="Commercial",4,IF(E76="Comparison",3,IF(E76="Informational",2,3))))*LOG10(IF(ISNUMBER(L76),L76,IFERROR(VALUE(LEFT(F76,FIND("-",F76)-1)),100))+1))/IF(IF(ISBLANK(M76),G76,M76)="High",5,IF(IF(ISBLANK(M76),G76,M76)="Medium",3,1)),2)</f>
        <v>4.36</v>
      </c>
      <c r="L76" s="18"/>
      <c r="M76" s="18"/>
      <c r="N76" s="18"/>
      <c r="O76" s="18" t="s">
        <v>123</v>
      </c>
      <c r="P76" s="19" t="s">
        <v>1105</v>
      </c>
    </row>
    <row r="77" customFormat="false" ht="25.5" hidden="false" customHeight="true" outlineLevel="0" collapsed="false">
      <c r="A77" s="18" t="n">
        <v>508</v>
      </c>
      <c r="B77" s="18" t="n">
        <v>4</v>
      </c>
      <c r="C77" s="18" t="s">
        <v>125</v>
      </c>
      <c r="D77" s="21" t="s">
        <v>1256</v>
      </c>
      <c r="E77" s="18" t="s">
        <v>1158</v>
      </c>
      <c r="F77" s="19" t="s">
        <v>1115</v>
      </c>
      <c r="G77" s="18" t="s">
        <v>505</v>
      </c>
      <c r="H77" s="18" t="s">
        <v>1103</v>
      </c>
      <c r="I77" s="19" t="s">
        <v>272</v>
      </c>
      <c r="J77" s="21" t="s">
        <v>1257</v>
      </c>
      <c r="K77" s="20" t="n">
        <f aca="false">ROUND((IF(E77="Transactional",5,IF(E77="Commercial",4,IF(E77="Comparison",3,IF(E77="Informational",2,3))))*LOG10(IF(ISNUMBER(L77),L77,IFERROR(VALUE(LEFT(F77,FIND("-",F77)-1)),100))+1))/IF(IF(ISBLANK(M77),G77,M77)="High",5,IF(IF(ISBLANK(M77),G77,M77)="Medium",3,1)),2)</f>
        <v>4.23</v>
      </c>
      <c r="L77" s="18"/>
      <c r="M77" s="18"/>
      <c r="N77" s="18"/>
      <c r="O77" s="18" t="s">
        <v>123</v>
      </c>
      <c r="P77" s="19"/>
    </row>
    <row r="78" customFormat="false" ht="25.5" hidden="false" customHeight="true" outlineLevel="0" collapsed="false">
      <c r="A78" s="18" t="n">
        <v>509</v>
      </c>
      <c r="B78" s="18" t="n">
        <v>4</v>
      </c>
      <c r="C78" s="18" t="s">
        <v>115</v>
      </c>
      <c r="D78" s="19" t="s">
        <v>1258</v>
      </c>
      <c r="E78" s="18" t="s">
        <v>117</v>
      </c>
      <c r="F78" s="19" t="s">
        <v>989</v>
      </c>
      <c r="G78" s="18" t="s">
        <v>505</v>
      </c>
      <c r="H78" s="18" t="s">
        <v>1103</v>
      </c>
      <c r="I78" s="19" t="s">
        <v>260</v>
      </c>
      <c r="J78" s="19" t="s">
        <v>1259</v>
      </c>
      <c r="K78" s="20" t="n">
        <f aca="false">ROUND((IF(E78="Transactional",5,IF(E78="Commercial",4,IF(E78="Comparison",3,IF(E78="Informational",2,3))))*LOG10(IF(ISNUMBER(L78),L78,IFERROR(VALUE(LEFT(F78,FIND("-",F78)-1)),100))+1))/IF(IF(ISBLANK(M78),G78,M78)="High",5,IF(IF(ISBLANK(M78),G78,M78)="Medium",3,1)),2)</f>
        <v>9.91</v>
      </c>
      <c r="L78" s="18"/>
      <c r="M78" s="18"/>
      <c r="N78" s="18"/>
      <c r="O78" s="18" t="s">
        <v>123</v>
      </c>
      <c r="P78" s="19" t="s">
        <v>1105</v>
      </c>
    </row>
    <row r="79" customFormat="false" ht="25.5" hidden="false" customHeight="true" outlineLevel="0" collapsed="false">
      <c r="A79" s="18" t="n">
        <v>510</v>
      </c>
      <c r="B79" s="18" t="n">
        <v>4</v>
      </c>
      <c r="C79" s="18" t="s">
        <v>125</v>
      </c>
      <c r="D79" s="21" t="s">
        <v>1260</v>
      </c>
      <c r="E79" s="18" t="s">
        <v>117</v>
      </c>
      <c r="F79" s="19" t="s">
        <v>994</v>
      </c>
      <c r="G79" s="18" t="s">
        <v>505</v>
      </c>
      <c r="H79" s="18" t="s">
        <v>1103</v>
      </c>
      <c r="I79" s="19" t="s">
        <v>260</v>
      </c>
      <c r="J79" s="21" t="s">
        <v>1261</v>
      </c>
      <c r="K79" s="20" t="n">
        <f aca="false">ROUND((IF(E79="Transactional",5,IF(E79="Commercial",4,IF(E79="Comparison",3,IF(E79="Informational",2,3))))*LOG10(IF(ISNUMBER(L79),L79,IFERROR(VALUE(LEFT(F79,FIND("-",F79)-1)),100))+1))/IF(IF(ISBLANK(M79),G79,M79)="High",5,IF(IF(ISBLANK(M79),G79,M79)="Medium",3,1)),2)</f>
        <v>9.6</v>
      </c>
      <c r="L79" s="18"/>
      <c r="M79" s="18"/>
      <c r="N79" s="18"/>
      <c r="O79" s="18" t="s">
        <v>123</v>
      </c>
      <c r="P79" s="19"/>
    </row>
    <row r="80" customFormat="false" ht="25.5" hidden="false" customHeight="true" outlineLevel="0" collapsed="false">
      <c r="A80" s="18" t="n">
        <v>511</v>
      </c>
      <c r="B80" s="18" t="n">
        <v>4</v>
      </c>
      <c r="C80" s="18" t="s">
        <v>115</v>
      </c>
      <c r="D80" s="19" t="s">
        <v>1262</v>
      </c>
      <c r="E80" s="18" t="s">
        <v>117</v>
      </c>
      <c r="F80" s="19" t="s">
        <v>989</v>
      </c>
      <c r="G80" s="18" t="s">
        <v>505</v>
      </c>
      <c r="H80" s="18" t="s">
        <v>1103</v>
      </c>
      <c r="I80" s="19" t="s">
        <v>260</v>
      </c>
      <c r="J80" s="19" t="s">
        <v>1263</v>
      </c>
      <c r="K80" s="20" t="n">
        <f aca="false">ROUND((IF(E80="Transactional",5,IF(E80="Commercial",4,IF(E80="Comparison",3,IF(E80="Informational",2,3))))*LOG10(IF(ISNUMBER(L80),L80,IFERROR(VALUE(LEFT(F80,FIND("-",F80)-1)),100))+1))/IF(IF(ISBLANK(M80),G80,M80)="High",5,IF(IF(ISBLANK(M80),G80,M80)="Medium",3,1)),2)</f>
        <v>9.91</v>
      </c>
      <c r="L80" s="18"/>
      <c r="M80" s="18"/>
      <c r="N80" s="18"/>
      <c r="O80" s="18" t="s">
        <v>123</v>
      </c>
      <c r="P80" s="19" t="s">
        <v>1105</v>
      </c>
    </row>
    <row r="81" customFormat="false" ht="25.5" hidden="false" customHeight="true" outlineLevel="0" collapsed="false">
      <c r="A81" s="18" t="n">
        <v>512</v>
      </c>
      <c r="B81" s="18" t="n">
        <v>4</v>
      </c>
      <c r="C81" s="18" t="s">
        <v>125</v>
      </c>
      <c r="D81" s="21" t="s">
        <v>1264</v>
      </c>
      <c r="E81" s="18" t="s">
        <v>117</v>
      </c>
      <c r="F81" s="19" t="s">
        <v>994</v>
      </c>
      <c r="G81" s="18" t="s">
        <v>505</v>
      </c>
      <c r="H81" s="18" t="s">
        <v>1103</v>
      </c>
      <c r="I81" s="19" t="s">
        <v>260</v>
      </c>
      <c r="J81" s="21" t="s">
        <v>1265</v>
      </c>
      <c r="K81" s="20" t="n">
        <f aca="false">ROUND((IF(E81="Transactional",5,IF(E81="Commercial",4,IF(E81="Comparison",3,IF(E81="Informational",2,3))))*LOG10(IF(ISNUMBER(L81),L81,IFERROR(VALUE(LEFT(F81,FIND("-",F81)-1)),100))+1))/IF(IF(ISBLANK(M81),G81,M81)="High",5,IF(IF(ISBLANK(M81),G81,M81)="Medium",3,1)),2)</f>
        <v>9.6</v>
      </c>
      <c r="L81" s="18"/>
      <c r="M81" s="18"/>
      <c r="N81" s="18"/>
      <c r="O81" s="18" t="s">
        <v>123</v>
      </c>
      <c r="P81" s="19"/>
    </row>
    <row r="82" customFormat="false" ht="25.5" hidden="false" customHeight="true" outlineLevel="0" collapsed="false">
      <c r="A82" s="18" t="n">
        <v>513</v>
      </c>
      <c r="B82" s="18" t="n">
        <v>4</v>
      </c>
      <c r="C82" s="18" t="s">
        <v>115</v>
      </c>
      <c r="D82" s="19" t="s">
        <v>1266</v>
      </c>
      <c r="E82" s="18" t="s">
        <v>117</v>
      </c>
      <c r="F82" s="19" t="s">
        <v>989</v>
      </c>
      <c r="G82" s="18" t="s">
        <v>505</v>
      </c>
      <c r="H82" s="18" t="s">
        <v>1103</v>
      </c>
      <c r="I82" s="19" t="s">
        <v>260</v>
      </c>
      <c r="J82" s="19" t="s">
        <v>1267</v>
      </c>
      <c r="K82" s="20" t="n">
        <f aca="false">ROUND((IF(E82="Transactional",5,IF(E82="Commercial",4,IF(E82="Comparison",3,IF(E82="Informational",2,3))))*LOG10(IF(ISNUMBER(L82),L82,IFERROR(VALUE(LEFT(F82,FIND("-",F82)-1)),100))+1))/IF(IF(ISBLANK(M82),G82,M82)="High",5,IF(IF(ISBLANK(M82),G82,M82)="Medium",3,1)),2)</f>
        <v>9.91</v>
      </c>
      <c r="L82" s="18"/>
      <c r="M82" s="18"/>
      <c r="N82" s="18"/>
      <c r="O82" s="18" t="s">
        <v>123</v>
      </c>
      <c r="P82" s="19" t="s">
        <v>1105</v>
      </c>
    </row>
    <row r="83" customFormat="false" ht="25.5" hidden="false" customHeight="true" outlineLevel="0" collapsed="false">
      <c r="A83" s="18" t="n">
        <v>514</v>
      </c>
      <c r="B83" s="18" t="n">
        <v>4</v>
      </c>
      <c r="C83" s="18" t="s">
        <v>125</v>
      </c>
      <c r="D83" s="21" t="s">
        <v>1268</v>
      </c>
      <c r="E83" s="18" t="s">
        <v>117</v>
      </c>
      <c r="F83" s="19" t="s">
        <v>994</v>
      </c>
      <c r="G83" s="18" t="s">
        <v>505</v>
      </c>
      <c r="H83" s="18" t="s">
        <v>1103</v>
      </c>
      <c r="I83" s="19" t="s">
        <v>260</v>
      </c>
      <c r="J83" s="21" t="s">
        <v>1269</v>
      </c>
      <c r="K83" s="20" t="n">
        <f aca="false">ROUND((IF(E83="Transactional",5,IF(E83="Commercial",4,IF(E83="Comparison",3,IF(E83="Informational",2,3))))*LOG10(IF(ISNUMBER(L83),L83,IFERROR(VALUE(LEFT(F83,FIND("-",F83)-1)),100))+1))/IF(IF(ISBLANK(M83),G83,M83)="High",5,IF(IF(ISBLANK(M83),G83,M83)="Medium",3,1)),2)</f>
        <v>9.6</v>
      </c>
      <c r="L83" s="18"/>
      <c r="M83" s="18"/>
      <c r="N83" s="18"/>
      <c r="O83" s="18" t="s">
        <v>123</v>
      </c>
      <c r="P83" s="19"/>
    </row>
    <row r="84" customFormat="false" ht="25.5" hidden="false" customHeight="true" outlineLevel="0" collapsed="false">
      <c r="A84" s="18" t="n">
        <v>515</v>
      </c>
      <c r="B84" s="18" t="n">
        <v>4</v>
      </c>
      <c r="C84" s="18" t="s">
        <v>115</v>
      </c>
      <c r="D84" s="19" t="s">
        <v>1270</v>
      </c>
      <c r="E84" s="18" t="s">
        <v>117</v>
      </c>
      <c r="F84" s="19" t="s">
        <v>989</v>
      </c>
      <c r="G84" s="18" t="s">
        <v>505</v>
      </c>
      <c r="H84" s="18" t="s">
        <v>1103</v>
      </c>
      <c r="I84" s="19" t="s">
        <v>266</v>
      </c>
      <c r="J84" s="19" t="s">
        <v>1271</v>
      </c>
      <c r="K84" s="20" t="n">
        <f aca="false">ROUND((IF(E84="Transactional",5,IF(E84="Commercial",4,IF(E84="Comparison",3,IF(E84="Informational",2,3))))*LOG10(IF(ISNUMBER(L84),L84,IFERROR(VALUE(LEFT(F84,FIND("-",F84)-1)),100))+1))/IF(IF(ISBLANK(M84),G84,M84)="High",5,IF(IF(ISBLANK(M84),G84,M84)="Medium",3,1)),2)</f>
        <v>9.91</v>
      </c>
      <c r="L84" s="18"/>
      <c r="M84" s="18"/>
      <c r="N84" s="18"/>
      <c r="O84" s="18" t="s">
        <v>123</v>
      </c>
      <c r="P84" s="19" t="s">
        <v>1105</v>
      </c>
    </row>
    <row r="85" customFormat="false" ht="25.5" hidden="false" customHeight="true" outlineLevel="0" collapsed="false">
      <c r="A85" s="18" t="n">
        <v>516</v>
      </c>
      <c r="B85" s="18" t="n">
        <v>4</v>
      </c>
      <c r="C85" s="18" t="s">
        <v>125</v>
      </c>
      <c r="D85" s="21" t="s">
        <v>1272</v>
      </c>
      <c r="E85" s="18" t="s">
        <v>117</v>
      </c>
      <c r="F85" s="19" t="s">
        <v>994</v>
      </c>
      <c r="G85" s="18" t="s">
        <v>505</v>
      </c>
      <c r="H85" s="18" t="s">
        <v>1103</v>
      </c>
      <c r="I85" s="19" t="s">
        <v>266</v>
      </c>
      <c r="J85" s="21" t="s">
        <v>1273</v>
      </c>
      <c r="K85" s="20" t="n">
        <f aca="false">ROUND((IF(E85="Transactional",5,IF(E85="Commercial",4,IF(E85="Comparison",3,IF(E85="Informational",2,3))))*LOG10(IF(ISNUMBER(L85),L85,IFERROR(VALUE(LEFT(F85,FIND("-",F85)-1)),100))+1))/IF(IF(ISBLANK(M85),G85,M85)="High",5,IF(IF(ISBLANK(M85),G85,M85)="Medium",3,1)),2)</f>
        <v>9.6</v>
      </c>
      <c r="L85" s="18"/>
      <c r="M85" s="18"/>
      <c r="N85" s="18"/>
      <c r="O85" s="18" t="s">
        <v>123</v>
      </c>
      <c r="P85" s="19"/>
    </row>
    <row r="86" customFormat="false" ht="25.5" hidden="false" customHeight="true" outlineLevel="0" collapsed="false">
      <c r="A86" s="18" t="n">
        <v>517</v>
      </c>
      <c r="B86" s="18" t="n">
        <v>4</v>
      </c>
      <c r="C86" s="18" t="s">
        <v>115</v>
      </c>
      <c r="D86" s="19" t="s">
        <v>1274</v>
      </c>
      <c r="E86" s="18" t="s">
        <v>117</v>
      </c>
      <c r="F86" s="19" t="s">
        <v>989</v>
      </c>
      <c r="G86" s="18" t="s">
        <v>505</v>
      </c>
      <c r="H86" s="18" t="s">
        <v>1103</v>
      </c>
      <c r="I86" s="19" t="s">
        <v>266</v>
      </c>
      <c r="J86" s="19" t="s">
        <v>1275</v>
      </c>
      <c r="K86" s="20" t="n">
        <f aca="false">ROUND((IF(E86="Transactional",5,IF(E86="Commercial",4,IF(E86="Comparison",3,IF(E86="Informational",2,3))))*LOG10(IF(ISNUMBER(L86),L86,IFERROR(VALUE(LEFT(F86,FIND("-",F86)-1)),100))+1))/IF(IF(ISBLANK(M86),G86,M86)="High",5,IF(IF(ISBLANK(M86),G86,M86)="Medium",3,1)),2)</f>
        <v>9.91</v>
      </c>
      <c r="L86" s="18"/>
      <c r="M86" s="18"/>
      <c r="N86" s="18"/>
      <c r="O86" s="18" t="s">
        <v>123</v>
      </c>
      <c r="P86" s="19" t="s">
        <v>1105</v>
      </c>
    </row>
    <row r="87" customFormat="false" ht="25.5" hidden="false" customHeight="true" outlineLevel="0" collapsed="false">
      <c r="A87" s="18" t="n">
        <v>518</v>
      </c>
      <c r="B87" s="18" t="n">
        <v>4</v>
      </c>
      <c r="C87" s="18" t="s">
        <v>125</v>
      </c>
      <c r="D87" s="21" t="s">
        <v>1276</v>
      </c>
      <c r="E87" s="18" t="s">
        <v>117</v>
      </c>
      <c r="F87" s="19" t="s">
        <v>994</v>
      </c>
      <c r="G87" s="18" t="s">
        <v>505</v>
      </c>
      <c r="H87" s="18" t="s">
        <v>1103</v>
      </c>
      <c r="I87" s="19" t="s">
        <v>266</v>
      </c>
      <c r="J87" s="21" t="s">
        <v>1277</v>
      </c>
      <c r="K87" s="20" t="n">
        <f aca="false">ROUND((IF(E87="Transactional",5,IF(E87="Commercial",4,IF(E87="Comparison",3,IF(E87="Informational",2,3))))*LOG10(IF(ISNUMBER(L87),L87,IFERROR(VALUE(LEFT(F87,FIND("-",F87)-1)),100))+1))/IF(IF(ISBLANK(M87),G87,M87)="High",5,IF(IF(ISBLANK(M87),G87,M87)="Medium",3,1)),2)</f>
        <v>9.6</v>
      </c>
      <c r="L87" s="18"/>
      <c r="M87" s="18"/>
      <c r="N87" s="18"/>
      <c r="O87" s="18" t="s">
        <v>123</v>
      </c>
      <c r="P87" s="19"/>
    </row>
    <row r="88" customFormat="false" ht="25.5" hidden="false" customHeight="true" outlineLevel="0" collapsed="false">
      <c r="A88" s="18" t="n">
        <v>519</v>
      </c>
      <c r="B88" s="18" t="n">
        <v>4</v>
      </c>
      <c r="C88" s="18" t="s">
        <v>115</v>
      </c>
      <c r="D88" s="19" t="s">
        <v>1278</v>
      </c>
      <c r="E88" s="18" t="s">
        <v>117</v>
      </c>
      <c r="F88" s="19" t="s">
        <v>989</v>
      </c>
      <c r="G88" s="18" t="s">
        <v>505</v>
      </c>
      <c r="H88" s="18" t="s">
        <v>1103</v>
      </c>
      <c r="I88" s="19" t="s">
        <v>266</v>
      </c>
      <c r="J88" s="19" t="s">
        <v>1279</v>
      </c>
      <c r="K88" s="20" t="n">
        <f aca="false">ROUND((IF(E88="Transactional",5,IF(E88="Commercial",4,IF(E88="Comparison",3,IF(E88="Informational",2,3))))*LOG10(IF(ISNUMBER(L88),L88,IFERROR(VALUE(LEFT(F88,FIND("-",F88)-1)),100))+1))/IF(IF(ISBLANK(M88),G88,M88)="High",5,IF(IF(ISBLANK(M88),G88,M88)="Medium",3,1)),2)</f>
        <v>9.91</v>
      </c>
      <c r="L88" s="18"/>
      <c r="M88" s="18"/>
      <c r="N88" s="18"/>
      <c r="O88" s="18" t="s">
        <v>123</v>
      </c>
      <c r="P88" s="19" t="s">
        <v>1105</v>
      </c>
    </row>
    <row r="89" customFormat="false" ht="25.5" hidden="false" customHeight="true" outlineLevel="0" collapsed="false">
      <c r="A89" s="18" t="n">
        <v>520</v>
      </c>
      <c r="B89" s="18" t="n">
        <v>4</v>
      </c>
      <c r="C89" s="18" t="s">
        <v>125</v>
      </c>
      <c r="D89" s="21" t="s">
        <v>1280</v>
      </c>
      <c r="E89" s="18" t="s">
        <v>117</v>
      </c>
      <c r="F89" s="19" t="s">
        <v>994</v>
      </c>
      <c r="G89" s="18" t="s">
        <v>505</v>
      </c>
      <c r="H89" s="18" t="s">
        <v>1103</v>
      </c>
      <c r="I89" s="19" t="s">
        <v>266</v>
      </c>
      <c r="J89" s="21" t="s">
        <v>1281</v>
      </c>
      <c r="K89" s="20" t="n">
        <f aca="false">ROUND((IF(E89="Transactional",5,IF(E89="Commercial",4,IF(E89="Comparison",3,IF(E89="Informational",2,3))))*LOG10(IF(ISNUMBER(L89),L89,IFERROR(VALUE(LEFT(F89,FIND("-",F89)-1)),100))+1))/IF(IF(ISBLANK(M89),G89,M89)="High",5,IF(IF(ISBLANK(M89),G89,M89)="Medium",3,1)),2)</f>
        <v>9.6</v>
      </c>
      <c r="L89" s="18"/>
      <c r="M89" s="18"/>
      <c r="N89" s="18"/>
      <c r="O89" s="18" t="s">
        <v>123</v>
      </c>
      <c r="P89" s="19"/>
    </row>
    <row r="90" customFormat="false" ht="25.5" hidden="false" customHeight="true" outlineLevel="0" collapsed="false">
      <c r="A90" s="18" t="n">
        <v>521</v>
      </c>
      <c r="B90" s="18" t="n">
        <v>4</v>
      </c>
      <c r="C90" s="18" t="s">
        <v>115</v>
      </c>
      <c r="D90" s="19" t="s">
        <v>1282</v>
      </c>
      <c r="E90" s="18" t="s">
        <v>117</v>
      </c>
      <c r="F90" s="19" t="s">
        <v>989</v>
      </c>
      <c r="G90" s="18" t="s">
        <v>505</v>
      </c>
      <c r="H90" s="18" t="s">
        <v>1103</v>
      </c>
      <c r="I90" s="19" t="s">
        <v>1283</v>
      </c>
      <c r="J90" s="19" t="s">
        <v>1284</v>
      </c>
      <c r="K90" s="20" t="n">
        <f aca="false">ROUND((IF(E90="Transactional",5,IF(E90="Commercial",4,IF(E90="Comparison",3,IF(E90="Informational",2,3))))*LOG10(IF(ISNUMBER(L90),L90,IFERROR(VALUE(LEFT(F90,FIND("-",F90)-1)),100))+1))/IF(IF(ISBLANK(M90),G90,M90)="High",5,IF(IF(ISBLANK(M90),G90,M90)="Medium",3,1)),2)</f>
        <v>9.91</v>
      </c>
      <c r="L90" s="18"/>
      <c r="M90" s="18"/>
      <c r="N90" s="18"/>
      <c r="O90" s="18" t="s">
        <v>123</v>
      </c>
      <c r="P90" s="19" t="s">
        <v>1105</v>
      </c>
    </row>
    <row r="91" customFormat="false" ht="25.5" hidden="false" customHeight="true" outlineLevel="0" collapsed="false">
      <c r="A91" s="18" t="n">
        <v>522</v>
      </c>
      <c r="B91" s="18" t="n">
        <v>4</v>
      </c>
      <c r="C91" s="18" t="s">
        <v>125</v>
      </c>
      <c r="D91" s="21" t="s">
        <v>1285</v>
      </c>
      <c r="E91" s="18" t="s">
        <v>117</v>
      </c>
      <c r="F91" s="19" t="s">
        <v>994</v>
      </c>
      <c r="G91" s="18" t="s">
        <v>505</v>
      </c>
      <c r="H91" s="18" t="s">
        <v>1103</v>
      </c>
      <c r="I91" s="19" t="s">
        <v>1283</v>
      </c>
      <c r="J91" s="21" t="s">
        <v>1286</v>
      </c>
      <c r="K91" s="20" t="n">
        <f aca="false">ROUND((IF(E91="Transactional",5,IF(E91="Commercial",4,IF(E91="Comparison",3,IF(E91="Informational",2,3))))*LOG10(IF(ISNUMBER(L91),L91,IFERROR(VALUE(LEFT(F91,FIND("-",F91)-1)),100))+1))/IF(IF(ISBLANK(M91),G91,M91)="High",5,IF(IF(ISBLANK(M91),G91,M91)="Medium",3,1)),2)</f>
        <v>9.6</v>
      </c>
      <c r="L91" s="18"/>
      <c r="M91" s="18"/>
      <c r="N91" s="18"/>
      <c r="O91" s="18" t="s">
        <v>123</v>
      </c>
      <c r="P91" s="19"/>
    </row>
    <row r="92" customFormat="false" ht="25.5" hidden="false" customHeight="true" outlineLevel="0" collapsed="false">
      <c r="A92" s="18" t="n">
        <v>523</v>
      </c>
      <c r="B92" s="18" t="n">
        <v>4</v>
      </c>
      <c r="C92" s="18" t="s">
        <v>115</v>
      </c>
      <c r="D92" s="19" t="s">
        <v>1287</v>
      </c>
      <c r="E92" s="18" t="s">
        <v>117</v>
      </c>
      <c r="F92" s="19" t="s">
        <v>989</v>
      </c>
      <c r="G92" s="18" t="s">
        <v>505</v>
      </c>
      <c r="H92" s="18" t="s">
        <v>1103</v>
      </c>
      <c r="I92" s="19" t="s">
        <v>385</v>
      </c>
      <c r="J92" s="19" t="s">
        <v>1288</v>
      </c>
      <c r="K92" s="20" t="n">
        <f aca="false">ROUND((IF(E92="Transactional",5,IF(E92="Commercial",4,IF(E92="Comparison",3,IF(E92="Informational",2,3))))*LOG10(IF(ISNUMBER(L92),L92,IFERROR(VALUE(LEFT(F92,FIND("-",F92)-1)),100))+1))/IF(IF(ISBLANK(M92),G92,M92)="High",5,IF(IF(ISBLANK(M92),G92,M92)="Medium",3,1)),2)</f>
        <v>9.91</v>
      </c>
      <c r="L92" s="18"/>
      <c r="M92" s="18"/>
      <c r="N92" s="18"/>
      <c r="O92" s="18" t="s">
        <v>123</v>
      </c>
      <c r="P92" s="19" t="s">
        <v>1105</v>
      </c>
    </row>
    <row r="93" customFormat="false" ht="25.5" hidden="false" customHeight="true" outlineLevel="0" collapsed="false">
      <c r="A93" s="18" t="n">
        <v>524</v>
      </c>
      <c r="B93" s="18" t="n">
        <v>4</v>
      </c>
      <c r="C93" s="18" t="s">
        <v>125</v>
      </c>
      <c r="D93" s="21" t="s">
        <v>1289</v>
      </c>
      <c r="E93" s="18" t="s">
        <v>117</v>
      </c>
      <c r="F93" s="19" t="s">
        <v>994</v>
      </c>
      <c r="G93" s="18" t="s">
        <v>505</v>
      </c>
      <c r="H93" s="18" t="s">
        <v>1103</v>
      </c>
      <c r="I93" s="19" t="s">
        <v>385</v>
      </c>
      <c r="J93" s="21" t="s">
        <v>1290</v>
      </c>
      <c r="K93" s="20" t="n">
        <f aca="false">ROUND((IF(E93="Transactional",5,IF(E93="Commercial",4,IF(E93="Comparison",3,IF(E93="Informational",2,3))))*LOG10(IF(ISNUMBER(L93),L93,IFERROR(VALUE(LEFT(F93,FIND("-",F93)-1)),100))+1))/IF(IF(ISBLANK(M93),G93,M93)="High",5,IF(IF(ISBLANK(M93),G93,M93)="Medium",3,1)),2)</f>
        <v>9.6</v>
      </c>
      <c r="L93" s="18"/>
      <c r="M93" s="18"/>
      <c r="N93" s="18"/>
      <c r="O93" s="18" t="s">
        <v>123</v>
      </c>
      <c r="P93" s="19"/>
    </row>
    <row r="94" customFormat="false" ht="25.5" hidden="false" customHeight="true" outlineLevel="0" collapsed="false">
      <c r="A94" s="18" t="n">
        <v>525</v>
      </c>
      <c r="B94" s="18" t="n">
        <v>4</v>
      </c>
      <c r="C94" s="18" t="s">
        <v>115</v>
      </c>
      <c r="D94" s="19" t="s">
        <v>1291</v>
      </c>
      <c r="E94" s="18" t="s">
        <v>117</v>
      </c>
      <c r="F94" s="19" t="s">
        <v>989</v>
      </c>
      <c r="G94" s="18" t="s">
        <v>505</v>
      </c>
      <c r="H94" s="18" t="s">
        <v>1103</v>
      </c>
      <c r="I94" s="19" t="s">
        <v>379</v>
      </c>
      <c r="J94" s="19" t="s">
        <v>1292</v>
      </c>
      <c r="K94" s="20" t="n">
        <f aca="false">ROUND((IF(E94="Transactional",5,IF(E94="Commercial",4,IF(E94="Comparison",3,IF(E94="Informational",2,3))))*LOG10(IF(ISNUMBER(L94),L94,IFERROR(VALUE(LEFT(F94,FIND("-",F94)-1)),100))+1))/IF(IF(ISBLANK(M94),G94,M94)="High",5,IF(IF(ISBLANK(M94),G94,M94)="Medium",3,1)),2)</f>
        <v>9.91</v>
      </c>
      <c r="L94" s="18"/>
      <c r="M94" s="18"/>
      <c r="N94" s="18"/>
      <c r="O94" s="18" t="s">
        <v>123</v>
      </c>
      <c r="P94" s="19" t="s">
        <v>1105</v>
      </c>
    </row>
    <row r="95" customFormat="false" ht="25.5" hidden="false" customHeight="true" outlineLevel="0" collapsed="false">
      <c r="A95" s="18" t="n">
        <v>526</v>
      </c>
      <c r="B95" s="18" t="n">
        <v>4</v>
      </c>
      <c r="C95" s="18" t="s">
        <v>125</v>
      </c>
      <c r="D95" s="21" t="s">
        <v>1293</v>
      </c>
      <c r="E95" s="18" t="s">
        <v>117</v>
      </c>
      <c r="F95" s="19" t="s">
        <v>994</v>
      </c>
      <c r="G95" s="18" t="s">
        <v>505</v>
      </c>
      <c r="H95" s="18" t="s">
        <v>1103</v>
      </c>
      <c r="I95" s="19" t="s">
        <v>379</v>
      </c>
      <c r="J95" s="21" t="s">
        <v>1294</v>
      </c>
      <c r="K95" s="20" t="n">
        <f aca="false">ROUND((IF(E95="Transactional",5,IF(E95="Commercial",4,IF(E95="Comparison",3,IF(E95="Informational",2,3))))*LOG10(IF(ISNUMBER(L95),L95,IFERROR(VALUE(LEFT(F95,FIND("-",F95)-1)),100))+1))/IF(IF(ISBLANK(M95),G95,M95)="High",5,IF(IF(ISBLANK(M95),G95,M95)="Medium",3,1)),2)</f>
        <v>9.6</v>
      </c>
      <c r="L95" s="18"/>
      <c r="M95" s="18"/>
      <c r="N95" s="18"/>
      <c r="O95" s="18" t="s">
        <v>123</v>
      </c>
      <c r="P95" s="19"/>
    </row>
    <row r="96" customFormat="false" ht="25.5" hidden="false" customHeight="true" outlineLevel="0" collapsed="false">
      <c r="A96" s="18" t="n">
        <v>527</v>
      </c>
      <c r="B96" s="18" t="n">
        <v>4</v>
      </c>
      <c r="C96" s="18" t="s">
        <v>115</v>
      </c>
      <c r="D96" s="19" t="s">
        <v>1295</v>
      </c>
      <c r="E96" s="18" t="s">
        <v>117</v>
      </c>
      <c r="F96" s="19" t="s">
        <v>1000</v>
      </c>
      <c r="G96" s="18" t="s">
        <v>505</v>
      </c>
      <c r="H96" s="18" t="s">
        <v>1103</v>
      </c>
      <c r="I96" s="19" t="s">
        <v>379</v>
      </c>
      <c r="J96" s="19" t="s">
        <v>1296</v>
      </c>
      <c r="K96" s="20" t="n">
        <f aca="false">ROUND((IF(E96="Transactional",5,IF(E96="Commercial",4,IF(E96="Comparison",3,IF(E96="Informational",2,3))))*LOG10(IF(ISNUMBER(L96),L96,IFERROR(VALUE(LEFT(F96,FIND("-",F96)-1)),100))+1))/IF(IF(ISBLANK(M96),G96,M96)="High",5,IF(IF(ISBLANK(M96),G96,M96)="Medium",3,1)),2)</f>
        <v>8.72</v>
      </c>
      <c r="L96" s="18"/>
      <c r="M96" s="18"/>
      <c r="N96" s="18"/>
      <c r="O96" s="18" t="s">
        <v>123</v>
      </c>
      <c r="P96" s="19" t="s">
        <v>1105</v>
      </c>
    </row>
    <row r="97" customFormat="false" ht="25.5" hidden="false" customHeight="true" outlineLevel="0" collapsed="false">
      <c r="A97" s="18" t="n">
        <v>528</v>
      </c>
      <c r="B97" s="18" t="n">
        <v>4</v>
      </c>
      <c r="C97" s="18" t="s">
        <v>125</v>
      </c>
      <c r="D97" s="21" t="s">
        <v>1297</v>
      </c>
      <c r="E97" s="18" t="s">
        <v>117</v>
      </c>
      <c r="F97" s="19" t="s">
        <v>1115</v>
      </c>
      <c r="G97" s="18" t="s">
        <v>505</v>
      </c>
      <c r="H97" s="18" t="s">
        <v>1103</v>
      </c>
      <c r="I97" s="19" t="s">
        <v>379</v>
      </c>
      <c r="J97" s="21" t="s">
        <v>1298</v>
      </c>
      <c r="K97" s="20" t="n">
        <f aca="false">ROUND((IF(E97="Transactional",5,IF(E97="Commercial",4,IF(E97="Comparison",3,IF(E97="Informational",2,3))))*LOG10(IF(ISNUMBER(L97),L97,IFERROR(VALUE(LEFT(F97,FIND("-",F97)-1)),100))+1))/IF(IF(ISBLANK(M97),G97,M97)="High",5,IF(IF(ISBLANK(M97),G97,M97)="Medium",3,1)),2)</f>
        <v>8.47</v>
      </c>
      <c r="L97" s="18"/>
      <c r="M97" s="18"/>
      <c r="N97" s="18"/>
      <c r="O97" s="18" t="s">
        <v>123</v>
      </c>
      <c r="P97" s="19"/>
    </row>
  </sheetData>
  <conditionalFormatting sqref="K2:K97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97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97" type="list">
      <formula1>"EN,AR,FA"</formula1>
      <formula2>0</formula2>
    </dataValidation>
    <dataValidation allowBlank="true" errorStyle="stop" operator="between" showDropDown="false" showErrorMessage="false" showInputMessage="false" sqref="E2:E97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97 M2:M97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22" t="n">
        <v>529</v>
      </c>
      <c r="B2" s="22" t="n">
        <v>5</v>
      </c>
      <c r="C2" s="22" t="s">
        <v>115</v>
      </c>
      <c r="D2" s="23" t="s">
        <v>1299</v>
      </c>
      <c r="E2" s="22" t="s">
        <v>1101</v>
      </c>
      <c r="F2" s="23" t="s">
        <v>1300</v>
      </c>
      <c r="G2" s="22" t="s">
        <v>505</v>
      </c>
      <c r="H2" s="22" t="s">
        <v>1301</v>
      </c>
      <c r="I2" s="23" t="s">
        <v>1302</v>
      </c>
      <c r="J2" s="23" t="s">
        <v>1303</v>
      </c>
      <c r="K2" s="24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13.5</v>
      </c>
      <c r="L2" s="22"/>
      <c r="M2" s="22"/>
      <c r="N2" s="22"/>
      <c r="O2" s="22" t="s">
        <v>123</v>
      </c>
      <c r="P2" s="23" t="s">
        <v>1304</v>
      </c>
    </row>
    <row r="3" customFormat="false" ht="25.5" hidden="false" customHeight="true" outlineLevel="0" collapsed="false">
      <c r="A3" s="22" t="n">
        <v>530</v>
      </c>
      <c r="B3" s="22" t="n">
        <v>5</v>
      </c>
      <c r="C3" s="22" t="s">
        <v>125</v>
      </c>
      <c r="D3" s="25" t="s">
        <v>1305</v>
      </c>
      <c r="E3" s="22" t="s">
        <v>1101</v>
      </c>
      <c r="F3" s="23" t="s">
        <v>1306</v>
      </c>
      <c r="G3" s="22" t="s">
        <v>505</v>
      </c>
      <c r="H3" s="22" t="s">
        <v>1301</v>
      </c>
      <c r="I3" s="23" t="s">
        <v>1302</v>
      </c>
      <c r="J3" s="25" t="s">
        <v>1307</v>
      </c>
      <c r="K3" s="24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13.02</v>
      </c>
      <c r="L3" s="22"/>
      <c r="M3" s="22"/>
      <c r="N3" s="22"/>
      <c r="O3" s="22" t="s">
        <v>123</v>
      </c>
      <c r="P3" s="23"/>
    </row>
    <row r="4" customFormat="false" ht="25.5" hidden="false" customHeight="true" outlineLevel="0" collapsed="false">
      <c r="A4" s="22" t="n">
        <v>531</v>
      </c>
      <c r="B4" s="22" t="n">
        <v>5</v>
      </c>
      <c r="C4" s="22" t="s">
        <v>115</v>
      </c>
      <c r="D4" s="23" t="s">
        <v>1308</v>
      </c>
      <c r="E4" s="22" t="s">
        <v>1101</v>
      </c>
      <c r="F4" s="23" t="s">
        <v>1300</v>
      </c>
      <c r="G4" s="22" t="s">
        <v>505</v>
      </c>
      <c r="H4" s="22" t="s">
        <v>1301</v>
      </c>
      <c r="I4" s="23" t="s">
        <v>1302</v>
      </c>
      <c r="J4" s="23" t="s">
        <v>1309</v>
      </c>
      <c r="K4" s="24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13.5</v>
      </c>
      <c r="L4" s="22"/>
      <c r="M4" s="22"/>
      <c r="N4" s="22"/>
      <c r="O4" s="22" t="s">
        <v>123</v>
      </c>
      <c r="P4" s="23" t="s">
        <v>1304</v>
      </c>
    </row>
    <row r="5" customFormat="false" ht="25.5" hidden="false" customHeight="true" outlineLevel="0" collapsed="false">
      <c r="A5" s="22" t="n">
        <v>532</v>
      </c>
      <c r="B5" s="22" t="n">
        <v>5</v>
      </c>
      <c r="C5" s="22" t="s">
        <v>125</v>
      </c>
      <c r="D5" s="25" t="s">
        <v>1310</v>
      </c>
      <c r="E5" s="22" t="s">
        <v>1101</v>
      </c>
      <c r="F5" s="23" t="s">
        <v>1306</v>
      </c>
      <c r="G5" s="22" t="s">
        <v>505</v>
      </c>
      <c r="H5" s="22" t="s">
        <v>1301</v>
      </c>
      <c r="I5" s="23" t="s">
        <v>1302</v>
      </c>
      <c r="J5" s="25" t="s">
        <v>1311</v>
      </c>
      <c r="K5" s="24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13.02</v>
      </c>
      <c r="L5" s="22"/>
      <c r="M5" s="22"/>
      <c r="N5" s="22"/>
      <c r="O5" s="22" t="s">
        <v>123</v>
      </c>
      <c r="P5" s="23"/>
    </row>
    <row r="6" customFormat="false" ht="25.5" hidden="false" customHeight="true" outlineLevel="0" collapsed="false">
      <c r="A6" s="22" t="n">
        <v>533</v>
      </c>
      <c r="B6" s="22" t="n">
        <v>5</v>
      </c>
      <c r="C6" s="22" t="s">
        <v>115</v>
      </c>
      <c r="D6" s="23" t="s">
        <v>1312</v>
      </c>
      <c r="E6" s="22" t="s">
        <v>1101</v>
      </c>
      <c r="F6" s="23" t="s">
        <v>997</v>
      </c>
      <c r="G6" s="22" t="s">
        <v>505</v>
      </c>
      <c r="H6" s="22" t="s">
        <v>1301</v>
      </c>
      <c r="I6" s="23" t="s">
        <v>1302</v>
      </c>
      <c r="J6" s="23" t="s">
        <v>1313</v>
      </c>
      <c r="K6" s="24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11.52</v>
      </c>
      <c r="L6" s="22"/>
      <c r="M6" s="22"/>
      <c r="N6" s="22"/>
      <c r="O6" s="22" t="s">
        <v>123</v>
      </c>
      <c r="P6" s="23" t="s">
        <v>1304</v>
      </c>
    </row>
    <row r="7" customFormat="false" ht="25.5" hidden="false" customHeight="true" outlineLevel="0" collapsed="false">
      <c r="A7" s="22" t="n">
        <v>534</v>
      </c>
      <c r="B7" s="22" t="n">
        <v>5</v>
      </c>
      <c r="C7" s="22" t="s">
        <v>125</v>
      </c>
      <c r="D7" s="25" t="s">
        <v>1314</v>
      </c>
      <c r="E7" s="22" t="s">
        <v>1101</v>
      </c>
      <c r="F7" s="23" t="s">
        <v>997</v>
      </c>
      <c r="G7" s="22" t="s">
        <v>505</v>
      </c>
      <c r="H7" s="22" t="s">
        <v>1301</v>
      </c>
      <c r="I7" s="23" t="s">
        <v>1302</v>
      </c>
      <c r="J7" s="25" t="s">
        <v>1315</v>
      </c>
      <c r="K7" s="24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11.52</v>
      </c>
      <c r="L7" s="22"/>
      <c r="M7" s="22"/>
      <c r="N7" s="22"/>
      <c r="O7" s="22" t="s">
        <v>123</v>
      </c>
      <c r="P7" s="23"/>
    </row>
    <row r="8" customFormat="false" ht="25.5" hidden="false" customHeight="true" outlineLevel="0" collapsed="false">
      <c r="A8" s="22" t="n">
        <v>535</v>
      </c>
      <c r="B8" s="22" t="n">
        <v>5</v>
      </c>
      <c r="C8" s="22" t="s">
        <v>115</v>
      </c>
      <c r="D8" s="23" t="s">
        <v>1316</v>
      </c>
      <c r="E8" s="22" t="s">
        <v>1101</v>
      </c>
      <c r="F8" s="23" t="s">
        <v>997</v>
      </c>
      <c r="G8" s="22" t="s">
        <v>505</v>
      </c>
      <c r="H8" s="22" t="s">
        <v>1301</v>
      </c>
      <c r="I8" s="23" t="s">
        <v>1302</v>
      </c>
      <c r="J8" s="23" t="s">
        <v>1317</v>
      </c>
      <c r="K8" s="24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11.52</v>
      </c>
      <c r="L8" s="22"/>
      <c r="M8" s="22"/>
      <c r="N8" s="22"/>
      <c r="O8" s="22" t="s">
        <v>123</v>
      </c>
      <c r="P8" s="23" t="s">
        <v>1304</v>
      </c>
    </row>
    <row r="9" customFormat="false" ht="25.5" hidden="false" customHeight="true" outlineLevel="0" collapsed="false">
      <c r="A9" s="22" t="n">
        <v>536</v>
      </c>
      <c r="B9" s="22" t="n">
        <v>5</v>
      </c>
      <c r="C9" s="22" t="s">
        <v>125</v>
      </c>
      <c r="D9" s="25" t="s">
        <v>1318</v>
      </c>
      <c r="E9" s="22" t="s">
        <v>1101</v>
      </c>
      <c r="F9" s="23" t="s">
        <v>997</v>
      </c>
      <c r="G9" s="22" t="s">
        <v>505</v>
      </c>
      <c r="H9" s="22" t="s">
        <v>1301</v>
      </c>
      <c r="I9" s="23" t="s">
        <v>1302</v>
      </c>
      <c r="J9" s="25" t="s">
        <v>1319</v>
      </c>
      <c r="K9" s="24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11.52</v>
      </c>
      <c r="L9" s="22"/>
      <c r="M9" s="22"/>
      <c r="N9" s="22"/>
      <c r="O9" s="22" t="s">
        <v>123</v>
      </c>
      <c r="P9" s="23"/>
    </row>
    <row r="10" customFormat="false" ht="25.5" hidden="false" customHeight="true" outlineLevel="0" collapsed="false">
      <c r="A10" s="22" t="n">
        <v>537</v>
      </c>
      <c r="B10" s="22" t="n">
        <v>5</v>
      </c>
      <c r="C10" s="22" t="s">
        <v>115</v>
      </c>
      <c r="D10" s="23" t="s">
        <v>1320</v>
      </c>
      <c r="E10" s="22" t="s">
        <v>1101</v>
      </c>
      <c r="F10" s="23" t="s">
        <v>997</v>
      </c>
      <c r="G10" s="22" t="s">
        <v>505</v>
      </c>
      <c r="H10" s="22" t="s">
        <v>1301</v>
      </c>
      <c r="I10" s="23" t="s">
        <v>1302</v>
      </c>
      <c r="J10" s="23" t="s">
        <v>1321</v>
      </c>
      <c r="K10" s="24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11.52</v>
      </c>
      <c r="L10" s="22"/>
      <c r="M10" s="22"/>
      <c r="N10" s="22"/>
      <c r="O10" s="22" t="s">
        <v>123</v>
      </c>
      <c r="P10" s="23" t="s">
        <v>1304</v>
      </c>
    </row>
    <row r="11" customFormat="false" ht="25.5" hidden="false" customHeight="true" outlineLevel="0" collapsed="false">
      <c r="A11" s="22" t="n">
        <v>538</v>
      </c>
      <c r="B11" s="22" t="n">
        <v>5</v>
      </c>
      <c r="C11" s="22" t="s">
        <v>125</v>
      </c>
      <c r="D11" s="25" t="s">
        <v>1322</v>
      </c>
      <c r="E11" s="22" t="s">
        <v>1101</v>
      </c>
      <c r="F11" s="23" t="s">
        <v>997</v>
      </c>
      <c r="G11" s="22" t="s">
        <v>505</v>
      </c>
      <c r="H11" s="22" t="s">
        <v>1301</v>
      </c>
      <c r="I11" s="23" t="s">
        <v>1302</v>
      </c>
      <c r="J11" s="25" t="s">
        <v>1323</v>
      </c>
      <c r="K11" s="24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11.52</v>
      </c>
      <c r="L11" s="22"/>
      <c r="M11" s="22"/>
      <c r="N11" s="22"/>
      <c r="O11" s="22" t="s">
        <v>123</v>
      </c>
      <c r="P11" s="23"/>
    </row>
    <row r="12" customFormat="false" ht="25.5" hidden="false" customHeight="true" outlineLevel="0" collapsed="false">
      <c r="A12" s="22" t="n">
        <v>539</v>
      </c>
      <c r="B12" s="22" t="n">
        <v>5</v>
      </c>
      <c r="C12" s="22" t="s">
        <v>115</v>
      </c>
      <c r="D12" s="23" t="s">
        <v>1324</v>
      </c>
      <c r="E12" s="22" t="s">
        <v>1101</v>
      </c>
      <c r="F12" s="23" t="s">
        <v>1300</v>
      </c>
      <c r="G12" s="22" t="s">
        <v>505</v>
      </c>
      <c r="H12" s="22" t="s">
        <v>1301</v>
      </c>
      <c r="I12" s="23" t="s">
        <v>1325</v>
      </c>
      <c r="J12" s="23" t="s">
        <v>1326</v>
      </c>
      <c r="K12" s="24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13.5</v>
      </c>
      <c r="L12" s="22"/>
      <c r="M12" s="22"/>
      <c r="N12" s="22"/>
      <c r="O12" s="22" t="s">
        <v>123</v>
      </c>
      <c r="P12" s="23" t="s">
        <v>1304</v>
      </c>
    </row>
    <row r="13" customFormat="false" ht="25.5" hidden="false" customHeight="true" outlineLevel="0" collapsed="false">
      <c r="A13" s="22" t="n">
        <v>540</v>
      </c>
      <c r="B13" s="22" t="n">
        <v>5</v>
      </c>
      <c r="C13" s="22" t="s">
        <v>125</v>
      </c>
      <c r="D13" s="25" t="s">
        <v>1327</v>
      </c>
      <c r="E13" s="22" t="s">
        <v>1101</v>
      </c>
      <c r="F13" s="23" t="s">
        <v>1306</v>
      </c>
      <c r="G13" s="22" t="s">
        <v>505</v>
      </c>
      <c r="H13" s="22" t="s">
        <v>1301</v>
      </c>
      <c r="I13" s="23" t="s">
        <v>1325</v>
      </c>
      <c r="J13" s="25" t="s">
        <v>1328</v>
      </c>
      <c r="K13" s="24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13.02</v>
      </c>
      <c r="L13" s="22"/>
      <c r="M13" s="22"/>
      <c r="N13" s="22"/>
      <c r="O13" s="22" t="s">
        <v>123</v>
      </c>
      <c r="P13" s="23"/>
    </row>
    <row r="14" customFormat="false" ht="25.5" hidden="false" customHeight="true" outlineLevel="0" collapsed="false">
      <c r="A14" s="22" t="n">
        <v>541</v>
      </c>
      <c r="B14" s="22" t="n">
        <v>5</v>
      </c>
      <c r="C14" s="22" t="s">
        <v>115</v>
      </c>
      <c r="D14" s="23" t="s">
        <v>1329</v>
      </c>
      <c r="E14" s="22" t="s">
        <v>1101</v>
      </c>
      <c r="F14" s="23" t="s">
        <v>1300</v>
      </c>
      <c r="G14" s="22" t="s">
        <v>505</v>
      </c>
      <c r="H14" s="22" t="s">
        <v>1301</v>
      </c>
      <c r="I14" s="23" t="s">
        <v>1325</v>
      </c>
      <c r="J14" s="23" t="s">
        <v>1330</v>
      </c>
      <c r="K14" s="24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13.5</v>
      </c>
      <c r="L14" s="22"/>
      <c r="M14" s="22"/>
      <c r="N14" s="22"/>
      <c r="O14" s="22" t="s">
        <v>123</v>
      </c>
      <c r="P14" s="23" t="s">
        <v>1304</v>
      </c>
    </row>
    <row r="15" customFormat="false" ht="25.5" hidden="false" customHeight="true" outlineLevel="0" collapsed="false">
      <c r="A15" s="22" t="n">
        <v>542</v>
      </c>
      <c r="B15" s="22" t="n">
        <v>5</v>
      </c>
      <c r="C15" s="22" t="s">
        <v>125</v>
      </c>
      <c r="D15" s="25" t="s">
        <v>1331</v>
      </c>
      <c r="E15" s="22" t="s">
        <v>1101</v>
      </c>
      <c r="F15" s="23" t="s">
        <v>1306</v>
      </c>
      <c r="G15" s="22" t="s">
        <v>505</v>
      </c>
      <c r="H15" s="22" t="s">
        <v>1301</v>
      </c>
      <c r="I15" s="23" t="s">
        <v>1325</v>
      </c>
      <c r="J15" s="25" t="s">
        <v>1332</v>
      </c>
      <c r="K15" s="24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13.02</v>
      </c>
      <c r="L15" s="22"/>
      <c r="M15" s="22"/>
      <c r="N15" s="22"/>
      <c r="O15" s="22" t="s">
        <v>123</v>
      </c>
      <c r="P15" s="23"/>
    </row>
    <row r="16" customFormat="false" ht="25.5" hidden="false" customHeight="true" outlineLevel="0" collapsed="false">
      <c r="A16" s="22" t="n">
        <v>543</v>
      </c>
      <c r="B16" s="22" t="n">
        <v>5</v>
      </c>
      <c r="C16" s="22" t="s">
        <v>115</v>
      </c>
      <c r="D16" s="23" t="s">
        <v>1333</v>
      </c>
      <c r="E16" s="22" t="s">
        <v>1101</v>
      </c>
      <c r="F16" s="23" t="s">
        <v>997</v>
      </c>
      <c r="G16" s="22" t="s">
        <v>505</v>
      </c>
      <c r="H16" s="22" t="s">
        <v>1301</v>
      </c>
      <c r="I16" s="23" t="s">
        <v>1325</v>
      </c>
      <c r="J16" s="23" t="s">
        <v>1334</v>
      </c>
      <c r="K16" s="24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11.52</v>
      </c>
      <c r="L16" s="22"/>
      <c r="M16" s="22"/>
      <c r="N16" s="22"/>
      <c r="O16" s="22" t="s">
        <v>123</v>
      </c>
      <c r="P16" s="23" t="s">
        <v>1304</v>
      </c>
    </row>
    <row r="17" customFormat="false" ht="25.5" hidden="false" customHeight="true" outlineLevel="0" collapsed="false">
      <c r="A17" s="22" t="n">
        <v>544</v>
      </c>
      <c r="B17" s="22" t="n">
        <v>5</v>
      </c>
      <c r="C17" s="22" t="s">
        <v>125</v>
      </c>
      <c r="D17" s="25" t="s">
        <v>1335</v>
      </c>
      <c r="E17" s="22" t="s">
        <v>1101</v>
      </c>
      <c r="F17" s="23" t="s">
        <v>997</v>
      </c>
      <c r="G17" s="22" t="s">
        <v>505</v>
      </c>
      <c r="H17" s="22" t="s">
        <v>1301</v>
      </c>
      <c r="I17" s="23" t="s">
        <v>1325</v>
      </c>
      <c r="J17" s="25" t="s">
        <v>1336</v>
      </c>
      <c r="K17" s="24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11.52</v>
      </c>
      <c r="L17" s="22"/>
      <c r="M17" s="22"/>
      <c r="N17" s="22"/>
      <c r="O17" s="22" t="s">
        <v>123</v>
      </c>
      <c r="P17" s="23"/>
    </row>
    <row r="18" customFormat="false" ht="25.5" hidden="false" customHeight="true" outlineLevel="0" collapsed="false">
      <c r="A18" s="22" t="n">
        <v>545</v>
      </c>
      <c r="B18" s="22" t="n">
        <v>5</v>
      </c>
      <c r="C18" s="22" t="s">
        <v>115</v>
      </c>
      <c r="D18" s="23" t="s">
        <v>1337</v>
      </c>
      <c r="E18" s="22" t="s">
        <v>1101</v>
      </c>
      <c r="F18" s="23" t="s">
        <v>997</v>
      </c>
      <c r="G18" s="22" t="s">
        <v>505</v>
      </c>
      <c r="H18" s="22" t="s">
        <v>1301</v>
      </c>
      <c r="I18" s="23" t="s">
        <v>1325</v>
      </c>
      <c r="J18" s="23" t="s">
        <v>1338</v>
      </c>
      <c r="K18" s="24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11.52</v>
      </c>
      <c r="L18" s="22"/>
      <c r="M18" s="22"/>
      <c r="N18" s="22"/>
      <c r="O18" s="22" t="s">
        <v>123</v>
      </c>
      <c r="P18" s="23" t="s">
        <v>1304</v>
      </c>
    </row>
    <row r="19" customFormat="false" ht="25.5" hidden="false" customHeight="true" outlineLevel="0" collapsed="false">
      <c r="A19" s="22" t="n">
        <v>546</v>
      </c>
      <c r="B19" s="22" t="n">
        <v>5</v>
      </c>
      <c r="C19" s="22" t="s">
        <v>125</v>
      </c>
      <c r="D19" s="25" t="s">
        <v>1339</v>
      </c>
      <c r="E19" s="22" t="s">
        <v>1101</v>
      </c>
      <c r="F19" s="23" t="s">
        <v>997</v>
      </c>
      <c r="G19" s="22" t="s">
        <v>505</v>
      </c>
      <c r="H19" s="22" t="s">
        <v>1301</v>
      </c>
      <c r="I19" s="23" t="s">
        <v>1325</v>
      </c>
      <c r="J19" s="25" t="s">
        <v>1340</v>
      </c>
      <c r="K19" s="24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11.52</v>
      </c>
      <c r="L19" s="22"/>
      <c r="M19" s="22"/>
      <c r="N19" s="22"/>
      <c r="O19" s="22" t="s">
        <v>123</v>
      </c>
      <c r="P19" s="23"/>
    </row>
    <row r="20" customFormat="false" ht="25.5" hidden="false" customHeight="true" outlineLevel="0" collapsed="false">
      <c r="A20" s="22" t="n">
        <v>547</v>
      </c>
      <c r="B20" s="22" t="n">
        <v>5</v>
      </c>
      <c r="C20" s="22" t="s">
        <v>115</v>
      </c>
      <c r="D20" s="23" t="s">
        <v>1341</v>
      </c>
      <c r="E20" s="22" t="s">
        <v>1101</v>
      </c>
      <c r="F20" s="23" t="s">
        <v>1300</v>
      </c>
      <c r="G20" s="22" t="s">
        <v>505</v>
      </c>
      <c r="H20" s="22" t="s">
        <v>1301</v>
      </c>
      <c r="I20" s="23" t="s">
        <v>1325</v>
      </c>
      <c r="J20" s="23" t="s">
        <v>1342</v>
      </c>
      <c r="K20" s="24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13.5</v>
      </c>
      <c r="L20" s="22"/>
      <c r="M20" s="22"/>
      <c r="N20" s="22"/>
      <c r="O20" s="22" t="s">
        <v>123</v>
      </c>
      <c r="P20" s="23" t="s">
        <v>1304</v>
      </c>
    </row>
    <row r="21" customFormat="false" ht="25.5" hidden="false" customHeight="true" outlineLevel="0" collapsed="false">
      <c r="A21" s="22" t="n">
        <v>548</v>
      </c>
      <c r="B21" s="22" t="n">
        <v>5</v>
      </c>
      <c r="C21" s="22" t="s">
        <v>125</v>
      </c>
      <c r="D21" s="25" t="s">
        <v>1343</v>
      </c>
      <c r="E21" s="22" t="s">
        <v>1101</v>
      </c>
      <c r="F21" s="23" t="s">
        <v>1306</v>
      </c>
      <c r="G21" s="22" t="s">
        <v>505</v>
      </c>
      <c r="H21" s="22" t="s">
        <v>1301</v>
      </c>
      <c r="I21" s="23" t="s">
        <v>1325</v>
      </c>
      <c r="J21" s="25" t="s">
        <v>1344</v>
      </c>
      <c r="K21" s="24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13.02</v>
      </c>
      <c r="L21" s="22"/>
      <c r="M21" s="22"/>
      <c r="N21" s="22"/>
      <c r="O21" s="22" t="s">
        <v>123</v>
      </c>
      <c r="P21" s="23"/>
    </row>
    <row r="22" customFormat="false" ht="25.5" hidden="false" customHeight="true" outlineLevel="0" collapsed="false">
      <c r="A22" s="22" t="n">
        <v>549</v>
      </c>
      <c r="B22" s="22" t="n">
        <v>5</v>
      </c>
      <c r="C22" s="22" t="s">
        <v>115</v>
      </c>
      <c r="D22" s="23" t="s">
        <v>1345</v>
      </c>
      <c r="E22" s="22" t="s">
        <v>1101</v>
      </c>
      <c r="F22" s="23" t="s">
        <v>997</v>
      </c>
      <c r="G22" s="22" t="s">
        <v>505</v>
      </c>
      <c r="H22" s="22" t="s">
        <v>1301</v>
      </c>
      <c r="I22" s="23" t="s">
        <v>1325</v>
      </c>
      <c r="J22" s="23" t="s">
        <v>1346</v>
      </c>
      <c r="K22" s="24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11.52</v>
      </c>
      <c r="L22" s="22"/>
      <c r="M22" s="22"/>
      <c r="N22" s="22"/>
      <c r="O22" s="22" t="s">
        <v>123</v>
      </c>
      <c r="P22" s="23" t="s">
        <v>1304</v>
      </c>
    </row>
    <row r="23" customFormat="false" ht="25.5" hidden="false" customHeight="true" outlineLevel="0" collapsed="false">
      <c r="A23" s="22" t="n">
        <v>550</v>
      </c>
      <c r="B23" s="22" t="n">
        <v>5</v>
      </c>
      <c r="C23" s="22" t="s">
        <v>125</v>
      </c>
      <c r="D23" s="25" t="s">
        <v>1347</v>
      </c>
      <c r="E23" s="22" t="s">
        <v>1101</v>
      </c>
      <c r="F23" s="23" t="s">
        <v>997</v>
      </c>
      <c r="G23" s="22" t="s">
        <v>505</v>
      </c>
      <c r="H23" s="22" t="s">
        <v>1301</v>
      </c>
      <c r="I23" s="23" t="s">
        <v>1325</v>
      </c>
      <c r="J23" s="25" t="s">
        <v>1348</v>
      </c>
      <c r="K23" s="24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11.52</v>
      </c>
      <c r="L23" s="22"/>
      <c r="M23" s="22"/>
      <c r="N23" s="22"/>
      <c r="O23" s="22" t="s">
        <v>123</v>
      </c>
      <c r="P23" s="23"/>
    </row>
    <row r="24" customFormat="false" ht="25.5" hidden="false" customHeight="true" outlineLevel="0" collapsed="false">
      <c r="A24" s="22" t="n">
        <v>551</v>
      </c>
      <c r="B24" s="22" t="n">
        <v>5</v>
      </c>
      <c r="C24" s="22" t="s">
        <v>115</v>
      </c>
      <c r="D24" s="23" t="s">
        <v>1349</v>
      </c>
      <c r="E24" s="22" t="s">
        <v>1101</v>
      </c>
      <c r="F24" s="23" t="s">
        <v>997</v>
      </c>
      <c r="G24" s="22" t="s">
        <v>505</v>
      </c>
      <c r="H24" s="22" t="s">
        <v>1301</v>
      </c>
      <c r="I24" s="23" t="s">
        <v>1350</v>
      </c>
      <c r="J24" s="23" t="s">
        <v>1351</v>
      </c>
      <c r="K24" s="24" t="n">
        <f aca="false">ROUND((IF(E24="Transactional",5,IF(E24="Commercial",4,IF(E24="Comparison",3,IF(E24="Informational",2,3))))*LOG10(IF(ISNUMBER(L24),L24,IFERROR(VALUE(LEFT(F24,FIND("-",F24)-1)),100))+1))/IF(IF(ISBLANK(M24),G24,M24)="High",5,IF(IF(ISBLANK(M24),G24,M24)="Medium",3,1)),2)</f>
        <v>11.52</v>
      </c>
      <c r="L24" s="22"/>
      <c r="M24" s="22"/>
      <c r="N24" s="22"/>
      <c r="O24" s="22" t="s">
        <v>123</v>
      </c>
      <c r="P24" s="23" t="s">
        <v>1304</v>
      </c>
    </row>
    <row r="25" customFormat="false" ht="25.5" hidden="false" customHeight="true" outlineLevel="0" collapsed="false">
      <c r="A25" s="22" t="n">
        <v>552</v>
      </c>
      <c r="B25" s="22" t="n">
        <v>5</v>
      </c>
      <c r="C25" s="22" t="s">
        <v>125</v>
      </c>
      <c r="D25" s="25" t="s">
        <v>1352</v>
      </c>
      <c r="E25" s="22" t="s">
        <v>1101</v>
      </c>
      <c r="F25" s="23" t="s">
        <v>997</v>
      </c>
      <c r="G25" s="22" t="s">
        <v>505</v>
      </c>
      <c r="H25" s="22" t="s">
        <v>1301</v>
      </c>
      <c r="I25" s="23" t="s">
        <v>1350</v>
      </c>
      <c r="J25" s="25" t="s">
        <v>1353</v>
      </c>
      <c r="K25" s="24" t="n">
        <f aca="false">ROUND((IF(E25="Transactional",5,IF(E25="Commercial",4,IF(E25="Comparison",3,IF(E25="Informational",2,3))))*LOG10(IF(ISNUMBER(L25),L25,IFERROR(VALUE(LEFT(F25,FIND("-",F25)-1)),100))+1))/IF(IF(ISBLANK(M25),G25,M25)="High",5,IF(IF(ISBLANK(M25),G25,M25)="Medium",3,1)),2)</f>
        <v>11.52</v>
      </c>
      <c r="L25" s="22"/>
      <c r="M25" s="22"/>
      <c r="N25" s="22"/>
      <c r="O25" s="22" t="s">
        <v>123</v>
      </c>
      <c r="P25" s="23"/>
    </row>
    <row r="26" customFormat="false" ht="25.5" hidden="false" customHeight="true" outlineLevel="0" collapsed="false">
      <c r="A26" s="22" t="n">
        <v>553</v>
      </c>
      <c r="B26" s="22" t="n">
        <v>5</v>
      </c>
      <c r="C26" s="22" t="s">
        <v>115</v>
      </c>
      <c r="D26" s="23" t="s">
        <v>1354</v>
      </c>
      <c r="E26" s="22" t="s">
        <v>1101</v>
      </c>
      <c r="F26" s="23" t="s">
        <v>997</v>
      </c>
      <c r="G26" s="22" t="s">
        <v>505</v>
      </c>
      <c r="H26" s="22" t="s">
        <v>1301</v>
      </c>
      <c r="I26" s="23" t="s">
        <v>1350</v>
      </c>
      <c r="J26" s="23" t="s">
        <v>1355</v>
      </c>
      <c r="K26" s="24" t="n">
        <f aca="false">ROUND((IF(E26="Transactional",5,IF(E26="Commercial",4,IF(E26="Comparison",3,IF(E26="Informational",2,3))))*LOG10(IF(ISNUMBER(L26),L26,IFERROR(VALUE(LEFT(F26,FIND("-",F26)-1)),100))+1))/IF(IF(ISBLANK(M26),G26,M26)="High",5,IF(IF(ISBLANK(M26),G26,M26)="Medium",3,1)),2)</f>
        <v>11.52</v>
      </c>
      <c r="L26" s="22"/>
      <c r="M26" s="22"/>
      <c r="N26" s="22"/>
      <c r="O26" s="22" t="s">
        <v>123</v>
      </c>
      <c r="P26" s="23" t="s">
        <v>1304</v>
      </c>
    </row>
    <row r="27" customFormat="false" ht="25.5" hidden="false" customHeight="true" outlineLevel="0" collapsed="false">
      <c r="A27" s="22" t="n">
        <v>554</v>
      </c>
      <c r="B27" s="22" t="n">
        <v>5</v>
      </c>
      <c r="C27" s="22" t="s">
        <v>125</v>
      </c>
      <c r="D27" s="25" t="s">
        <v>1356</v>
      </c>
      <c r="E27" s="22" t="s">
        <v>1101</v>
      </c>
      <c r="F27" s="23" t="s">
        <v>997</v>
      </c>
      <c r="G27" s="22" t="s">
        <v>505</v>
      </c>
      <c r="H27" s="22" t="s">
        <v>1301</v>
      </c>
      <c r="I27" s="23" t="s">
        <v>1350</v>
      </c>
      <c r="J27" s="25" t="s">
        <v>1357</v>
      </c>
      <c r="K27" s="24" t="n">
        <f aca="false">ROUND((IF(E27="Transactional",5,IF(E27="Commercial",4,IF(E27="Comparison",3,IF(E27="Informational",2,3))))*LOG10(IF(ISNUMBER(L27),L27,IFERROR(VALUE(LEFT(F27,FIND("-",F27)-1)),100))+1))/IF(IF(ISBLANK(M27),G27,M27)="High",5,IF(IF(ISBLANK(M27),G27,M27)="Medium",3,1)),2)</f>
        <v>11.52</v>
      </c>
      <c r="L27" s="22"/>
      <c r="M27" s="22"/>
      <c r="N27" s="22"/>
      <c r="O27" s="22" t="s">
        <v>123</v>
      </c>
      <c r="P27" s="23"/>
    </row>
    <row r="28" customFormat="false" ht="25.5" hidden="false" customHeight="true" outlineLevel="0" collapsed="false">
      <c r="A28" s="22" t="n">
        <v>555</v>
      </c>
      <c r="B28" s="22" t="n">
        <v>5</v>
      </c>
      <c r="C28" s="22" t="s">
        <v>115</v>
      </c>
      <c r="D28" s="23" t="s">
        <v>1358</v>
      </c>
      <c r="E28" s="22" t="s">
        <v>1101</v>
      </c>
      <c r="F28" s="23" t="s">
        <v>1019</v>
      </c>
      <c r="G28" s="22" t="s">
        <v>505</v>
      </c>
      <c r="H28" s="22" t="s">
        <v>1301</v>
      </c>
      <c r="I28" s="23" t="s">
        <v>1350</v>
      </c>
      <c r="J28" s="23" t="s">
        <v>1359</v>
      </c>
      <c r="K28" s="24" t="n">
        <f aca="false">ROUND((IF(E28="Transactional",5,IF(E28="Commercial",4,IF(E28="Comparison",3,IF(E28="Informational",2,3))))*LOG10(IF(ISNUMBER(L28),L28,IFERROR(VALUE(LEFT(F28,FIND("-",F28)-1)),100))+1))/IF(IF(ISBLANK(M28),G28,M28)="High",5,IF(IF(ISBLANK(M28),G28,M28)="Medium",3,1)),2)</f>
        <v>10.02</v>
      </c>
      <c r="L28" s="22"/>
      <c r="M28" s="22"/>
      <c r="N28" s="22"/>
      <c r="O28" s="22" t="s">
        <v>123</v>
      </c>
      <c r="P28" s="23" t="s">
        <v>1304</v>
      </c>
    </row>
    <row r="29" customFormat="false" ht="25.5" hidden="false" customHeight="true" outlineLevel="0" collapsed="false">
      <c r="A29" s="22" t="n">
        <v>556</v>
      </c>
      <c r="B29" s="22" t="n">
        <v>5</v>
      </c>
      <c r="C29" s="22" t="s">
        <v>125</v>
      </c>
      <c r="D29" s="25" t="s">
        <v>1360</v>
      </c>
      <c r="E29" s="22" t="s">
        <v>1101</v>
      </c>
      <c r="F29" s="23" t="s">
        <v>1019</v>
      </c>
      <c r="G29" s="22" t="s">
        <v>505</v>
      </c>
      <c r="H29" s="22" t="s">
        <v>1301</v>
      </c>
      <c r="I29" s="23" t="s">
        <v>1350</v>
      </c>
      <c r="J29" s="25" t="s">
        <v>1361</v>
      </c>
      <c r="K29" s="24" t="n">
        <f aca="false">ROUND((IF(E29="Transactional",5,IF(E29="Commercial",4,IF(E29="Comparison",3,IF(E29="Informational",2,3))))*LOG10(IF(ISNUMBER(L29),L29,IFERROR(VALUE(LEFT(F29,FIND("-",F29)-1)),100))+1))/IF(IF(ISBLANK(M29),G29,M29)="High",5,IF(IF(ISBLANK(M29),G29,M29)="Medium",3,1)),2)</f>
        <v>10.02</v>
      </c>
      <c r="L29" s="22"/>
      <c r="M29" s="22"/>
      <c r="N29" s="22"/>
      <c r="O29" s="22" t="s">
        <v>123</v>
      </c>
      <c r="P29" s="23"/>
    </row>
    <row r="30" customFormat="false" ht="25.5" hidden="false" customHeight="true" outlineLevel="0" collapsed="false">
      <c r="A30" s="22" t="n">
        <v>557</v>
      </c>
      <c r="B30" s="22" t="n">
        <v>5</v>
      </c>
      <c r="C30" s="22" t="s">
        <v>115</v>
      </c>
      <c r="D30" s="23" t="s">
        <v>1362</v>
      </c>
      <c r="E30" s="22" t="s">
        <v>1101</v>
      </c>
      <c r="F30" s="23" t="s">
        <v>1019</v>
      </c>
      <c r="G30" s="22" t="s">
        <v>505</v>
      </c>
      <c r="H30" s="22" t="s">
        <v>1301</v>
      </c>
      <c r="I30" s="23" t="s">
        <v>1350</v>
      </c>
      <c r="J30" s="23" t="s">
        <v>1363</v>
      </c>
      <c r="K30" s="24" t="n">
        <f aca="false">ROUND((IF(E30="Transactional",5,IF(E30="Commercial",4,IF(E30="Comparison",3,IF(E30="Informational",2,3))))*LOG10(IF(ISNUMBER(L30),L30,IFERROR(VALUE(LEFT(F30,FIND("-",F30)-1)),100))+1))/IF(IF(ISBLANK(M30),G30,M30)="High",5,IF(IF(ISBLANK(M30),G30,M30)="Medium",3,1)),2)</f>
        <v>10.02</v>
      </c>
      <c r="L30" s="22"/>
      <c r="M30" s="22"/>
      <c r="N30" s="22"/>
      <c r="O30" s="22" t="s">
        <v>123</v>
      </c>
      <c r="P30" s="23" t="s">
        <v>1304</v>
      </c>
    </row>
    <row r="31" customFormat="false" ht="25.5" hidden="false" customHeight="true" outlineLevel="0" collapsed="false">
      <c r="A31" s="22" t="n">
        <v>558</v>
      </c>
      <c r="B31" s="22" t="n">
        <v>5</v>
      </c>
      <c r="C31" s="22" t="s">
        <v>125</v>
      </c>
      <c r="D31" s="25" t="s">
        <v>1364</v>
      </c>
      <c r="E31" s="22" t="s">
        <v>1101</v>
      </c>
      <c r="F31" s="23" t="s">
        <v>1019</v>
      </c>
      <c r="G31" s="22" t="s">
        <v>505</v>
      </c>
      <c r="H31" s="22" t="s">
        <v>1301</v>
      </c>
      <c r="I31" s="23" t="s">
        <v>1350</v>
      </c>
      <c r="J31" s="25" t="s">
        <v>1365</v>
      </c>
      <c r="K31" s="24" t="n">
        <f aca="false">ROUND((IF(E31="Transactional",5,IF(E31="Commercial",4,IF(E31="Comparison",3,IF(E31="Informational",2,3))))*LOG10(IF(ISNUMBER(L31),L31,IFERROR(VALUE(LEFT(F31,FIND("-",F31)-1)),100))+1))/IF(IF(ISBLANK(M31),G31,M31)="High",5,IF(IF(ISBLANK(M31),G31,M31)="Medium",3,1)),2)</f>
        <v>10.02</v>
      </c>
      <c r="L31" s="22"/>
      <c r="M31" s="22"/>
      <c r="N31" s="22"/>
      <c r="O31" s="22" t="s">
        <v>123</v>
      </c>
      <c r="P31" s="23"/>
    </row>
    <row r="32" customFormat="false" ht="25.5" hidden="false" customHeight="true" outlineLevel="0" collapsed="false">
      <c r="A32" s="22" t="n">
        <v>559</v>
      </c>
      <c r="B32" s="22" t="n">
        <v>5</v>
      </c>
      <c r="C32" s="22" t="s">
        <v>115</v>
      </c>
      <c r="D32" s="23" t="s">
        <v>1366</v>
      </c>
      <c r="E32" s="22" t="s">
        <v>1101</v>
      </c>
      <c r="F32" s="23" t="s">
        <v>1300</v>
      </c>
      <c r="G32" s="22" t="s">
        <v>505</v>
      </c>
      <c r="H32" s="22" t="s">
        <v>1301</v>
      </c>
      <c r="I32" s="23" t="s">
        <v>1367</v>
      </c>
      <c r="J32" s="23" t="s">
        <v>1368</v>
      </c>
      <c r="K32" s="24" t="n">
        <f aca="false">ROUND((IF(E32="Transactional",5,IF(E32="Commercial",4,IF(E32="Comparison",3,IF(E32="Informational",2,3))))*LOG10(IF(ISNUMBER(L32),L32,IFERROR(VALUE(LEFT(F32,FIND("-",F32)-1)),100))+1))/IF(IF(ISBLANK(M32),G32,M32)="High",5,IF(IF(ISBLANK(M32),G32,M32)="Medium",3,1)),2)</f>
        <v>13.5</v>
      </c>
      <c r="L32" s="22"/>
      <c r="M32" s="22"/>
      <c r="N32" s="22"/>
      <c r="O32" s="22" t="s">
        <v>123</v>
      </c>
      <c r="P32" s="23" t="s">
        <v>1304</v>
      </c>
    </row>
    <row r="33" customFormat="false" ht="25.5" hidden="false" customHeight="true" outlineLevel="0" collapsed="false">
      <c r="A33" s="22" t="n">
        <v>560</v>
      </c>
      <c r="B33" s="22" t="n">
        <v>5</v>
      </c>
      <c r="C33" s="22" t="s">
        <v>125</v>
      </c>
      <c r="D33" s="25" t="s">
        <v>1369</v>
      </c>
      <c r="E33" s="22" t="s">
        <v>1101</v>
      </c>
      <c r="F33" s="23" t="s">
        <v>1306</v>
      </c>
      <c r="G33" s="22" t="s">
        <v>505</v>
      </c>
      <c r="H33" s="22" t="s">
        <v>1301</v>
      </c>
      <c r="I33" s="23" t="s">
        <v>1367</v>
      </c>
      <c r="J33" s="25" t="s">
        <v>1370</v>
      </c>
      <c r="K33" s="24" t="n">
        <f aca="false">ROUND((IF(E33="Transactional",5,IF(E33="Commercial",4,IF(E33="Comparison",3,IF(E33="Informational",2,3))))*LOG10(IF(ISNUMBER(L33),L33,IFERROR(VALUE(LEFT(F33,FIND("-",F33)-1)),100))+1))/IF(IF(ISBLANK(M33),G33,M33)="High",5,IF(IF(ISBLANK(M33),G33,M33)="Medium",3,1)),2)</f>
        <v>13.02</v>
      </c>
      <c r="L33" s="22"/>
      <c r="M33" s="22"/>
      <c r="N33" s="22"/>
      <c r="O33" s="22" t="s">
        <v>123</v>
      </c>
      <c r="P33" s="23"/>
    </row>
    <row r="34" customFormat="false" ht="25.5" hidden="false" customHeight="true" outlineLevel="0" collapsed="false">
      <c r="A34" s="22" t="n">
        <v>561</v>
      </c>
      <c r="B34" s="22" t="n">
        <v>5</v>
      </c>
      <c r="C34" s="22" t="s">
        <v>115</v>
      </c>
      <c r="D34" s="23" t="s">
        <v>1371</v>
      </c>
      <c r="E34" s="22" t="s">
        <v>1101</v>
      </c>
      <c r="F34" s="23" t="s">
        <v>997</v>
      </c>
      <c r="G34" s="22" t="s">
        <v>505</v>
      </c>
      <c r="H34" s="22" t="s">
        <v>1301</v>
      </c>
      <c r="I34" s="23" t="s">
        <v>1367</v>
      </c>
      <c r="J34" s="23" t="s">
        <v>1372</v>
      </c>
      <c r="K34" s="24" t="n">
        <f aca="false">ROUND((IF(E34="Transactional",5,IF(E34="Commercial",4,IF(E34="Comparison",3,IF(E34="Informational",2,3))))*LOG10(IF(ISNUMBER(L34),L34,IFERROR(VALUE(LEFT(F34,FIND("-",F34)-1)),100))+1))/IF(IF(ISBLANK(M34),G34,M34)="High",5,IF(IF(ISBLANK(M34),G34,M34)="Medium",3,1)),2)</f>
        <v>11.52</v>
      </c>
      <c r="L34" s="22"/>
      <c r="M34" s="22"/>
      <c r="N34" s="22"/>
      <c r="O34" s="22" t="s">
        <v>123</v>
      </c>
      <c r="P34" s="23" t="s">
        <v>1304</v>
      </c>
    </row>
    <row r="35" customFormat="false" ht="25.5" hidden="false" customHeight="true" outlineLevel="0" collapsed="false">
      <c r="A35" s="22" t="n">
        <v>562</v>
      </c>
      <c r="B35" s="22" t="n">
        <v>5</v>
      </c>
      <c r="C35" s="22" t="s">
        <v>125</v>
      </c>
      <c r="D35" s="25" t="s">
        <v>1373</v>
      </c>
      <c r="E35" s="22" t="s">
        <v>1101</v>
      </c>
      <c r="F35" s="23" t="s">
        <v>997</v>
      </c>
      <c r="G35" s="22" t="s">
        <v>505</v>
      </c>
      <c r="H35" s="22" t="s">
        <v>1301</v>
      </c>
      <c r="I35" s="23" t="s">
        <v>1367</v>
      </c>
      <c r="J35" s="25" t="s">
        <v>1374</v>
      </c>
      <c r="K35" s="24" t="n">
        <f aca="false">ROUND((IF(E35="Transactional",5,IF(E35="Commercial",4,IF(E35="Comparison",3,IF(E35="Informational",2,3))))*LOG10(IF(ISNUMBER(L35),L35,IFERROR(VALUE(LEFT(F35,FIND("-",F35)-1)),100))+1))/IF(IF(ISBLANK(M35),G35,M35)="High",5,IF(IF(ISBLANK(M35),G35,M35)="Medium",3,1)),2)</f>
        <v>11.52</v>
      </c>
      <c r="L35" s="22"/>
      <c r="M35" s="22"/>
      <c r="N35" s="22"/>
      <c r="O35" s="22" t="s">
        <v>123</v>
      </c>
      <c r="P35" s="23"/>
    </row>
    <row r="36" customFormat="false" ht="25.5" hidden="false" customHeight="true" outlineLevel="0" collapsed="false">
      <c r="A36" s="22" t="n">
        <v>563</v>
      </c>
      <c r="B36" s="22" t="n">
        <v>5</v>
      </c>
      <c r="C36" s="22" t="s">
        <v>115</v>
      </c>
      <c r="D36" s="23" t="s">
        <v>1375</v>
      </c>
      <c r="E36" s="22" t="s">
        <v>1101</v>
      </c>
      <c r="F36" s="23" t="s">
        <v>1300</v>
      </c>
      <c r="G36" s="22" t="s">
        <v>505</v>
      </c>
      <c r="H36" s="22" t="s">
        <v>1301</v>
      </c>
      <c r="I36" s="23" t="s">
        <v>1376</v>
      </c>
      <c r="J36" s="23" t="s">
        <v>1377</v>
      </c>
      <c r="K36" s="24" t="n">
        <f aca="false">ROUND((IF(E36="Transactional",5,IF(E36="Commercial",4,IF(E36="Comparison",3,IF(E36="Informational",2,3))))*LOG10(IF(ISNUMBER(L36),L36,IFERROR(VALUE(LEFT(F36,FIND("-",F36)-1)),100))+1))/IF(IF(ISBLANK(M36),G36,M36)="High",5,IF(IF(ISBLANK(M36),G36,M36)="Medium",3,1)),2)</f>
        <v>13.5</v>
      </c>
      <c r="L36" s="22"/>
      <c r="M36" s="22"/>
      <c r="N36" s="22"/>
      <c r="O36" s="22" t="s">
        <v>123</v>
      </c>
      <c r="P36" s="23" t="s">
        <v>1304</v>
      </c>
    </row>
    <row r="37" customFormat="false" ht="25.5" hidden="false" customHeight="true" outlineLevel="0" collapsed="false">
      <c r="A37" s="22" t="n">
        <v>564</v>
      </c>
      <c r="B37" s="22" t="n">
        <v>5</v>
      </c>
      <c r="C37" s="22" t="s">
        <v>125</v>
      </c>
      <c r="D37" s="25" t="s">
        <v>1378</v>
      </c>
      <c r="E37" s="22" t="s">
        <v>1101</v>
      </c>
      <c r="F37" s="23" t="s">
        <v>1306</v>
      </c>
      <c r="G37" s="22" t="s">
        <v>505</v>
      </c>
      <c r="H37" s="22" t="s">
        <v>1301</v>
      </c>
      <c r="I37" s="23" t="s">
        <v>1376</v>
      </c>
      <c r="J37" s="25" t="s">
        <v>1379</v>
      </c>
      <c r="K37" s="24" t="n">
        <f aca="false">ROUND((IF(E37="Transactional",5,IF(E37="Commercial",4,IF(E37="Comparison",3,IF(E37="Informational",2,3))))*LOG10(IF(ISNUMBER(L37),L37,IFERROR(VALUE(LEFT(F37,FIND("-",F37)-1)),100))+1))/IF(IF(ISBLANK(M37),G37,M37)="High",5,IF(IF(ISBLANK(M37),G37,M37)="Medium",3,1)),2)</f>
        <v>13.02</v>
      </c>
      <c r="L37" s="22"/>
      <c r="M37" s="22"/>
      <c r="N37" s="22"/>
      <c r="O37" s="22" t="s">
        <v>123</v>
      </c>
      <c r="P37" s="23"/>
    </row>
    <row r="38" customFormat="false" ht="25.5" hidden="false" customHeight="true" outlineLevel="0" collapsed="false">
      <c r="A38" s="22" t="n">
        <v>565</v>
      </c>
      <c r="B38" s="22" t="n">
        <v>5</v>
      </c>
      <c r="C38" s="22" t="s">
        <v>115</v>
      </c>
      <c r="D38" s="23" t="s">
        <v>1380</v>
      </c>
      <c r="E38" s="22" t="s">
        <v>1101</v>
      </c>
      <c r="F38" s="23" t="s">
        <v>997</v>
      </c>
      <c r="G38" s="22" t="s">
        <v>505</v>
      </c>
      <c r="H38" s="22" t="s">
        <v>1301</v>
      </c>
      <c r="I38" s="23" t="s">
        <v>1376</v>
      </c>
      <c r="J38" s="23" t="s">
        <v>1381</v>
      </c>
      <c r="K38" s="24" t="n">
        <f aca="false">ROUND((IF(E38="Transactional",5,IF(E38="Commercial",4,IF(E38="Comparison",3,IF(E38="Informational",2,3))))*LOG10(IF(ISNUMBER(L38),L38,IFERROR(VALUE(LEFT(F38,FIND("-",F38)-1)),100))+1))/IF(IF(ISBLANK(M38),G38,M38)="High",5,IF(IF(ISBLANK(M38),G38,M38)="Medium",3,1)),2)</f>
        <v>11.52</v>
      </c>
      <c r="L38" s="22"/>
      <c r="M38" s="22"/>
      <c r="N38" s="22"/>
      <c r="O38" s="22" t="s">
        <v>123</v>
      </c>
      <c r="P38" s="23" t="s">
        <v>1304</v>
      </c>
    </row>
    <row r="39" customFormat="false" ht="25.5" hidden="false" customHeight="true" outlineLevel="0" collapsed="false">
      <c r="A39" s="22" t="n">
        <v>566</v>
      </c>
      <c r="B39" s="22" t="n">
        <v>5</v>
      </c>
      <c r="C39" s="22" t="s">
        <v>125</v>
      </c>
      <c r="D39" s="25" t="s">
        <v>1382</v>
      </c>
      <c r="E39" s="22" t="s">
        <v>1101</v>
      </c>
      <c r="F39" s="23" t="s">
        <v>997</v>
      </c>
      <c r="G39" s="22" t="s">
        <v>505</v>
      </c>
      <c r="H39" s="22" t="s">
        <v>1301</v>
      </c>
      <c r="I39" s="23" t="s">
        <v>1376</v>
      </c>
      <c r="J39" s="25" t="s">
        <v>1383</v>
      </c>
      <c r="K39" s="24" t="n">
        <f aca="false">ROUND((IF(E39="Transactional",5,IF(E39="Commercial",4,IF(E39="Comparison",3,IF(E39="Informational",2,3))))*LOG10(IF(ISNUMBER(L39),L39,IFERROR(VALUE(LEFT(F39,FIND("-",F39)-1)),100))+1))/IF(IF(ISBLANK(M39),G39,M39)="High",5,IF(IF(ISBLANK(M39),G39,M39)="Medium",3,1)),2)</f>
        <v>11.52</v>
      </c>
      <c r="L39" s="22"/>
      <c r="M39" s="22"/>
      <c r="N39" s="22"/>
      <c r="O39" s="22" t="s">
        <v>123</v>
      </c>
      <c r="P39" s="23"/>
    </row>
    <row r="40" customFormat="false" ht="25.5" hidden="false" customHeight="true" outlineLevel="0" collapsed="false">
      <c r="A40" s="22" t="n">
        <v>567</v>
      </c>
      <c r="B40" s="22" t="n">
        <v>5</v>
      </c>
      <c r="C40" s="22" t="s">
        <v>115</v>
      </c>
      <c r="D40" s="23" t="s">
        <v>1384</v>
      </c>
      <c r="E40" s="22" t="s">
        <v>1101</v>
      </c>
      <c r="F40" s="23" t="s">
        <v>997</v>
      </c>
      <c r="G40" s="22" t="s">
        <v>505</v>
      </c>
      <c r="H40" s="22" t="s">
        <v>1301</v>
      </c>
      <c r="I40" s="23" t="s">
        <v>1376</v>
      </c>
      <c r="J40" s="23" t="s">
        <v>1385</v>
      </c>
      <c r="K40" s="24" t="n">
        <f aca="false">ROUND((IF(E40="Transactional",5,IF(E40="Commercial",4,IF(E40="Comparison",3,IF(E40="Informational",2,3))))*LOG10(IF(ISNUMBER(L40),L40,IFERROR(VALUE(LEFT(F40,FIND("-",F40)-1)),100))+1))/IF(IF(ISBLANK(M40),G40,M40)="High",5,IF(IF(ISBLANK(M40),G40,M40)="Medium",3,1)),2)</f>
        <v>11.52</v>
      </c>
      <c r="L40" s="22"/>
      <c r="M40" s="22"/>
      <c r="N40" s="22"/>
      <c r="O40" s="22" t="s">
        <v>123</v>
      </c>
      <c r="P40" s="23" t="s">
        <v>1304</v>
      </c>
    </row>
    <row r="41" customFormat="false" ht="25.5" hidden="false" customHeight="true" outlineLevel="0" collapsed="false">
      <c r="A41" s="22" t="n">
        <v>568</v>
      </c>
      <c r="B41" s="22" t="n">
        <v>5</v>
      </c>
      <c r="C41" s="22" t="s">
        <v>125</v>
      </c>
      <c r="D41" s="25" t="s">
        <v>1386</v>
      </c>
      <c r="E41" s="22" t="s">
        <v>1101</v>
      </c>
      <c r="F41" s="23" t="s">
        <v>997</v>
      </c>
      <c r="G41" s="22" t="s">
        <v>505</v>
      </c>
      <c r="H41" s="22" t="s">
        <v>1301</v>
      </c>
      <c r="I41" s="23" t="s">
        <v>1376</v>
      </c>
      <c r="J41" s="25" t="s">
        <v>1387</v>
      </c>
      <c r="K41" s="24" t="n">
        <f aca="false">ROUND((IF(E41="Transactional",5,IF(E41="Commercial",4,IF(E41="Comparison",3,IF(E41="Informational",2,3))))*LOG10(IF(ISNUMBER(L41),L41,IFERROR(VALUE(LEFT(F41,FIND("-",F41)-1)),100))+1))/IF(IF(ISBLANK(M41),G41,M41)="High",5,IF(IF(ISBLANK(M41),G41,M41)="Medium",3,1)),2)</f>
        <v>11.52</v>
      </c>
      <c r="L41" s="22"/>
      <c r="M41" s="22"/>
      <c r="N41" s="22"/>
      <c r="O41" s="22" t="s">
        <v>123</v>
      </c>
      <c r="P41" s="23"/>
    </row>
    <row r="42" customFormat="false" ht="25.5" hidden="false" customHeight="true" outlineLevel="0" collapsed="false">
      <c r="A42" s="22" t="n">
        <v>569</v>
      </c>
      <c r="B42" s="22" t="n">
        <v>5</v>
      </c>
      <c r="C42" s="22" t="s">
        <v>115</v>
      </c>
      <c r="D42" s="23" t="s">
        <v>1388</v>
      </c>
      <c r="E42" s="22" t="s">
        <v>1101</v>
      </c>
      <c r="F42" s="23" t="s">
        <v>997</v>
      </c>
      <c r="G42" s="22" t="s">
        <v>505</v>
      </c>
      <c r="H42" s="22" t="s">
        <v>1301</v>
      </c>
      <c r="I42" s="23" t="s">
        <v>1376</v>
      </c>
      <c r="J42" s="23" t="s">
        <v>1389</v>
      </c>
      <c r="K42" s="24" t="n">
        <f aca="false">ROUND((IF(E42="Transactional",5,IF(E42="Commercial",4,IF(E42="Comparison",3,IF(E42="Informational",2,3))))*LOG10(IF(ISNUMBER(L42),L42,IFERROR(VALUE(LEFT(F42,FIND("-",F42)-1)),100))+1))/IF(IF(ISBLANK(M42),G42,M42)="High",5,IF(IF(ISBLANK(M42),G42,M42)="Medium",3,1)),2)</f>
        <v>11.52</v>
      </c>
      <c r="L42" s="22"/>
      <c r="M42" s="22"/>
      <c r="N42" s="22"/>
      <c r="O42" s="22" t="s">
        <v>123</v>
      </c>
      <c r="P42" s="23" t="s">
        <v>1304</v>
      </c>
    </row>
    <row r="43" customFormat="false" ht="25.5" hidden="false" customHeight="true" outlineLevel="0" collapsed="false">
      <c r="A43" s="22" t="n">
        <v>570</v>
      </c>
      <c r="B43" s="22" t="n">
        <v>5</v>
      </c>
      <c r="C43" s="22" t="s">
        <v>125</v>
      </c>
      <c r="D43" s="25" t="s">
        <v>1390</v>
      </c>
      <c r="E43" s="22" t="s">
        <v>1101</v>
      </c>
      <c r="F43" s="23" t="s">
        <v>997</v>
      </c>
      <c r="G43" s="22" t="s">
        <v>505</v>
      </c>
      <c r="H43" s="22" t="s">
        <v>1301</v>
      </c>
      <c r="I43" s="23" t="s">
        <v>1376</v>
      </c>
      <c r="J43" s="25" t="s">
        <v>1391</v>
      </c>
      <c r="K43" s="24" t="n">
        <f aca="false">ROUND((IF(E43="Transactional",5,IF(E43="Commercial",4,IF(E43="Comparison",3,IF(E43="Informational",2,3))))*LOG10(IF(ISNUMBER(L43),L43,IFERROR(VALUE(LEFT(F43,FIND("-",F43)-1)),100))+1))/IF(IF(ISBLANK(M43),G43,M43)="High",5,IF(IF(ISBLANK(M43),G43,M43)="Medium",3,1)),2)</f>
        <v>11.52</v>
      </c>
      <c r="L43" s="22"/>
      <c r="M43" s="22"/>
      <c r="N43" s="22"/>
      <c r="O43" s="22" t="s">
        <v>123</v>
      </c>
      <c r="P43" s="23"/>
    </row>
    <row r="44" customFormat="false" ht="25.5" hidden="false" customHeight="true" outlineLevel="0" collapsed="false">
      <c r="A44" s="22" t="n">
        <v>571</v>
      </c>
      <c r="B44" s="22" t="n">
        <v>5</v>
      </c>
      <c r="C44" s="22" t="s">
        <v>115</v>
      </c>
      <c r="D44" s="23" t="s">
        <v>1392</v>
      </c>
      <c r="E44" s="22" t="s">
        <v>1101</v>
      </c>
      <c r="F44" s="23" t="s">
        <v>997</v>
      </c>
      <c r="G44" s="22" t="s">
        <v>505</v>
      </c>
      <c r="H44" s="22" t="s">
        <v>1301</v>
      </c>
      <c r="I44" s="23" t="s">
        <v>1376</v>
      </c>
      <c r="J44" s="23" t="s">
        <v>1393</v>
      </c>
      <c r="K44" s="24" t="n">
        <f aca="false">ROUND((IF(E44="Transactional",5,IF(E44="Commercial",4,IF(E44="Comparison",3,IF(E44="Informational",2,3))))*LOG10(IF(ISNUMBER(L44),L44,IFERROR(VALUE(LEFT(F44,FIND("-",F44)-1)),100))+1))/IF(IF(ISBLANK(M44),G44,M44)="High",5,IF(IF(ISBLANK(M44),G44,M44)="Medium",3,1)),2)</f>
        <v>11.52</v>
      </c>
      <c r="L44" s="22"/>
      <c r="M44" s="22"/>
      <c r="N44" s="22"/>
      <c r="O44" s="22" t="s">
        <v>123</v>
      </c>
      <c r="P44" s="23" t="s">
        <v>1304</v>
      </c>
    </row>
    <row r="45" customFormat="false" ht="25.5" hidden="false" customHeight="true" outlineLevel="0" collapsed="false">
      <c r="A45" s="22" t="n">
        <v>572</v>
      </c>
      <c r="B45" s="22" t="n">
        <v>5</v>
      </c>
      <c r="C45" s="22" t="s">
        <v>125</v>
      </c>
      <c r="D45" s="25" t="s">
        <v>1394</v>
      </c>
      <c r="E45" s="22" t="s">
        <v>1101</v>
      </c>
      <c r="F45" s="23" t="s">
        <v>997</v>
      </c>
      <c r="G45" s="22" t="s">
        <v>505</v>
      </c>
      <c r="H45" s="22" t="s">
        <v>1301</v>
      </c>
      <c r="I45" s="23" t="s">
        <v>1376</v>
      </c>
      <c r="J45" s="25" t="s">
        <v>1395</v>
      </c>
      <c r="K45" s="24" t="n">
        <f aca="false">ROUND((IF(E45="Transactional",5,IF(E45="Commercial",4,IF(E45="Comparison",3,IF(E45="Informational",2,3))))*LOG10(IF(ISNUMBER(L45),L45,IFERROR(VALUE(LEFT(F45,FIND("-",F45)-1)),100))+1))/IF(IF(ISBLANK(M45),G45,M45)="High",5,IF(IF(ISBLANK(M45),G45,M45)="Medium",3,1)),2)</f>
        <v>11.52</v>
      </c>
      <c r="L45" s="22"/>
      <c r="M45" s="22"/>
      <c r="N45" s="22"/>
      <c r="O45" s="22" t="s">
        <v>123</v>
      </c>
      <c r="P45" s="23"/>
    </row>
    <row r="46" customFormat="false" ht="25.5" hidden="false" customHeight="true" outlineLevel="0" collapsed="false">
      <c r="A46" s="22" t="n">
        <v>573</v>
      </c>
      <c r="B46" s="22" t="n">
        <v>5</v>
      </c>
      <c r="C46" s="22" t="s">
        <v>115</v>
      </c>
      <c r="D46" s="23" t="s">
        <v>1396</v>
      </c>
      <c r="E46" s="22" t="s">
        <v>1101</v>
      </c>
      <c r="F46" s="23" t="s">
        <v>997</v>
      </c>
      <c r="G46" s="22" t="s">
        <v>505</v>
      </c>
      <c r="H46" s="22" t="s">
        <v>1301</v>
      </c>
      <c r="I46" s="23" t="s">
        <v>1376</v>
      </c>
      <c r="J46" s="23" t="s">
        <v>1397</v>
      </c>
      <c r="K46" s="24" t="n">
        <f aca="false">ROUND((IF(E46="Transactional",5,IF(E46="Commercial",4,IF(E46="Comparison",3,IF(E46="Informational",2,3))))*LOG10(IF(ISNUMBER(L46),L46,IFERROR(VALUE(LEFT(F46,FIND("-",F46)-1)),100))+1))/IF(IF(ISBLANK(M46),G46,M46)="High",5,IF(IF(ISBLANK(M46),G46,M46)="Medium",3,1)),2)</f>
        <v>11.52</v>
      </c>
      <c r="L46" s="22"/>
      <c r="M46" s="22"/>
      <c r="N46" s="22"/>
      <c r="O46" s="22" t="s">
        <v>123</v>
      </c>
      <c r="P46" s="23" t="s">
        <v>1304</v>
      </c>
    </row>
    <row r="47" customFormat="false" ht="25.5" hidden="false" customHeight="true" outlineLevel="0" collapsed="false">
      <c r="A47" s="22" t="n">
        <v>574</v>
      </c>
      <c r="B47" s="22" t="n">
        <v>5</v>
      </c>
      <c r="C47" s="22" t="s">
        <v>125</v>
      </c>
      <c r="D47" s="25" t="s">
        <v>1398</v>
      </c>
      <c r="E47" s="22" t="s">
        <v>1101</v>
      </c>
      <c r="F47" s="23" t="s">
        <v>997</v>
      </c>
      <c r="G47" s="22" t="s">
        <v>505</v>
      </c>
      <c r="H47" s="22" t="s">
        <v>1301</v>
      </c>
      <c r="I47" s="23" t="s">
        <v>1376</v>
      </c>
      <c r="J47" s="25" t="s">
        <v>1399</v>
      </c>
      <c r="K47" s="24" t="n">
        <f aca="false">ROUND((IF(E47="Transactional",5,IF(E47="Commercial",4,IF(E47="Comparison",3,IF(E47="Informational",2,3))))*LOG10(IF(ISNUMBER(L47),L47,IFERROR(VALUE(LEFT(F47,FIND("-",F47)-1)),100))+1))/IF(IF(ISBLANK(M47),G47,M47)="High",5,IF(IF(ISBLANK(M47),G47,M47)="Medium",3,1)),2)</f>
        <v>11.52</v>
      </c>
      <c r="L47" s="22"/>
      <c r="M47" s="22"/>
      <c r="N47" s="22"/>
      <c r="O47" s="22" t="s">
        <v>123</v>
      </c>
      <c r="P47" s="23"/>
    </row>
    <row r="48" customFormat="false" ht="25.5" hidden="false" customHeight="true" outlineLevel="0" collapsed="false">
      <c r="A48" s="22" t="n">
        <v>575</v>
      </c>
      <c r="B48" s="22" t="n">
        <v>5</v>
      </c>
      <c r="C48" s="22" t="s">
        <v>115</v>
      </c>
      <c r="D48" s="23" t="s">
        <v>1400</v>
      </c>
      <c r="E48" s="22" t="s">
        <v>1101</v>
      </c>
      <c r="F48" s="23" t="s">
        <v>997</v>
      </c>
      <c r="G48" s="22" t="s">
        <v>505</v>
      </c>
      <c r="H48" s="22" t="s">
        <v>1301</v>
      </c>
      <c r="I48" s="23" t="s">
        <v>1376</v>
      </c>
      <c r="J48" s="23" t="s">
        <v>1401</v>
      </c>
      <c r="K48" s="24" t="n">
        <f aca="false">ROUND((IF(E48="Transactional",5,IF(E48="Commercial",4,IF(E48="Comparison",3,IF(E48="Informational",2,3))))*LOG10(IF(ISNUMBER(L48),L48,IFERROR(VALUE(LEFT(F48,FIND("-",F48)-1)),100))+1))/IF(IF(ISBLANK(M48),G48,M48)="High",5,IF(IF(ISBLANK(M48),G48,M48)="Medium",3,1)),2)</f>
        <v>11.52</v>
      </c>
      <c r="L48" s="22"/>
      <c r="M48" s="22"/>
      <c r="N48" s="22"/>
      <c r="O48" s="22" t="s">
        <v>123</v>
      </c>
      <c r="P48" s="23" t="s">
        <v>1304</v>
      </c>
    </row>
    <row r="49" customFormat="false" ht="25.5" hidden="false" customHeight="true" outlineLevel="0" collapsed="false">
      <c r="A49" s="22" t="n">
        <v>576</v>
      </c>
      <c r="B49" s="22" t="n">
        <v>5</v>
      </c>
      <c r="C49" s="22" t="s">
        <v>125</v>
      </c>
      <c r="D49" s="25" t="s">
        <v>1402</v>
      </c>
      <c r="E49" s="22" t="s">
        <v>1101</v>
      </c>
      <c r="F49" s="23" t="s">
        <v>997</v>
      </c>
      <c r="G49" s="22" t="s">
        <v>505</v>
      </c>
      <c r="H49" s="22" t="s">
        <v>1301</v>
      </c>
      <c r="I49" s="23" t="s">
        <v>1376</v>
      </c>
      <c r="J49" s="25" t="s">
        <v>1403</v>
      </c>
      <c r="K49" s="24" t="n">
        <f aca="false">ROUND((IF(E49="Transactional",5,IF(E49="Commercial",4,IF(E49="Comparison",3,IF(E49="Informational",2,3))))*LOG10(IF(ISNUMBER(L49),L49,IFERROR(VALUE(LEFT(F49,FIND("-",F49)-1)),100))+1))/IF(IF(ISBLANK(M49),G49,M49)="High",5,IF(IF(ISBLANK(M49),G49,M49)="Medium",3,1)),2)</f>
        <v>11.52</v>
      </c>
      <c r="L49" s="22"/>
      <c r="M49" s="22"/>
      <c r="N49" s="22"/>
      <c r="O49" s="22" t="s">
        <v>123</v>
      </c>
      <c r="P49" s="23"/>
    </row>
    <row r="50" customFormat="false" ht="25.5" hidden="false" customHeight="true" outlineLevel="0" collapsed="false">
      <c r="A50" s="22" t="n">
        <v>577</v>
      </c>
      <c r="B50" s="22" t="n">
        <v>5</v>
      </c>
      <c r="C50" s="22" t="s">
        <v>115</v>
      </c>
      <c r="D50" s="23" t="s">
        <v>1404</v>
      </c>
      <c r="E50" s="22" t="s">
        <v>1101</v>
      </c>
      <c r="F50" s="23" t="s">
        <v>1300</v>
      </c>
      <c r="G50" s="22" t="s">
        <v>505</v>
      </c>
      <c r="H50" s="22" t="s">
        <v>1301</v>
      </c>
      <c r="I50" s="23" t="s">
        <v>1376</v>
      </c>
      <c r="J50" s="23" t="s">
        <v>1405</v>
      </c>
      <c r="K50" s="24" t="n">
        <f aca="false">ROUND((IF(E50="Transactional",5,IF(E50="Commercial",4,IF(E50="Comparison",3,IF(E50="Informational",2,3))))*LOG10(IF(ISNUMBER(L50),L50,IFERROR(VALUE(LEFT(F50,FIND("-",F50)-1)),100))+1))/IF(IF(ISBLANK(M50),G50,M50)="High",5,IF(IF(ISBLANK(M50),G50,M50)="Medium",3,1)),2)</f>
        <v>13.5</v>
      </c>
      <c r="L50" s="22"/>
      <c r="M50" s="22"/>
      <c r="N50" s="22"/>
      <c r="O50" s="22" t="s">
        <v>123</v>
      </c>
      <c r="P50" s="23" t="s">
        <v>1304</v>
      </c>
    </row>
    <row r="51" customFormat="false" ht="25.5" hidden="false" customHeight="true" outlineLevel="0" collapsed="false">
      <c r="A51" s="22" t="n">
        <v>578</v>
      </c>
      <c r="B51" s="22" t="n">
        <v>5</v>
      </c>
      <c r="C51" s="22" t="s">
        <v>125</v>
      </c>
      <c r="D51" s="25" t="s">
        <v>1406</v>
      </c>
      <c r="E51" s="22" t="s">
        <v>1101</v>
      </c>
      <c r="F51" s="23" t="s">
        <v>1306</v>
      </c>
      <c r="G51" s="22" t="s">
        <v>505</v>
      </c>
      <c r="H51" s="22" t="s">
        <v>1301</v>
      </c>
      <c r="I51" s="23" t="s">
        <v>1376</v>
      </c>
      <c r="J51" s="25" t="s">
        <v>1407</v>
      </c>
      <c r="K51" s="24" t="n">
        <f aca="false">ROUND((IF(E51="Transactional",5,IF(E51="Commercial",4,IF(E51="Comparison",3,IF(E51="Informational",2,3))))*LOG10(IF(ISNUMBER(L51),L51,IFERROR(VALUE(LEFT(F51,FIND("-",F51)-1)),100))+1))/IF(IF(ISBLANK(M51),G51,M51)="High",5,IF(IF(ISBLANK(M51),G51,M51)="Medium",3,1)),2)</f>
        <v>13.02</v>
      </c>
      <c r="L51" s="22"/>
      <c r="M51" s="22"/>
      <c r="N51" s="22"/>
      <c r="O51" s="22" t="s">
        <v>123</v>
      </c>
      <c r="P51" s="23"/>
    </row>
    <row r="52" customFormat="false" ht="25.5" hidden="false" customHeight="true" outlineLevel="0" collapsed="false">
      <c r="A52" s="22" t="n">
        <v>579</v>
      </c>
      <c r="B52" s="22" t="n">
        <v>5</v>
      </c>
      <c r="C52" s="22" t="s">
        <v>115</v>
      </c>
      <c r="D52" s="23" t="s">
        <v>1408</v>
      </c>
      <c r="E52" s="22" t="s">
        <v>1101</v>
      </c>
      <c r="F52" s="23" t="s">
        <v>1300</v>
      </c>
      <c r="G52" s="22" t="s">
        <v>505</v>
      </c>
      <c r="H52" s="22" t="s">
        <v>1301</v>
      </c>
      <c r="I52" s="23" t="s">
        <v>1376</v>
      </c>
      <c r="J52" s="23" t="s">
        <v>1409</v>
      </c>
      <c r="K52" s="24" t="n">
        <f aca="false">ROUND((IF(E52="Transactional",5,IF(E52="Commercial",4,IF(E52="Comparison",3,IF(E52="Informational",2,3))))*LOG10(IF(ISNUMBER(L52),L52,IFERROR(VALUE(LEFT(F52,FIND("-",F52)-1)),100))+1))/IF(IF(ISBLANK(M52),G52,M52)="High",5,IF(IF(ISBLANK(M52),G52,M52)="Medium",3,1)),2)</f>
        <v>13.5</v>
      </c>
      <c r="L52" s="22"/>
      <c r="M52" s="22"/>
      <c r="N52" s="22"/>
      <c r="O52" s="22" t="s">
        <v>123</v>
      </c>
      <c r="P52" s="23" t="s">
        <v>1304</v>
      </c>
    </row>
    <row r="53" customFormat="false" ht="25.5" hidden="false" customHeight="true" outlineLevel="0" collapsed="false">
      <c r="A53" s="22" t="n">
        <v>580</v>
      </c>
      <c r="B53" s="22" t="n">
        <v>5</v>
      </c>
      <c r="C53" s="22" t="s">
        <v>125</v>
      </c>
      <c r="D53" s="25" t="s">
        <v>1410</v>
      </c>
      <c r="E53" s="22" t="s">
        <v>1101</v>
      </c>
      <c r="F53" s="23" t="s">
        <v>1306</v>
      </c>
      <c r="G53" s="22" t="s">
        <v>505</v>
      </c>
      <c r="H53" s="22" t="s">
        <v>1301</v>
      </c>
      <c r="I53" s="23" t="s">
        <v>1376</v>
      </c>
      <c r="J53" s="25" t="s">
        <v>1411</v>
      </c>
      <c r="K53" s="24" t="n">
        <f aca="false">ROUND((IF(E53="Transactional",5,IF(E53="Commercial",4,IF(E53="Comparison",3,IF(E53="Informational",2,3))))*LOG10(IF(ISNUMBER(L53),L53,IFERROR(VALUE(LEFT(F53,FIND("-",F53)-1)),100))+1))/IF(IF(ISBLANK(M53),G53,M53)="High",5,IF(IF(ISBLANK(M53),G53,M53)="Medium",3,1)),2)</f>
        <v>13.02</v>
      </c>
      <c r="L53" s="22"/>
      <c r="M53" s="22"/>
      <c r="N53" s="22"/>
      <c r="O53" s="22" t="s">
        <v>123</v>
      </c>
      <c r="P53" s="23"/>
    </row>
    <row r="54" customFormat="false" ht="25.5" hidden="false" customHeight="true" outlineLevel="0" collapsed="false">
      <c r="A54" s="22" t="n">
        <v>581</v>
      </c>
      <c r="B54" s="22" t="n">
        <v>5</v>
      </c>
      <c r="C54" s="22" t="s">
        <v>115</v>
      </c>
      <c r="D54" s="23" t="s">
        <v>1412</v>
      </c>
      <c r="E54" s="22" t="s">
        <v>1101</v>
      </c>
      <c r="F54" s="23" t="s">
        <v>1019</v>
      </c>
      <c r="G54" s="22" t="s">
        <v>505</v>
      </c>
      <c r="H54" s="22" t="s">
        <v>1301</v>
      </c>
      <c r="I54" s="23" t="s">
        <v>1413</v>
      </c>
      <c r="J54" s="23" t="s">
        <v>1414</v>
      </c>
      <c r="K54" s="24" t="n">
        <f aca="false">ROUND((IF(E54="Transactional",5,IF(E54="Commercial",4,IF(E54="Comparison",3,IF(E54="Informational",2,3))))*LOG10(IF(ISNUMBER(L54),L54,IFERROR(VALUE(LEFT(F54,FIND("-",F54)-1)),100))+1))/IF(IF(ISBLANK(M54),G54,M54)="High",5,IF(IF(ISBLANK(M54),G54,M54)="Medium",3,1)),2)</f>
        <v>10.02</v>
      </c>
      <c r="L54" s="22"/>
      <c r="M54" s="22"/>
      <c r="N54" s="22"/>
      <c r="O54" s="22" t="s">
        <v>123</v>
      </c>
      <c r="P54" s="23" t="s">
        <v>1304</v>
      </c>
    </row>
    <row r="55" customFormat="false" ht="25.5" hidden="false" customHeight="true" outlineLevel="0" collapsed="false">
      <c r="A55" s="22" t="n">
        <v>582</v>
      </c>
      <c r="B55" s="22" t="n">
        <v>5</v>
      </c>
      <c r="C55" s="22" t="s">
        <v>125</v>
      </c>
      <c r="D55" s="25" t="s">
        <v>1415</v>
      </c>
      <c r="E55" s="22" t="s">
        <v>1101</v>
      </c>
      <c r="F55" s="23" t="s">
        <v>1019</v>
      </c>
      <c r="G55" s="22" t="s">
        <v>505</v>
      </c>
      <c r="H55" s="22" t="s">
        <v>1301</v>
      </c>
      <c r="I55" s="23" t="s">
        <v>1413</v>
      </c>
      <c r="J55" s="25" t="s">
        <v>1416</v>
      </c>
      <c r="K55" s="24" t="n">
        <f aca="false">ROUND((IF(E55="Transactional",5,IF(E55="Commercial",4,IF(E55="Comparison",3,IF(E55="Informational",2,3))))*LOG10(IF(ISNUMBER(L55),L55,IFERROR(VALUE(LEFT(F55,FIND("-",F55)-1)),100))+1))/IF(IF(ISBLANK(M55),G55,M55)="High",5,IF(IF(ISBLANK(M55),G55,M55)="Medium",3,1)),2)</f>
        <v>10.02</v>
      </c>
      <c r="L55" s="22"/>
      <c r="M55" s="22"/>
      <c r="N55" s="22"/>
      <c r="O55" s="22" t="s">
        <v>123</v>
      </c>
      <c r="P55" s="23"/>
    </row>
    <row r="56" customFormat="false" ht="25.5" hidden="false" customHeight="true" outlineLevel="0" collapsed="false">
      <c r="A56" s="22" t="n">
        <v>583</v>
      </c>
      <c r="B56" s="22" t="n">
        <v>5</v>
      </c>
      <c r="C56" s="22" t="s">
        <v>115</v>
      </c>
      <c r="D56" s="23" t="s">
        <v>1417</v>
      </c>
      <c r="E56" s="22" t="s">
        <v>1101</v>
      </c>
      <c r="F56" s="23" t="s">
        <v>997</v>
      </c>
      <c r="G56" s="22" t="s">
        <v>505</v>
      </c>
      <c r="H56" s="22" t="s">
        <v>1301</v>
      </c>
      <c r="I56" s="23" t="s">
        <v>1418</v>
      </c>
      <c r="J56" s="23" t="s">
        <v>1419</v>
      </c>
      <c r="K56" s="24" t="n">
        <f aca="false">ROUND((IF(E56="Transactional",5,IF(E56="Commercial",4,IF(E56="Comparison",3,IF(E56="Informational",2,3))))*LOG10(IF(ISNUMBER(L56),L56,IFERROR(VALUE(LEFT(F56,FIND("-",F56)-1)),100))+1))/IF(IF(ISBLANK(M56),G56,M56)="High",5,IF(IF(ISBLANK(M56),G56,M56)="Medium",3,1)),2)</f>
        <v>11.52</v>
      </c>
      <c r="L56" s="22"/>
      <c r="M56" s="22"/>
      <c r="N56" s="22"/>
      <c r="O56" s="22" t="s">
        <v>123</v>
      </c>
      <c r="P56" s="23" t="s">
        <v>1304</v>
      </c>
    </row>
    <row r="57" customFormat="false" ht="25.5" hidden="false" customHeight="true" outlineLevel="0" collapsed="false">
      <c r="A57" s="22" t="n">
        <v>584</v>
      </c>
      <c r="B57" s="22" t="n">
        <v>5</v>
      </c>
      <c r="C57" s="22" t="s">
        <v>125</v>
      </c>
      <c r="D57" s="25" t="s">
        <v>1420</v>
      </c>
      <c r="E57" s="22" t="s">
        <v>1101</v>
      </c>
      <c r="F57" s="23" t="s">
        <v>997</v>
      </c>
      <c r="G57" s="22" t="s">
        <v>505</v>
      </c>
      <c r="H57" s="22" t="s">
        <v>1301</v>
      </c>
      <c r="I57" s="23" t="s">
        <v>1418</v>
      </c>
      <c r="J57" s="25" t="s">
        <v>1421</v>
      </c>
      <c r="K57" s="24" t="n">
        <f aca="false">ROUND((IF(E57="Transactional",5,IF(E57="Commercial",4,IF(E57="Comparison",3,IF(E57="Informational",2,3))))*LOG10(IF(ISNUMBER(L57),L57,IFERROR(VALUE(LEFT(F57,FIND("-",F57)-1)),100))+1))/IF(IF(ISBLANK(M57),G57,M57)="High",5,IF(IF(ISBLANK(M57),G57,M57)="Medium",3,1)),2)</f>
        <v>11.52</v>
      </c>
      <c r="L57" s="22"/>
      <c r="M57" s="22"/>
      <c r="N57" s="22"/>
      <c r="O57" s="22" t="s">
        <v>123</v>
      </c>
      <c r="P57" s="23"/>
    </row>
    <row r="58" customFormat="false" ht="25.5" hidden="false" customHeight="true" outlineLevel="0" collapsed="false">
      <c r="A58" s="22" t="n">
        <v>585</v>
      </c>
      <c r="B58" s="22" t="n">
        <v>5</v>
      </c>
      <c r="C58" s="22" t="s">
        <v>115</v>
      </c>
      <c r="D58" s="23" t="s">
        <v>1422</v>
      </c>
      <c r="E58" s="22" t="s">
        <v>1101</v>
      </c>
      <c r="F58" s="23" t="s">
        <v>997</v>
      </c>
      <c r="G58" s="22" t="s">
        <v>505</v>
      </c>
      <c r="H58" s="22" t="s">
        <v>1301</v>
      </c>
      <c r="I58" s="23" t="s">
        <v>1418</v>
      </c>
      <c r="J58" s="23" t="s">
        <v>1423</v>
      </c>
      <c r="K58" s="24" t="n">
        <f aca="false">ROUND((IF(E58="Transactional",5,IF(E58="Commercial",4,IF(E58="Comparison",3,IF(E58="Informational",2,3))))*LOG10(IF(ISNUMBER(L58),L58,IFERROR(VALUE(LEFT(F58,FIND("-",F58)-1)),100))+1))/IF(IF(ISBLANK(M58),G58,M58)="High",5,IF(IF(ISBLANK(M58),G58,M58)="Medium",3,1)),2)</f>
        <v>11.52</v>
      </c>
      <c r="L58" s="22"/>
      <c r="M58" s="22"/>
      <c r="N58" s="22"/>
      <c r="O58" s="22" t="s">
        <v>123</v>
      </c>
      <c r="P58" s="23" t="s">
        <v>1304</v>
      </c>
    </row>
    <row r="59" customFormat="false" ht="25.5" hidden="false" customHeight="true" outlineLevel="0" collapsed="false">
      <c r="A59" s="22" t="n">
        <v>586</v>
      </c>
      <c r="B59" s="22" t="n">
        <v>5</v>
      </c>
      <c r="C59" s="22" t="s">
        <v>125</v>
      </c>
      <c r="D59" s="25" t="s">
        <v>1424</v>
      </c>
      <c r="E59" s="22" t="s">
        <v>1101</v>
      </c>
      <c r="F59" s="23" t="s">
        <v>997</v>
      </c>
      <c r="G59" s="22" t="s">
        <v>505</v>
      </c>
      <c r="H59" s="22" t="s">
        <v>1301</v>
      </c>
      <c r="I59" s="23" t="s">
        <v>1418</v>
      </c>
      <c r="J59" s="25" t="s">
        <v>1425</v>
      </c>
      <c r="K59" s="24" t="n">
        <f aca="false">ROUND((IF(E59="Transactional",5,IF(E59="Commercial",4,IF(E59="Comparison",3,IF(E59="Informational",2,3))))*LOG10(IF(ISNUMBER(L59),L59,IFERROR(VALUE(LEFT(F59,FIND("-",F59)-1)),100))+1))/IF(IF(ISBLANK(M59),G59,M59)="High",5,IF(IF(ISBLANK(M59),G59,M59)="Medium",3,1)),2)</f>
        <v>11.52</v>
      </c>
      <c r="L59" s="22"/>
      <c r="M59" s="22"/>
      <c r="N59" s="22"/>
      <c r="O59" s="22" t="s">
        <v>123</v>
      </c>
      <c r="P59" s="23"/>
    </row>
    <row r="60" customFormat="false" ht="25.5" hidden="false" customHeight="true" outlineLevel="0" collapsed="false">
      <c r="A60" s="22" t="n">
        <v>587</v>
      </c>
      <c r="B60" s="22" t="n">
        <v>5</v>
      </c>
      <c r="C60" s="22" t="s">
        <v>115</v>
      </c>
      <c r="D60" s="23" t="s">
        <v>1426</v>
      </c>
      <c r="E60" s="22" t="s">
        <v>1101</v>
      </c>
      <c r="F60" s="23" t="s">
        <v>997</v>
      </c>
      <c r="G60" s="22" t="s">
        <v>505</v>
      </c>
      <c r="H60" s="22" t="s">
        <v>1301</v>
      </c>
      <c r="I60" s="23" t="s">
        <v>1427</v>
      </c>
      <c r="J60" s="23" t="s">
        <v>1428</v>
      </c>
      <c r="K60" s="24" t="n">
        <f aca="false">ROUND((IF(E60="Transactional",5,IF(E60="Commercial",4,IF(E60="Comparison",3,IF(E60="Informational",2,3))))*LOG10(IF(ISNUMBER(L60),L60,IFERROR(VALUE(LEFT(F60,FIND("-",F60)-1)),100))+1))/IF(IF(ISBLANK(M60),G60,M60)="High",5,IF(IF(ISBLANK(M60),G60,M60)="Medium",3,1)),2)</f>
        <v>11.52</v>
      </c>
      <c r="L60" s="22"/>
      <c r="M60" s="22"/>
      <c r="N60" s="22"/>
      <c r="O60" s="22" t="s">
        <v>123</v>
      </c>
      <c r="P60" s="23" t="s">
        <v>1304</v>
      </c>
    </row>
    <row r="61" customFormat="false" ht="25.5" hidden="false" customHeight="true" outlineLevel="0" collapsed="false">
      <c r="A61" s="22" t="n">
        <v>588</v>
      </c>
      <c r="B61" s="22" t="n">
        <v>5</v>
      </c>
      <c r="C61" s="22" t="s">
        <v>125</v>
      </c>
      <c r="D61" s="25" t="s">
        <v>1429</v>
      </c>
      <c r="E61" s="22" t="s">
        <v>1101</v>
      </c>
      <c r="F61" s="23" t="s">
        <v>997</v>
      </c>
      <c r="G61" s="22" t="s">
        <v>505</v>
      </c>
      <c r="H61" s="22" t="s">
        <v>1301</v>
      </c>
      <c r="I61" s="23" t="s">
        <v>1427</v>
      </c>
      <c r="J61" s="25" t="s">
        <v>1430</v>
      </c>
      <c r="K61" s="24" t="n">
        <f aca="false">ROUND((IF(E61="Transactional",5,IF(E61="Commercial",4,IF(E61="Comparison",3,IF(E61="Informational",2,3))))*LOG10(IF(ISNUMBER(L61),L61,IFERROR(VALUE(LEFT(F61,FIND("-",F61)-1)),100))+1))/IF(IF(ISBLANK(M61),G61,M61)="High",5,IF(IF(ISBLANK(M61),G61,M61)="Medium",3,1)),2)</f>
        <v>11.52</v>
      </c>
      <c r="L61" s="22"/>
      <c r="M61" s="22"/>
      <c r="N61" s="22"/>
      <c r="O61" s="22" t="s">
        <v>123</v>
      </c>
      <c r="P61" s="23"/>
    </row>
    <row r="62" customFormat="false" ht="25.5" hidden="false" customHeight="true" outlineLevel="0" collapsed="false">
      <c r="A62" s="22" t="n">
        <v>589</v>
      </c>
      <c r="B62" s="22" t="n">
        <v>5</v>
      </c>
      <c r="C62" s="22" t="s">
        <v>115</v>
      </c>
      <c r="D62" s="23" t="s">
        <v>1431</v>
      </c>
      <c r="E62" s="22" t="s">
        <v>1101</v>
      </c>
      <c r="F62" s="23" t="s">
        <v>997</v>
      </c>
      <c r="G62" s="22" t="s">
        <v>505</v>
      </c>
      <c r="H62" s="22" t="s">
        <v>1301</v>
      </c>
      <c r="I62" s="23" t="s">
        <v>1427</v>
      </c>
      <c r="J62" s="23" t="s">
        <v>1432</v>
      </c>
      <c r="K62" s="24" t="n">
        <f aca="false">ROUND((IF(E62="Transactional",5,IF(E62="Commercial",4,IF(E62="Comparison",3,IF(E62="Informational",2,3))))*LOG10(IF(ISNUMBER(L62),L62,IFERROR(VALUE(LEFT(F62,FIND("-",F62)-1)),100))+1))/IF(IF(ISBLANK(M62),G62,M62)="High",5,IF(IF(ISBLANK(M62),G62,M62)="Medium",3,1)),2)</f>
        <v>11.52</v>
      </c>
      <c r="L62" s="22"/>
      <c r="M62" s="22"/>
      <c r="N62" s="22"/>
      <c r="O62" s="22" t="s">
        <v>123</v>
      </c>
      <c r="P62" s="23" t="s">
        <v>1304</v>
      </c>
    </row>
    <row r="63" customFormat="false" ht="25.5" hidden="false" customHeight="true" outlineLevel="0" collapsed="false">
      <c r="A63" s="22" t="n">
        <v>590</v>
      </c>
      <c r="B63" s="22" t="n">
        <v>5</v>
      </c>
      <c r="C63" s="22" t="s">
        <v>125</v>
      </c>
      <c r="D63" s="25" t="s">
        <v>1433</v>
      </c>
      <c r="E63" s="22" t="s">
        <v>1101</v>
      </c>
      <c r="F63" s="23" t="s">
        <v>997</v>
      </c>
      <c r="G63" s="22" t="s">
        <v>505</v>
      </c>
      <c r="H63" s="22" t="s">
        <v>1301</v>
      </c>
      <c r="I63" s="23" t="s">
        <v>1427</v>
      </c>
      <c r="J63" s="25" t="s">
        <v>1434</v>
      </c>
      <c r="K63" s="24" t="n">
        <f aca="false">ROUND((IF(E63="Transactional",5,IF(E63="Commercial",4,IF(E63="Comparison",3,IF(E63="Informational",2,3))))*LOG10(IF(ISNUMBER(L63),L63,IFERROR(VALUE(LEFT(F63,FIND("-",F63)-1)),100))+1))/IF(IF(ISBLANK(M63),G63,M63)="High",5,IF(IF(ISBLANK(M63),G63,M63)="Medium",3,1)),2)</f>
        <v>11.52</v>
      </c>
      <c r="L63" s="22"/>
      <c r="M63" s="22"/>
      <c r="N63" s="22"/>
      <c r="O63" s="22" t="s">
        <v>123</v>
      </c>
      <c r="P63" s="23"/>
    </row>
    <row r="64" customFormat="false" ht="25.5" hidden="false" customHeight="true" outlineLevel="0" collapsed="false">
      <c r="A64" s="22" t="n">
        <v>591</v>
      </c>
      <c r="B64" s="22" t="n">
        <v>5</v>
      </c>
      <c r="C64" s="22" t="s">
        <v>115</v>
      </c>
      <c r="D64" s="23" t="s">
        <v>1435</v>
      </c>
      <c r="E64" s="22" t="s">
        <v>1101</v>
      </c>
      <c r="F64" s="23" t="s">
        <v>997</v>
      </c>
      <c r="G64" s="22" t="s">
        <v>505</v>
      </c>
      <c r="H64" s="22" t="s">
        <v>1301</v>
      </c>
      <c r="I64" s="23" t="s">
        <v>1436</v>
      </c>
      <c r="J64" s="23" t="s">
        <v>1437</v>
      </c>
      <c r="K64" s="24" t="n">
        <f aca="false">ROUND((IF(E64="Transactional",5,IF(E64="Commercial",4,IF(E64="Comparison",3,IF(E64="Informational",2,3))))*LOG10(IF(ISNUMBER(L64),L64,IFERROR(VALUE(LEFT(F64,FIND("-",F64)-1)),100))+1))/IF(IF(ISBLANK(M64),G64,M64)="High",5,IF(IF(ISBLANK(M64),G64,M64)="Medium",3,1)),2)</f>
        <v>11.52</v>
      </c>
      <c r="L64" s="22"/>
      <c r="M64" s="22"/>
      <c r="N64" s="22"/>
      <c r="O64" s="22" t="s">
        <v>123</v>
      </c>
      <c r="P64" s="23" t="s">
        <v>1304</v>
      </c>
    </row>
    <row r="65" customFormat="false" ht="25.5" hidden="false" customHeight="true" outlineLevel="0" collapsed="false">
      <c r="A65" s="22" t="n">
        <v>592</v>
      </c>
      <c r="B65" s="22" t="n">
        <v>5</v>
      </c>
      <c r="C65" s="22" t="s">
        <v>125</v>
      </c>
      <c r="D65" s="25" t="s">
        <v>1438</v>
      </c>
      <c r="E65" s="22" t="s">
        <v>1101</v>
      </c>
      <c r="F65" s="23" t="s">
        <v>997</v>
      </c>
      <c r="G65" s="22" t="s">
        <v>505</v>
      </c>
      <c r="H65" s="22" t="s">
        <v>1301</v>
      </c>
      <c r="I65" s="23" t="s">
        <v>1436</v>
      </c>
      <c r="J65" s="25" t="s">
        <v>1439</v>
      </c>
      <c r="K65" s="24" t="n">
        <f aca="false">ROUND((IF(E65="Transactional",5,IF(E65="Commercial",4,IF(E65="Comparison",3,IF(E65="Informational",2,3))))*LOG10(IF(ISNUMBER(L65),L65,IFERROR(VALUE(LEFT(F65,FIND("-",F65)-1)),100))+1))/IF(IF(ISBLANK(M65),G65,M65)="High",5,IF(IF(ISBLANK(M65),G65,M65)="Medium",3,1)),2)</f>
        <v>11.52</v>
      </c>
      <c r="L65" s="22"/>
      <c r="M65" s="22"/>
      <c r="N65" s="22"/>
      <c r="O65" s="22" t="s">
        <v>123</v>
      </c>
      <c r="P65" s="23"/>
    </row>
    <row r="66" customFormat="false" ht="25.5" hidden="false" customHeight="true" outlineLevel="0" collapsed="false">
      <c r="A66" s="22" t="n">
        <v>593</v>
      </c>
      <c r="B66" s="22" t="n">
        <v>5</v>
      </c>
      <c r="C66" s="22" t="s">
        <v>115</v>
      </c>
      <c r="D66" s="23" t="s">
        <v>1440</v>
      </c>
      <c r="E66" s="22" t="s">
        <v>1101</v>
      </c>
      <c r="F66" s="23" t="s">
        <v>997</v>
      </c>
      <c r="G66" s="22" t="s">
        <v>505</v>
      </c>
      <c r="H66" s="22" t="s">
        <v>1301</v>
      </c>
      <c r="I66" s="23" t="s">
        <v>1436</v>
      </c>
      <c r="J66" s="23" t="s">
        <v>1441</v>
      </c>
      <c r="K66" s="24" t="n">
        <f aca="false">ROUND((IF(E66="Transactional",5,IF(E66="Commercial",4,IF(E66="Comparison",3,IF(E66="Informational",2,3))))*LOG10(IF(ISNUMBER(L66),L66,IFERROR(VALUE(LEFT(F66,FIND("-",F66)-1)),100))+1))/IF(IF(ISBLANK(M66),G66,M66)="High",5,IF(IF(ISBLANK(M66),G66,M66)="Medium",3,1)),2)</f>
        <v>11.52</v>
      </c>
      <c r="L66" s="22"/>
      <c r="M66" s="22"/>
      <c r="N66" s="22"/>
      <c r="O66" s="22" t="s">
        <v>123</v>
      </c>
      <c r="P66" s="23" t="s">
        <v>1304</v>
      </c>
    </row>
    <row r="67" customFormat="false" ht="25.5" hidden="false" customHeight="true" outlineLevel="0" collapsed="false">
      <c r="A67" s="22" t="n">
        <v>594</v>
      </c>
      <c r="B67" s="22" t="n">
        <v>5</v>
      </c>
      <c r="C67" s="22" t="s">
        <v>125</v>
      </c>
      <c r="D67" s="25" t="s">
        <v>1442</v>
      </c>
      <c r="E67" s="22" t="s">
        <v>1101</v>
      </c>
      <c r="F67" s="23" t="s">
        <v>997</v>
      </c>
      <c r="G67" s="22" t="s">
        <v>505</v>
      </c>
      <c r="H67" s="22" t="s">
        <v>1301</v>
      </c>
      <c r="I67" s="23" t="s">
        <v>1436</v>
      </c>
      <c r="J67" s="25" t="s">
        <v>1443</v>
      </c>
      <c r="K67" s="24" t="n">
        <f aca="false">ROUND((IF(E67="Transactional",5,IF(E67="Commercial",4,IF(E67="Comparison",3,IF(E67="Informational",2,3))))*LOG10(IF(ISNUMBER(L67),L67,IFERROR(VALUE(LEFT(F67,FIND("-",F67)-1)),100))+1))/IF(IF(ISBLANK(M67),G67,M67)="High",5,IF(IF(ISBLANK(M67),G67,M67)="Medium",3,1)),2)</f>
        <v>11.52</v>
      </c>
      <c r="L67" s="22"/>
      <c r="M67" s="22"/>
      <c r="N67" s="22"/>
      <c r="O67" s="22" t="s">
        <v>123</v>
      </c>
      <c r="P67" s="23"/>
    </row>
    <row r="68" customFormat="false" ht="25.5" hidden="false" customHeight="true" outlineLevel="0" collapsed="false">
      <c r="A68" s="22" t="n">
        <v>595</v>
      </c>
      <c r="B68" s="22" t="n">
        <v>5</v>
      </c>
      <c r="C68" s="22" t="s">
        <v>115</v>
      </c>
      <c r="D68" s="23" t="s">
        <v>1444</v>
      </c>
      <c r="E68" s="22" t="s">
        <v>1101</v>
      </c>
      <c r="F68" s="23" t="s">
        <v>997</v>
      </c>
      <c r="G68" s="22" t="s">
        <v>505</v>
      </c>
      <c r="H68" s="22" t="s">
        <v>1301</v>
      </c>
      <c r="I68" s="23" t="s">
        <v>1436</v>
      </c>
      <c r="J68" s="23" t="s">
        <v>1445</v>
      </c>
      <c r="K68" s="24" t="n">
        <f aca="false">ROUND((IF(E68="Transactional",5,IF(E68="Commercial",4,IF(E68="Comparison",3,IF(E68="Informational",2,3))))*LOG10(IF(ISNUMBER(L68),L68,IFERROR(VALUE(LEFT(F68,FIND("-",F68)-1)),100))+1))/IF(IF(ISBLANK(M68),G68,M68)="High",5,IF(IF(ISBLANK(M68),G68,M68)="Medium",3,1)),2)</f>
        <v>11.52</v>
      </c>
      <c r="L68" s="22"/>
      <c r="M68" s="22"/>
      <c r="N68" s="22"/>
      <c r="O68" s="22" t="s">
        <v>123</v>
      </c>
      <c r="P68" s="23" t="s">
        <v>1304</v>
      </c>
    </row>
    <row r="69" customFormat="false" ht="25.5" hidden="false" customHeight="true" outlineLevel="0" collapsed="false">
      <c r="A69" s="22" t="n">
        <v>596</v>
      </c>
      <c r="B69" s="22" t="n">
        <v>5</v>
      </c>
      <c r="C69" s="22" t="s">
        <v>125</v>
      </c>
      <c r="D69" s="25" t="s">
        <v>1446</v>
      </c>
      <c r="E69" s="22" t="s">
        <v>1101</v>
      </c>
      <c r="F69" s="23" t="s">
        <v>997</v>
      </c>
      <c r="G69" s="22" t="s">
        <v>505</v>
      </c>
      <c r="H69" s="22" t="s">
        <v>1301</v>
      </c>
      <c r="I69" s="23" t="s">
        <v>1436</v>
      </c>
      <c r="J69" s="25" t="s">
        <v>1447</v>
      </c>
      <c r="K69" s="24" t="n">
        <f aca="false">ROUND((IF(E69="Transactional",5,IF(E69="Commercial",4,IF(E69="Comparison",3,IF(E69="Informational",2,3))))*LOG10(IF(ISNUMBER(L69),L69,IFERROR(VALUE(LEFT(F69,FIND("-",F69)-1)),100))+1))/IF(IF(ISBLANK(M69),G69,M69)="High",5,IF(IF(ISBLANK(M69),G69,M69)="Medium",3,1)),2)</f>
        <v>11.52</v>
      </c>
      <c r="L69" s="22"/>
      <c r="M69" s="22"/>
      <c r="N69" s="22"/>
      <c r="O69" s="22" t="s">
        <v>123</v>
      </c>
      <c r="P69" s="23"/>
    </row>
    <row r="70" customFormat="false" ht="25.5" hidden="false" customHeight="true" outlineLevel="0" collapsed="false">
      <c r="A70" s="22" t="n">
        <v>597</v>
      </c>
      <c r="B70" s="22" t="n">
        <v>5</v>
      </c>
      <c r="C70" s="22" t="s">
        <v>115</v>
      </c>
      <c r="D70" s="23" t="s">
        <v>1448</v>
      </c>
      <c r="E70" s="22" t="s">
        <v>1101</v>
      </c>
      <c r="F70" s="23" t="s">
        <v>997</v>
      </c>
      <c r="G70" s="22" t="s">
        <v>505</v>
      </c>
      <c r="H70" s="22" t="s">
        <v>1301</v>
      </c>
      <c r="I70" s="23" t="s">
        <v>248</v>
      </c>
      <c r="J70" s="23" t="s">
        <v>1449</v>
      </c>
      <c r="K70" s="24" t="n">
        <f aca="false">ROUND((IF(E70="Transactional",5,IF(E70="Commercial",4,IF(E70="Comparison",3,IF(E70="Informational",2,3))))*LOG10(IF(ISNUMBER(L70),L70,IFERROR(VALUE(LEFT(F70,FIND("-",F70)-1)),100))+1))/IF(IF(ISBLANK(M70),G70,M70)="High",5,IF(IF(ISBLANK(M70),G70,M70)="Medium",3,1)),2)</f>
        <v>11.52</v>
      </c>
      <c r="L70" s="22"/>
      <c r="M70" s="22"/>
      <c r="N70" s="22"/>
      <c r="O70" s="22" t="s">
        <v>123</v>
      </c>
      <c r="P70" s="23" t="s">
        <v>1304</v>
      </c>
    </row>
    <row r="71" customFormat="false" ht="25.5" hidden="false" customHeight="true" outlineLevel="0" collapsed="false">
      <c r="A71" s="22" t="n">
        <v>598</v>
      </c>
      <c r="B71" s="22" t="n">
        <v>5</v>
      </c>
      <c r="C71" s="22" t="s">
        <v>125</v>
      </c>
      <c r="D71" s="25" t="s">
        <v>1450</v>
      </c>
      <c r="E71" s="22" t="s">
        <v>1101</v>
      </c>
      <c r="F71" s="23" t="s">
        <v>997</v>
      </c>
      <c r="G71" s="22" t="s">
        <v>505</v>
      </c>
      <c r="H71" s="22" t="s">
        <v>1301</v>
      </c>
      <c r="I71" s="23" t="s">
        <v>248</v>
      </c>
      <c r="J71" s="25" t="s">
        <v>1451</v>
      </c>
      <c r="K71" s="24" t="n">
        <f aca="false">ROUND((IF(E71="Transactional",5,IF(E71="Commercial",4,IF(E71="Comparison",3,IF(E71="Informational",2,3))))*LOG10(IF(ISNUMBER(L71),L71,IFERROR(VALUE(LEFT(F71,FIND("-",F71)-1)),100))+1))/IF(IF(ISBLANK(M71),G71,M71)="High",5,IF(IF(ISBLANK(M71),G71,M71)="Medium",3,1)),2)</f>
        <v>11.52</v>
      </c>
      <c r="L71" s="22"/>
      <c r="M71" s="22"/>
      <c r="N71" s="22"/>
      <c r="O71" s="22" t="s">
        <v>123</v>
      </c>
      <c r="P71" s="23"/>
    </row>
    <row r="72" customFormat="false" ht="25.5" hidden="false" customHeight="true" outlineLevel="0" collapsed="false">
      <c r="A72" s="22" t="n">
        <v>599</v>
      </c>
      <c r="B72" s="22" t="n">
        <v>5</v>
      </c>
      <c r="C72" s="22" t="s">
        <v>115</v>
      </c>
      <c r="D72" s="23" t="s">
        <v>1452</v>
      </c>
      <c r="E72" s="22" t="s">
        <v>1101</v>
      </c>
      <c r="F72" s="23" t="s">
        <v>997</v>
      </c>
      <c r="G72" s="22" t="s">
        <v>505</v>
      </c>
      <c r="H72" s="22" t="s">
        <v>1301</v>
      </c>
      <c r="I72" s="23" t="s">
        <v>248</v>
      </c>
      <c r="J72" s="23" t="s">
        <v>1453</v>
      </c>
      <c r="K72" s="24" t="n">
        <f aca="false">ROUND((IF(E72="Transactional",5,IF(E72="Commercial",4,IF(E72="Comparison",3,IF(E72="Informational",2,3))))*LOG10(IF(ISNUMBER(L72),L72,IFERROR(VALUE(LEFT(F72,FIND("-",F72)-1)),100))+1))/IF(IF(ISBLANK(M72),G72,M72)="High",5,IF(IF(ISBLANK(M72),G72,M72)="Medium",3,1)),2)</f>
        <v>11.52</v>
      </c>
      <c r="L72" s="22"/>
      <c r="M72" s="22"/>
      <c r="N72" s="22"/>
      <c r="O72" s="22" t="s">
        <v>123</v>
      </c>
      <c r="P72" s="23" t="s">
        <v>1304</v>
      </c>
    </row>
    <row r="73" customFormat="false" ht="25.5" hidden="false" customHeight="true" outlineLevel="0" collapsed="false">
      <c r="A73" s="22" t="n">
        <v>600</v>
      </c>
      <c r="B73" s="22" t="n">
        <v>5</v>
      </c>
      <c r="C73" s="22" t="s">
        <v>125</v>
      </c>
      <c r="D73" s="25" t="s">
        <v>1454</v>
      </c>
      <c r="E73" s="22" t="s">
        <v>1101</v>
      </c>
      <c r="F73" s="23" t="s">
        <v>997</v>
      </c>
      <c r="G73" s="22" t="s">
        <v>505</v>
      </c>
      <c r="H73" s="22" t="s">
        <v>1301</v>
      </c>
      <c r="I73" s="23" t="s">
        <v>248</v>
      </c>
      <c r="J73" s="25" t="s">
        <v>1455</v>
      </c>
      <c r="K73" s="24" t="n">
        <f aca="false">ROUND((IF(E73="Transactional",5,IF(E73="Commercial",4,IF(E73="Comparison",3,IF(E73="Informational",2,3))))*LOG10(IF(ISNUMBER(L73),L73,IFERROR(VALUE(LEFT(F73,FIND("-",F73)-1)),100))+1))/IF(IF(ISBLANK(M73),G73,M73)="High",5,IF(IF(ISBLANK(M73),G73,M73)="Medium",3,1)),2)</f>
        <v>11.52</v>
      </c>
      <c r="L73" s="22"/>
      <c r="M73" s="22"/>
      <c r="N73" s="22"/>
      <c r="O73" s="22" t="s">
        <v>123</v>
      </c>
      <c r="P73" s="23"/>
    </row>
    <row r="74" customFormat="false" ht="25.5" hidden="false" customHeight="true" outlineLevel="0" collapsed="false">
      <c r="A74" s="22" t="n">
        <v>601</v>
      </c>
      <c r="B74" s="22" t="n">
        <v>5</v>
      </c>
      <c r="C74" s="22" t="s">
        <v>115</v>
      </c>
      <c r="D74" s="23" t="s">
        <v>1456</v>
      </c>
      <c r="E74" s="22" t="s">
        <v>1101</v>
      </c>
      <c r="F74" s="23" t="s">
        <v>997</v>
      </c>
      <c r="G74" s="22" t="s">
        <v>505</v>
      </c>
      <c r="H74" s="22" t="s">
        <v>1301</v>
      </c>
      <c r="I74" s="23" t="s">
        <v>385</v>
      </c>
      <c r="J74" s="23" t="s">
        <v>1457</v>
      </c>
      <c r="K74" s="24" t="n">
        <f aca="false">ROUND((IF(E74="Transactional",5,IF(E74="Commercial",4,IF(E74="Comparison",3,IF(E74="Informational",2,3))))*LOG10(IF(ISNUMBER(L74),L74,IFERROR(VALUE(LEFT(F74,FIND("-",F74)-1)),100))+1))/IF(IF(ISBLANK(M74),G74,M74)="High",5,IF(IF(ISBLANK(M74),G74,M74)="Medium",3,1)),2)</f>
        <v>11.52</v>
      </c>
      <c r="L74" s="22"/>
      <c r="M74" s="22"/>
      <c r="N74" s="22"/>
      <c r="O74" s="22" t="s">
        <v>123</v>
      </c>
      <c r="P74" s="23" t="s">
        <v>1304</v>
      </c>
    </row>
    <row r="75" customFormat="false" ht="25.5" hidden="false" customHeight="true" outlineLevel="0" collapsed="false">
      <c r="A75" s="22" t="n">
        <v>602</v>
      </c>
      <c r="B75" s="22" t="n">
        <v>5</v>
      </c>
      <c r="C75" s="22" t="s">
        <v>125</v>
      </c>
      <c r="D75" s="25" t="s">
        <v>1458</v>
      </c>
      <c r="E75" s="22" t="s">
        <v>1101</v>
      </c>
      <c r="F75" s="23" t="s">
        <v>997</v>
      </c>
      <c r="G75" s="22" t="s">
        <v>505</v>
      </c>
      <c r="H75" s="22" t="s">
        <v>1301</v>
      </c>
      <c r="I75" s="23" t="s">
        <v>385</v>
      </c>
      <c r="J75" s="25" t="s">
        <v>1459</v>
      </c>
      <c r="K75" s="24" t="n">
        <f aca="false">ROUND((IF(E75="Transactional",5,IF(E75="Commercial",4,IF(E75="Comparison",3,IF(E75="Informational",2,3))))*LOG10(IF(ISNUMBER(L75),L75,IFERROR(VALUE(LEFT(F75,FIND("-",F75)-1)),100))+1))/IF(IF(ISBLANK(M75),G75,M75)="High",5,IF(IF(ISBLANK(M75),G75,M75)="Medium",3,1)),2)</f>
        <v>11.52</v>
      </c>
      <c r="L75" s="22"/>
      <c r="M75" s="22"/>
      <c r="N75" s="22"/>
      <c r="O75" s="22" t="s">
        <v>123</v>
      </c>
      <c r="P75" s="23"/>
    </row>
    <row r="76" customFormat="false" ht="25.5" hidden="false" customHeight="true" outlineLevel="0" collapsed="false">
      <c r="A76" s="22" t="n">
        <v>603</v>
      </c>
      <c r="B76" s="22" t="n">
        <v>5</v>
      </c>
      <c r="C76" s="22" t="s">
        <v>115</v>
      </c>
      <c r="D76" s="23" t="s">
        <v>1460</v>
      </c>
      <c r="E76" s="22" t="s">
        <v>1101</v>
      </c>
      <c r="F76" s="23" t="s">
        <v>1019</v>
      </c>
      <c r="G76" s="22" t="s">
        <v>505</v>
      </c>
      <c r="H76" s="22" t="s">
        <v>1301</v>
      </c>
      <c r="I76" s="23" t="s">
        <v>385</v>
      </c>
      <c r="J76" s="23" t="s">
        <v>1461</v>
      </c>
      <c r="K76" s="24" t="n">
        <f aca="false">ROUND((IF(E76="Transactional",5,IF(E76="Commercial",4,IF(E76="Comparison",3,IF(E76="Informational",2,3))))*LOG10(IF(ISNUMBER(L76),L76,IFERROR(VALUE(LEFT(F76,FIND("-",F76)-1)),100))+1))/IF(IF(ISBLANK(M76),G76,M76)="High",5,IF(IF(ISBLANK(M76),G76,M76)="Medium",3,1)),2)</f>
        <v>10.02</v>
      </c>
      <c r="L76" s="22"/>
      <c r="M76" s="22"/>
      <c r="N76" s="22"/>
      <c r="O76" s="22" t="s">
        <v>123</v>
      </c>
      <c r="P76" s="23" t="s">
        <v>1304</v>
      </c>
    </row>
    <row r="77" customFormat="false" ht="25.5" hidden="false" customHeight="true" outlineLevel="0" collapsed="false">
      <c r="A77" s="22" t="n">
        <v>604</v>
      </c>
      <c r="B77" s="22" t="n">
        <v>5</v>
      </c>
      <c r="C77" s="22" t="s">
        <v>125</v>
      </c>
      <c r="D77" s="25" t="s">
        <v>1462</v>
      </c>
      <c r="E77" s="22" t="s">
        <v>1101</v>
      </c>
      <c r="F77" s="23" t="s">
        <v>1019</v>
      </c>
      <c r="G77" s="22" t="s">
        <v>505</v>
      </c>
      <c r="H77" s="22" t="s">
        <v>1301</v>
      </c>
      <c r="I77" s="23" t="s">
        <v>385</v>
      </c>
      <c r="J77" s="25" t="s">
        <v>1463</v>
      </c>
      <c r="K77" s="24" t="n">
        <f aca="false">ROUND((IF(E77="Transactional",5,IF(E77="Commercial",4,IF(E77="Comparison",3,IF(E77="Informational",2,3))))*LOG10(IF(ISNUMBER(L77),L77,IFERROR(VALUE(LEFT(F77,FIND("-",F77)-1)),100))+1))/IF(IF(ISBLANK(M77),G77,M77)="High",5,IF(IF(ISBLANK(M77),G77,M77)="Medium",3,1)),2)</f>
        <v>10.02</v>
      </c>
      <c r="L77" s="22"/>
      <c r="M77" s="22"/>
      <c r="N77" s="22"/>
      <c r="O77" s="22" t="s">
        <v>123</v>
      </c>
      <c r="P77" s="23"/>
    </row>
    <row r="78" customFormat="false" ht="25.5" hidden="false" customHeight="true" outlineLevel="0" collapsed="false">
      <c r="A78" s="22" t="n">
        <v>605</v>
      </c>
      <c r="B78" s="22" t="n">
        <v>5</v>
      </c>
      <c r="C78" s="22" t="s">
        <v>115</v>
      </c>
      <c r="D78" s="23" t="s">
        <v>1464</v>
      </c>
      <c r="E78" s="22" t="s">
        <v>1101</v>
      </c>
      <c r="F78" s="23" t="s">
        <v>1019</v>
      </c>
      <c r="G78" s="22" t="s">
        <v>505</v>
      </c>
      <c r="H78" s="22" t="s">
        <v>1301</v>
      </c>
      <c r="I78" s="23" t="s">
        <v>385</v>
      </c>
      <c r="J78" s="23" t="s">
        <v>1465</v>
      </c>
      <c r="K78" s="24" t="n">
        <f aca="false">ROUND((IF(E78="Transactional",5,IF(E78="Commercial",4,IF(E78="Comparison",3,IF(E78="Informational",2,3))))*LOG10(IF(ISNUMBER(L78),L78,IFERROR(VALUE(LEFT(F78,FIND("-",F78)-1)),100))+1))/IF(IF(ISBLANK(M78),G78,M78)="High",5,IF(IF(ISBLANK(M78),G78,M78)="Medium",3,1)),2)</f>
        <v>10.02</v>
      </c>
      <c r="L78" s="22"/>
      <c r="M78" s="22"/>
      <c r="N78" s="22"/>
      <c r="O78" s="22" t="s">
        <v>123</v>
      </c>
      <c r="P78" s="23" t="s">
        <v>1304</v>
      </c>
    </row>
    <row r="79" customFormat="false" ht="25.5" hidden="false" customHeight="true" outlineLevel="0" collapsed="false">
      <c r="A79" s="22" t="n">
        <v>606</v>
      </c>
      <c r="B79" s="22" t="n">
        <v>5</v>
      </c>
      <c r="C79" s="22" t="s">
        <v>125</v>
      </c>
      <c r="D79" s="25" t="s">
        <v>1466</v>
      </c>
      <c r="E79" s="22" t="s">
        <v>1101</v>
      </c>
      <c r="F79" s="23" t="s">
        <v>1019</v>
      </c>
      <c r="G79" s="22" t="s">
        <v>505</v>
      </c>
      <c r="H79" s="22" t="s">
        <v>1301</v>
      </c>
      <c r="I79" s="23" t="s">
        <v>385</v>
      </c>
      <c r="J79" s="25" t="s">
        <v>1467</v>
      </c>
      <c r="K79" s="24" t="n">
        <f aca="false">ROUND((IF(E79="Transactional",5,IF(E79="Commercial",4,IF(E79="Comparison",3,IF(E79="Informational",2,3))))*LOG10(IF(ISNUMBER(L79),L79,IFERROR(VALUE(LEFT(F79,FIND("-",F79)-1)),100))+1))/IF(IF(ISBLANK(M79),G79,M79)="High",5,IF(IF(ISBLANK(M79),G79,M79)="Medium",3,1)),2)</f>
        <v>10.02</v>
      </c>
      <c r="L79" s="22"/>
      <c r="M79" s="22"/>
      <c r="N79" s="22"/>
      <c r="O79" s="22" t="s">
        <v>123</v>
      </c>
      <c r="P79" s="23"/>
    </row>
    <row r="80" customFormat="false" ht="25.5" hidden="false" customHeight="true" outlineLevel="0" collapsed="false">
      <c r="A80" s="22" t="n">
        <v>607</v>
      </c>
      <c r="B80" s="22" t="n">
        <v>5</v>
      </c>
      <c r="C80" s="22" t="s">
        <v>115</v>
      </c>
      <c r="D80" s="23" t="s">
        <v>1468</v>
      </c>
      <c r="E80" s="22" t="s">
        <v>1101</v>
      </c>
      <c r="F80" s="23" t="s">
        <v>1300</v>
      </c>
      <c r="G80" s="22" t="s">
        <v>505</v>
      </c>
      <c r="H80" s="22" t="s">
        <v>1301</v>
      </c>
      <c r="I80" s="23" t="s">
        <v>1469</v>
      </c>
      <c r="J80" s="23" t="s">
        <v>1470</v>
      </c>
      <c r="K80" s="24" t="n">
        <f aca="false">ROUND((IF(E80="Transactional",5,IF(E80="Commercial",4,IF(E80="Comparison",3,IF(E80="Informational",2,3))))*LOG10(IF(ISNUMBER(L80),L80,IFERROR(VALUE(LEFT(F80,FIND("-",F80)-1)),100))+1))/IF(IF(ISBLANK(M80),G80,M80)="High",5,IF(IF(ISBLANK(M80),G80,M80)="Medium",3,1)),2)</f>
        <v>13.5</v>
      </c>
      <c r="L80" s="22"/>
      <c r="M80" s="22"/>
      <c r="N80" s="22"/>
      <c r="O80" s="22" t="s">
        <v>123</v>
      </c>
      <c r="P80" s="23" t="s">
        <v>1304</v>
      </c>
    </row>
    <row r="81" customFormat="false" ht="25.5" hidden="false" customHeight="true" outlineLevel="0" collapsed="false">
      <c r="A81" s="22" t="n">
        <v>608</v>
      </c>
      <c r="B81" s="22" t="n">
        <v>5</v>
      </c>
      <c r="C81" s="22" t="s">
        <v>125</v>
      </c>
      <c r="D81" s="25" t="s">
        <v>1471</v>
      </c>
      <c r="E81" s="22" t="s">
        <v>1101</v>
      </c>
      <c r="F81" s="23" t="s">
        <v>1306</v>
      </c>
      <c r="G81" s="22" t="s">
        <v>505</v>
      </c>
      <c r="H81" s="22" t="s">
        <v>1301</v>
      </c>
      <c r="I81" s="23" t="s">
        <v>1469</v>
      </c>
      <c r="J81" s="25" t="s">
        <v>1472</v>
      </c>
      <c r="K81" s="24" t="n">
        <f aca="false">ROUND((IF(E81="Transactional",5,IF(E81="Commercial",4,IF(E81="Comparison",3,IF(E81="Informational",2,3))))*LOG10(IF(ISNUMBER(L81),L81,IFERROR(VALUE(LEFT(F81,FIND("-",F81)-1)),100))+1))/IF(IF(ISBLANK(M81),G81,M81)="High",5,IF(IF(ISBLANK(M81),G81,M81)="Medium",3,1)),2)</f>
        <v>13.02</v>
      </c>
      <c r="L81" s="22"/>
      <c r="M81" s="22"/>
      <c r="N81" s="22"/>
      <c r="O81" s="22" t="s">
        <v>123</v>
      </c>
      <c r="P81" s="23"/>
    </row>
    <row r="82" customFormat="false" ht="25.5" hidden="false" customHeight="true" outlineLevel="0" collapsed="false">
      <c r="A82" s="22" t="n">
        <v>609</v>
      </c>
      <c r="B82" s="22" t="n">
        <v>5</v>
      </c>
      <c r="C82" s="22" t="s">
        <v>115</v>
      </c>
      <c r="D82" s="23" t="s">
        <v>1473</v>
      </c>
      <c r="E82" s="22" t="s">
        <v>1101</v>
      </c>
      <c r="F82" s="23" t="s">
        <v>997</v>
      </c>
      <c r="G82" s="22" t="s">
        <v>505</v>
      </c>
      <c r="H82" s="22" t="s">
        <v>1301</v>
      </c>
      <c r="I82" s="23" t="s">
        <v>1469</v>
      </c>
      <c r="J82" s="23" t="s">
        <v>1474</v>
      </c>
      <c r="K82" s="24" t="n">
        <f aca="false">ROUND((IF(E82="Transactional",5,IF(E82="Commercial",4,IF(E82="Comparison",3,IF(E82="Informational",2,3))))*LOG10(IF(ISNUMBER(L82),L82,IFERROR(VALUE(LEFT(F82,FIND("-",F82)-1)),100))+1))/IF(IF(ISBLANK(M82),G82,M82)="High",5,IF(IF(ISBLANK(M82),G82,M82)="Medium",3,1)),2)</f>
        <v>11.52</v>
      </c>
      <c r="L82" s="22"/>
      <c r="M82" s="22"/>
      <c r="N82" s="22"/>
      <c r="O82" s="22" t="s">
        <v>123</v>
      </c>
      <c r="P82" s="23" t="s">
        <v>1304</v>
      </c>
    </row>
    <row r="83" customFormat="false" ht="25.5" hidden="false" customHeight="true" outlineLevel="0" collapsed="false">
      <c r="A83" s="22" t="n">
        <v>610</v>
      </c>
      <c r="B83" s="22" t="n">
        <v>5</v>
      </c>
      <c r="C83" s="22" t="s">
        <v>125</v>
      </c>
      <c r="D83" s="25" t="s">
        <v>1475</v>
      </c>
      <c r="E83" s="22" t="s">
        <v>1101</v>
      </c>
      <c r="F83" s="23" t="s">
        <v>997</v>
      </c>
      <c r="G83" s="22" t="s">
        <v>505</v>
      </c>
      <c r="H83" s="22" t="s">
        <v>1301</v>
      </c>
      <c r="I83" s="23" t="s">
        <v>1469</v>
      </c>
      <c r="J83" s="25" t="s">
        <v>1476</v>
      </c>
      <c r="K83" s="24" t="n">
        <f aca="false">ROUND((IF(E83="Transactional",5,IF(E83="Commercial",4,IF(E83="Comparison",3,IF(E83="Informational",2,3))))*LOG10(IF(ISNUMBER(L83),L83,IFERROR(VALUE(LEFT(F83,FIND("-",F83)-1)),100))+1))/IF(IF(ISBLANK(M83),G83,M83)="High",5,IF(IF(ISBLANK(M83),G83,M83)="Medium",3,1)),2)</f>
        <v>11.52</v>
      </c>
      <c r="L83" s="22"/>
      <c r="M83" s="22"/>
      <c r="N83" s="22"/>
      <c r="O83" s="22" t="s">
        <v>123</v>
      </c>
      <c r="P83" s="23"/>
    </row>
    <row r="84" customFormat="false" ht="25.5" hidden="false" customHeight="true" outlineLevel="0" collapsed="false">
      <c r="A84" s="22" t="n">
        <v>611</v>
      </c>
      <c r="B84" s="22" t="n">
        <v>5</v>
      </c>
      <c r="C84" s="22" t="s">
        <v>115</v>
      </c>
      <c r="D84" s="23" t="s">
        <v>1477</v>
      </c>
      <c r="E84" s="22" t="s">
        <v>1101</v>
      </c>
      <c r="F84" s="23" t="s">
        <v>997</v>
      </c>
      <c r="G84" s="22" t="s">
        <v>505</v>
      </c>
      <c r="H84" s="22" t="s">
        <v>1301</v>
      </c>
      <c r="I84" s="23" t="s">
        <v>1469</v>
      </c>
      <c r="J84" s="23" t="s">
        <v>1478</v>
      </c>
      <c r="K84" s="24" t="n">
        <f aca="false">ROUND((IF(E84="Transactional",5,IF(E84="Commercial",4,IF(E84="Comparison",3,IF(E84="Informational",2,3))))*LOG10(IF(ISNUMBER(L84),L84,IFERROR(VALUE(LEFT(F84,FIND("-",F84)-1)),100))+1))/IF(IF(ISBLANK(M84),G84,M84)="High",5,IF(IF(ISBLANK(M84),G84,M84)="Medium",3,1)),2)</f>
        <v>11.52</v>
      </c>
      <c r="L84" s="22"/>
      <c r="M84" s="22"/>
      <c r="N84" s="22"/>
      <c r="O84" s="22" t="s">
        <v>123</v>
      </c>
      <c r="P84" s="23" t="s">
        <v>1304</v>
      </c>
    </row>
    <row r="85" customFormat="false" ht="25.5" hidden="false" customHeight="true" outlineLevel="0" collapsed="false">
      <c r="A85" s="22" t="n">
        <v>612</v>
      </c>
      <c r="B85" s="22" t="n">
        <v>5</v>
      </c>
      <c r="C85" s="22" t="s">
        <v>125</v>
      </c>
      <c r="D85" s="25" t="s">
        <v>1479</v>
      </c>
      <c r="E85" s="22" t="s">
        <v>1101</v>
      </c>
      <c r="F85" s="23" t="s">
        <v>997</v>
      </c>
      <c r="G85" s="22" t="s">
        <v>505</v>
      </c>
      <c r="H85" s="22" t="s">
        <v>1301</v>
      </c>
      <c r="I85" s="23" t="s">
        <v>1469</v>
      </c>
      <c r="J85" s="25" t="s">
        <v>1480</v>
      </c>
      <c r="K85" s="24" t="n">
        <f aca="false">ROUND((IF(E85="Transactional",5,IF(E85="Commercial",4,IF(E85="Comparison",3,IF(E85="Informational",2,3))))*LOG10(IF(ISNUMBER(L85),L85,IFERROR(VALUE(LEFT(F85,FIND("-",F85)-1)),100))+1))/IF(IF(ISBLANK(M85),G85,M85)="High",5,IF(IF(ISBLANK(M85),G85,M85)="Medium",3,1)),2)</f>
        <v>11.52</v>
      </c>
      <c r="L85" s="22"/>
      <c r="M85" s="22"/>
      <c r="N85" s="22"/>
      <c r="O85" s="22" t="s">
        <v>123</v>
      </c>
      <c r="P85" s="23"/>
    </row>
  </sheetData>
  <conditionalFormatting sqref="K2:K85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85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85" type="list">
      <formula1>"EN,AR,FA"</formula1>
      <formula2>0</formula2>
    </dataValidation>
    <dataValidation allowBlank="true" errorStyle="stop" operator="between" showDropDown="false" showErrorMessage="false" showInputMessage="false" sqref="E2:E85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85 M2:M85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26" t="n">
        <v>613</v>
      </c>
      <c r="B2" s="26" t="n">
        <v>6</v>
      </c>
      <c r="C2" s="26" t="s">
        <v>115</v>
      </c>
      <c r="D2" s="27" t="s">
        <v>1481</v>
      </c>
      <c r="E2" s="26" t="s">
        <v>1101</v>
      </c>
      <c r="F2" s="27" t="s">
        <v>1482</v>
      </c>
      <c r="G2" s="26" t="s">
        <v>505</v>
      </c>
      <c r="H2" s="26" t="s">
        <v>1483</v>
      </c>
      <c r="I2" s="27" t="s">
        <v>461</v>
      </c>
      <c r="J2" s="27" t="s">
        <v>1484</v>
      </c>
      <c r="K2" s="28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11.52</v>
      </c>
      <c r="L2" s="26"/>
      <c r="M2" s="26"/>
      <c r="N2" s="26"/>
      <c r="O2" s="26" t="s">
        <v>123</v>
      </c>
      <c r="P2" s="27"/>
    </row>
    <row r="3" customFormat="false" ht="25.5" hidden="false" customHeight="true" outlineLevel="0" collapsed="false">
      <c r="A3" s="26" t="n">
        <v>614</v>
      </c>
      <c r="B3" s="26" t="n">
        <v>6</v>
      </c>
      <c r="C3" s="26" t="s">
        <v>125</v>
      </c>
      <c r="D3" s="29" t="s">
        <v>1485</v>
      </c>
      <c r="E3" s="26" t="s">
        <v>1101</v>
      </c>
      <c r="F3" s="27" t="s">
        <v>1486</v>
      </c>
      <c r="G3" s="26" t="s">
        <v>505</v>
      </c>
      <c r="H3" s="26" t="s">
        <v>1483</v>
      </c>
      <c r="I3" s="27" t="s">
        <v>461</v>
      </c>
      <c r="J3" s="29" t="s">
        <v>1487</v>
      </c>
      <c r="K3" s="28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11.29</v>
      </c>
      <c r="L3" s="26"/>
      <c r="M3" s="26"/>
      <c r="N3" s="26"/>
      <c r="O3" s="26" t="s">
        <v>123</v>
      </c>
      <c r="P3" s="27"/>
    </row>
    <row r="4" customFormat="false" ht="25.5" hidden="false" customHeight="true" outlineLevel="0" collapsed="false">
      <c r="A4" s="26" t="n">
        <v>615</v>
      </c>
      <c r="B4" s="26" t="n">
        <v>6</v>
      </c>
      <c r="C4" s="26" t="s">
        <v>115</v>
      </c>
      <c r="D4" s="27" t="s">
        <v>1488</v>
      </c>
      <c r="E4" s="26" t="s">
        <v>1101</v>
      </c>
      <c r="F4" s="27" t="s">
        <v>1482</v>
      </c>
      <c r="G4" s="26" t="s">
        <v>505</v>
      </c>
      <c r="H4" s="26" t="s">
        <v>1483</v>
      </c>
      <c r="I4" s="27" t="s">
        <v>461</v>
      </c>
      <c r="J4" s="27" t="s">
        <v>1489</v>
      </c>
      <c r="K4" s="28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11.52</v>
      </c>
      <c r="L4" s="26"/>
      <c r="M4" s="26"/>
      <c r="N4" s="26"/>
      <c r="O4" s="26" t="s">
        <v>123</v>
      </c>
      <c r="P4" s="27"/>
    </row>
    <row r="5" customFormat="false" ht="25.5" hidden="false" customHeight="true" outlineLevel="0" collapsed="false">
      <c r="A5" s="26" t="n">
        <v>616</v>
      </c>
      <c r="B5" s="26" t="n">
        <v>6</v>
      </c>
      <c r="C5" s="26" t="s">
        <v>125</v>
      </c>
      <c r="D5" s="29" t="s">
        <v>1490</v>
      </c>
      <c r="E5" s="26" t="s">
        <v>1101</v>
      </c>
      <c r="F5" s="27" t="s">
        <v>1486</v>
      </c>
      <c r="G5" s="26" t="s">
        <v>505</v>
      </c>
      <c r="H5" s="26" t="s">
        <v>1483</v>
      </c>
      <c r="I5" s="27" t="s">
        <v>461</v>
      </c>
      <c r="J5" s="29" t="s">
        <v>1491</v>
      </c>
      <c r="K5" s="28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11.29</v>
      </c>
      <c r="L5" s="26"/>
      <c r="M5" s="26"/>
      <c r="N5" s="26"/>
      <c r="O5" s="26" t="s">
        <v>123</v>
      </c>
      <c r="P5" s="27"/>
    </row>
    <row r="6" customFormat="false" ht="25.5" hidden="false" customHeight="true" outlineLevel="0" collapsed="false">
      <c r="A6" s="26" t="n">
        <v>617</v>
      </c>
      <c r="B6" s="26" t="n">
        <v>6</v>
      </c>
      <c r="C6" s="26" t="s">
        <v>115</v>
      </c>
      <c r="D6" s="27" t="s">
        <v>1492</v>
      </c>
      <c r="E6" s="26" t="s">
        <v>1101</v>
      </c>
      <c r="F6" s="27" t="s">
        <v>1482</v>
      </c>
      <c r="G6" s="26" t="s">
        <v>505</v>
      </c>
      <c r="H6" s="26" t="s">
        <v>1483</v>
      </c>
      <c r="I6" s="27" t="s">
        <v>461</v>
      </c>
      <c r="J6" s="27" t="s">
        <v>1493</v>
      </c>
      <c r="K6" s="28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11.52</v>
      </c>
      <c r="L6" s="26"/>
      <c r="M6" s="26"/>
      <c r="N6" s="26"/>
      <c r="O6" s="26" t="s">
        <v>123</v>
      </c>
      <c r="P6" s="27"/>
    </row>
    <row r="7" customFormat="false" ht="25.5" hidden="false" customHeight="true" outlineLevel="0" collapsed="false">
      <c r="A7" s="26" t="n">
        <v>618</v>
      </c>
      <c r="B7" s="26" t="n">
        <v>6</v>
      </c>
      <c r="C7" s="26" t="s">
        <v>125</v>
      </c>
      <c r="D7" s="29" t="s">
        <v>1494</v>
      </c>
      <c r="E7" s="26" t="s">
        <v>1101</v>
      </c>
      <c r="F7" s="27" t="s">
        <v>1486</v>
      </c>
      <c r="G7" s="26" t="s">
        <v>505</v>
      </c>
      <c r="H7" s="26" t="s">
        <v>1483</v>
      </c>
      <c r="I7" s="27" t="s">
        <v>461</v>
      </c>
      <c r="J7" s="29" t="s">
        <v>1495</v>
      </c>
      <c r="K7" s="28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11.29</v>
      </c>
      <c r="L7" s="26"/>
      <c r="M7" s="26"/>
      <c r="N7" s="26"/>
      <c r="O7" s="26" t="s">
        <v>123</v>
      </c>
      <c r="P7" s="27"/>
    </row>
    <row r="8" customFormat="false" ht="25.5" hidden="false" customHeight="true" outlineLevel="0" collapsed="false">
      <c r="A8" s="26" t="n">
        <v>619</v>
      </c>
      <c r="B8" s="26" t="n">
        <v>6</v>
      </c>
      <c r="C8" s="26" t="s">
        <v>115</v>
      </c>
      <c r="D8" s="27" t="s">
        <v>1496</v>
      </c>
      <c r="E8" s="26" t="s">
        <v>1101</v>
      </c>
      <c r="F8" s="27" t="s">
        <v>1482</v>
      </c>
      <c r="G8" s="26" t="s">
        <v>505</v>
      </c>
      <c r="H8" s="26" t="s">
        <v>1483</v>
      </c>
      <c r="I8" s="27" t="s">
        <v>461</v>
      </c>
      <c r="J8" s="27" t="s">
        <v>1497</v>
      </c>
      <c r="K8" s="28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11.52</v>
      </c>
      <c r="L8" s="26"/>
      <c r="M8" s="26"/>
      <c r="N8" s="26"/>
      <c r="O8" s="26" t="s">
        <v>123</v>
      </c>
      <c r="P8" s="27"/>
    </row>
    <row r="9" customFormat="false" ht="25.5" hidden="false" customHeight="true" outlineLevel="0" collapsed="false">
      <c r="A9" s="26" t="n">
        <v>620</v>
      </c>
      <c r="B9" s="26" t="n">
        <v>6</v>
      </c>
      <c r="C9" s="26" t="s">
        <v>125</v>
      </c>
      <c r="D9" s="29" t="s">
        <v>1498</v>
      </c>
      <c r="E9" s="26" t="s">
        <v>1101</v>
      </c>
      <c r="F9" s="27" t="s">
        <v>1486</v>
      </c>
      <c r="G9" s="26" t="s">
        <v>505</v>
      </c>
      <c r="H9" s="26" t="s">
        <v>1483</v>
      </c>
      <c r="I9" s="27" t="s">
        <v>461</v>
      </c>
      <c r="J9" s="29" t="s">
        <v>1499</v>
      </c>
      <c r="K9" s="28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11.29</v>
      </c>
      <c r="L9" s="26"/>
      <c r="M9" s="26"/>
      <c r="N9" s="26"/>
      <c r="O9" s="26" t="s">
        <v>123</v>
      </c>
      <c r="P9" s="27"/>
    </row>
    <row r="10" customFormat="false" ht="25.5" hidden="false" customHeight="true" outlineLevel="0" collapsed="false">
      <c r="A10" s="26" t="n">
        <v>621</v>
      </c>
      <c r="B10" s="26" t="n">
        <v>6</v>
      </c>
      <c r="C10" s="26" t="s">
        <v>115</v>
      </c>
      <c r="D10" s="27" t="s">
        <v>1500</v>
      </c>
      <c r="E10" s="26" t="s">
        <v>1101</v>
      </c>
      <c r="F10" s="27" t="s">
        <v>1501</v>
      </c>
      <c r="G10" s="26" t="s">
        <v>505</v>
      </c>
      <c r="H10" s="26" t="s">
        <v>1483</v>
      </c>
      <c r="I10" s="27" t="s">
        <v>461</v>
      </c>
      <c r="J10" s="27" t="s">
        <v>1502</v>
      </c>
      <c r="K10" s="28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13.02</v>
      </c>
      <c r="L10" s="26"/>
      <c r="M10" s="26"/>
      <c r="N10" s="26"/>
      <c r="O10" s="26" t="s">
        <v>123</v>
      </c>
      <c r="P10" s="27"/>
    </row>
    <row r="11" customFormat="false" ht="25.5" hidden="false" customHeight="true" outlineLevel="0" collapsed="false">
      <c r="A11" s="26" t="n">
        <v>622</v>
      </c>
      <c r="B11" s="26" t="n">
        <v>6</v>
      </c>
      <c r="C11" s="26" t="s">
        <v>125</v>
      </c>
      <c r="D11" s="29" t="s">
        <v>1503</v>
      </c>
      <c r="E11" s="26" t="s">
        <v>1101</v>
      </c>
      <c r="F11" s="27" t="s">
        <v>141</v>
      </c>
      <c r="G11" s="26" t="s">
        <v>505</v>
      </c>
      <c r="H11" s="26" t="s">
        <v>1483</v>
      </c>
      <c r="I11" s="27" t="s">
        <v>461</v>
      </c>
      <c r="J11" s="29" t="s">
        <v>1504</v>
      </c>
      <c r="K11" s="28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12.73</v>
      </c>
      <c r="L11" s="26"/>
      <c r="M11" s="26"/>
      <c r="N11" s="26"/>
      <c r="O11" s="26" t="s">
        <v>123</v>
      </c>
      <c r="P11" s="27"/>
    </row>
    <row r="12" customFormat="false" ht="25.5" hidden="false" customHeight="true" outlineLevel="0" collapsed="false">
      <c r="A12" s="26" t="n">
        <v>623</v>
      </c>
      <c r="B12" s="26" t="n">
        <v>6</v>
      </c>
      <c r="C12" s="26" t="s">
        <v>115</v>
      </c>
      <c r="D12" s="27" t="s">
        <v>1505</v>
      </c>
      <c r="E12" s="26" t="s">
        <v>1101</v>
      </c>
      <c r="F12" s="27" t="s">
        <v>1482</v>
      </c>
      <c r="G12" s="26" t="s">
        <v>505</v>
      </c>
      <c r="H12" s="26" t="s">
        <v>1483</v>
      </c>
      <c r="I12" s="27" t="s">
        <v>461</v>
      </c>
      <c r="J12" s="27" t="s">
        <v>1506</v>
      </c>
      <c r="K12" s="28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11.52</v>
      </c>
      <c r="L12" s="26"/>
      <c r="M12" s="26"/>
      <c r="N12" s="26"/>
      <c r="O12" s="26" t="s">
        <v>123</v>
      </c>
      <c r="P12" s="27"/>
    </row>
    <row r="13" customFormat="false" ht="25.5" hidden="false" customHeight="true" outlineLevel="0" collapsed="false">
      <c r="A13" s="26" t="n">
        <v>624</v>
      </c>
      <c r="B13" s="26" t="n">
        <v>6</v>
      </c>
      <c r="C13" s="26" t="s">
        <v>125</v>
      </c>
      <c r="D13" s="29" t="s">
        <v>1507</v>
      </c>
      <c r="E13" s="26" t="s">
        <v>1101</v>
      </c>
      <c r="F13" s="27" t="s">
        <v>1486</v>
      </c>
      <c r="G13" s="26" t="s">
        <v>505</v>
      </c>
      <c r="H13" s="26" t="s">
        <v>1483</v>
      </c>
      <c r="I13" s="27" t="s">
        <v>461</v>
      </c>
      <c r="J13" s="29" t="s">
        <v>1508</v>
      </c>
      <c r="K13" s="28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11.29</v>
      </c>
      <c r="L13" s="26"/>
      <c r="M13" s="26"/>
      <c r="N13" s="26"/>
      <c r="O13" s="26" t="s">
        <v>123</v>
      </c>
      <c r="P13" s="27"/>
    </row>
    <row r="14" customFormat="false" ht="25.5" hidden="false" customHeight="true" outlineLevel="0" collapsed="false">
      <c r="A14" s="26" t="n">
        <v>625</v>
      </c>
      <c r="B14" s="26" t="n">
        <v>6</v>
      </c>
      <c r="C14" s="26" t="s">
        <v>115</v>
      </c>
      <c r="D14" s="27" t="s">
        <v>1509</v>
      </c>
      <c r="E14" s="26" t="s">
        <v>1101</v>
      </c>
      <c r="F14" s="27" t="s">
        <v>1482</v>
      </c>
      <c r="G14" s="26" t="s">
        <v>505</v>
      </c>
      <c r="H14" s="26" t="s">
        <v>1483</v>
      </c>
      <c r="I14" s="27" t="s">
        <v>461</v>
      </c>
      <c r="J14" s="27" t="s">
        <v>1510</v>
      </c>
      <c r="K14" s="28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11.52</v>
      </c>
      <c r="L14" s="26"/>
      <c r="M14" s="26"/>
      <c r="N14" s="26"/>
      <c r="O14" s="26" t="s">
        <v>123</v>
      </c>
      <c r="P14" s="27"/>
    </row>
    <row r="15" customFormat="false" ht="25.5" hidden="false" customHeight="true" outlineLevel="0" collapsed="false">
      <c r="A15" s="26" t="n">
        <v>626</v>
      </c>
      <c r="B15" s="26" t="n">
        <v>6</v>
      </c>
      <c r="C15" s="26" t="s">
        <v>125</v>
      </c>
      <c r="D15" s="29" t="s">
        <v>1511</v>
      </c>
      <c r="E15" s="26" t="s">
        <v>1101</v>
      </c>
      <c r="F15" s="27" t="s">
        <v>1486</v>
      </c>
      <c r="G15" s="26" t="s">
        <v>505</v>
      </c>
      <c r="H15" s="26" t="s">
        <v>1483</v>
      </c>
      <c r="I15" s="27" t="s">
        <v>461</v>
      </c>
      <c r="J15" s="29" t="s">
        <v>1512</v>
      </c>
      <c r="K15" s="28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11.29</v>
      </c>
      <c r="L15" s="26"/>
      <c r="M15" s="26"/>
      <c r="N15" s="26"/>
      <c r="O15" s="26" t="s">
        <v>123</v>
      </c>
      <c r="P15" s="27"/>
    </row>
    <row r="16" customFormat="false" ht="25.5" hidden="false" customHeight="true" outlineLevel="0" collapsed="false">
      <c r="A16" s="26" t="n">
        <v>627</v>
      </c>
      <c r="B16" s="26" t="n">
        <v>6</v>
      </c>
      <c r="C16" s="26" t="s">
        <v>115</v>
      </c>
      <c r="D16" s="27" t="s">
        <v>1513</v>
      </c>
      <c r="E16" s="26" t="s">
        <v>1101</v>
      </c>
      <c r="F16" s="27" t="s">
        <v>1514</v>
      </c>
      <c r="G16" s="26" t="s">
        <v>505</v>
      </c>
      <c r="H16" s="26" t="s">
        <v>1483</v>
      </c>
      <c r="I16" s="27" t="s">
        <v>461</v>
      </c>
      <c r="J16" s="27" t="s">
        <v>1515</v>
      </c>
      <c r="K16" s="28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10.02</v>
      </c>
      <c r="L16" s="26"/>
      <c r="M16" s="26"/>
      <c r="N16" s="26"/>
      <c r="O16" s="26" t="s">
        <v>123</v>
      </c>
      <c r="P16" s="27"/>
    </row>
    <row r="17" customFormat="false" ht="25.5" hidden="false" customHeight="true" outlineLevel="0" collapsed="false">
      <c r="A17" s="26" t="n">
        <v>628</v>
      </c>
      <c r="B17" s="26" t="n">
        <v>6</v>
      </c>
      <c r="C17" s="26" t="s">
        <v>125</v>
      </c>
      <c r="D17" s="29" t="s">
        <v>1516</v>
      </c>
      <c r="E17" s="26" t="s">
        <v>1101</v>
      </c>
      <c r="F17" s="27" t="s">
        <v>1514</v>
      </c>
      <c r="G17" s="26" t="s">
        <v>505</v>
      </c>
      <c r="H17" s="26" t="s">
        <v>1483</v>
      </c>
      <c r="I17" s="27" t="s">
        <v>461</v>
      </c>
      <c r="J17" s="29" t="s">
        <v>1517</v>
      </c>
      <c r="K17" s="28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10.02</v>
      </c>
      <c r="L17" s="26"/>
      <c r="M17" s="26"/>
      <c r="N17" s="26"/>
      <c r="O17" s="26" t="s">
        <v>123</v>
      </c>
      <c r="P17" s="27"/>
    </row>
    <row r="18" customFormat="false" ht="25.5" hidden="false" customHeight="true" outlineLevel="0" collapsed="false">
      <c r="A18" s="26" t="n">
        <v>629</v>
      </c>
      <c r="B18" s="26" t="n">
        <v>6</v>
      </c>
      <c r="C18" s="26" t="s">
        <v>115</v>
      </c>
      <c r="D18" s="27" t="s">
        <v>1518</v>
      </c>
      <c r="E18" s="26" t="s">
        <v>1101</v>
      </c>
      <c r="F18" s="27" t="s">
        <v>1482</v>
      </c>
      <c r="G18" s="26" t="s">
        <v>505</v>
      </c>
      <c r="H18" s="26" t="s">
        <v>1483</v>
      </c>
      <c r="I18" s="27" t="s">
        <v>461</v>
      </c>
      <c r="J18" s="27" t="s">
        <v>1519</v>
      </c>
      <c r="K18" s="28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11.52</v>
      </c>
      <c r="L18" s="26"/>
      <c r="M18" s="26"/>
      <c r="N18" s="26"/>
      <c r="O18" s="26" t="s">
        <v>123</v>
      </c>
      <c r="P18" s="27"/>
    </row>
    <row r="19" customFormat="false" ht="25.5" hidden="false" customHeight="true" outlineLevel="0" collapsed="false">
      <c r="A19" s="26" t="n">
        <v>630</v>
      </c>
      <c r="B19" s="26" t="n">
        <v>6</v>
      </c>
      <c r="C19" s="26" t="s">
        <v>125</v>
      </c>
      <c r="D19" s="29" t="s">
        <v>1520</v>
      </c>
      <c r="E19" s="26" t="s">
        <v>1101</v>
      </c>
      <c r="F19" s="27" t="s">
        <v>1486</v>
      </c>
      <c r="G19" s="26" t="s">
        <v>505</v>
      </c>
      <c r="H19" s="26" t="s">
        <v>1483</v>
      </c>
      <c r="I19" s="27" t="s">
        <v>461</v>
      </c>
      <c r="J19" s="29" t="s">
        <v>1521</v>
      </c>
      <c r="K19" s="28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11.29</v>
      </c>
      <c r="L19" s="26"/>
      <c r="M19" s="26"/>
      <c r="N19" s="26"/>
      <c r="O19" s="26" t="s">
        <v>123</v>
      </c>
      <c r="P19" s="27"/>
    </row>
    <row r="20" customFormat="false" ht="25.5" hidden="false" customHeight="true" outlineLevel="0" collapsed="false">
      <c r="A20" s="26" t="n">
        <v>631</v>
      </c>
      <c r="B20" s="26" t="n">
        <v>6</v>
      </c>
      <c r="C20" s="26" t="s">
        <v>115</v>
      </c>
      <c r="D20" s="27" t="s">
        <v>1522</v>
      </c>
      <c r="E20" s="26" t="s">
        <v>1101</v>
      </c>
      <c r="F20" s="27" t="s">
        <v>1514</v>
      </c>
      <c r="G20" s="26" t="s">
        <v>505</v>
      </c>
      <c r="H20" s="26" t="s">
        <v>1483</v>
      </c>
      <c r="I20" s="27" t="s">
        <v>461</v>
      </c>
      <c r="J20" s="27" t="s">
        <v>1523</v>
      </c>
      <c r="K20" s="28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10.02</v>
      </c>
      <c r="L20" s="26"/>
      <c r="M20" s="26"/>
      <c r="N20" s="26"/>
      <c r="O20" s="26" t="s">
        <v>123</v>
      </c>
      <c r="P20" s="27"/>
    </row>
    <row r="21" customFormat="false" ht="25.5" hidden="false" customHeight="true" outlineLevel="0" collapsed="false">
      <c r="A21" s="26" t="n">
        <v>632</v>
      </c>
      <c r="B21" s="26" t="n">
        <v>6</v>
      </c>
      <c r="C21" s="26" t="s">
        <v>125</v>
      </c>
      <c r="D21" s="29" t="s">
        <v>1524</v>
      </c>
      <c r="E21" s="26" t="s">
        <v>1101</v>
      </c>
      <c r="F21" s="27" t="s">
        <v>1514</v>
      </c>
      <c r="G21" s="26" t="s">
        <v>505</v>
      </c>
      <c r="H21" s="26" t="s">
        <v>1483</v>
      </c>
      <c r="I21" s="27" t="s">
        <v>461</v>
      </c>
      <c r="J21" s="29" t="s">
        <v>1525</v>
      </c>
      <c r="K21" s="28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10.02</v>
      </c>
      <c r="L21" s="26"/>
      <c r="M21" s="26"/>
      <c r="N21" s="26"/>
      <c r="O21" s="26" t="s">
        <v>123</v>
      </c>
      <c r="P21" s="27"/>
    </row>
    <row r="22" customFormat="false" ht="25.5" hidden="false" customHeight="true" outlineLevel="0" collapsed="false">
      <c r="A22" s="26" t="n">
        <v>633</v>
      </c>
      <c r="B22" s="26" t="n">
        <v>6</v>
      </c>
      <c r="C22" s="26" t="s">
        <v>115</v>
      </c>
      <c r="D22" s="27" t="s">
        <v>1526</v>
      </c>
      <c r="E22" s="26" t="s">
        <v>1101</v>
      </c>
      <c r="F22" s="27" t="s">
        <v>1482</v>
      </c>
      <c r="G22" s="26" t="s">
        <v>505</v>
      </c>
      <c r="H22" s="26" t="s">
        <v>1483</v>
      </c>
      <c r="I22" s="27" t="s">
        <v>461</v>
      </c>
      <c r="J22" s="27" t="s">
        <v>1527</v>
      </c>
      <c r="K22" s="28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11.52</v>
      </c>
      <c r="L22" s="26"/>
      <c r="M22" s="26"/>
      <c r="N22" s="26"/>
      <c r="O22" s="26" t="s">
        <v>123</v>
      </c>
      <c r="P22" s="27"/>
    </row>
    <row r="23" customFormat="false" ht="25.5" hidden="false" customHeight="true" outlineLevel="0" collapsed="false">
      <c r="A23" s="26" t="n">
        <v>634</v>
      </c>
      <c r="B23" s="26" t="n">
        <v>6</v>
      </c>
      <c r="C23" s="26" t="s">
        <v>125</v>
      </c>
      <c r="D23" s="29" t="s">
        <v>1528</v>
      </c>
      <c r="E23" s="26" t="s">
        <v>1101</v>
      </c>
      <c r="F23" s="27" t="s">
        <v>1486</v>
      </c>
      <c r="G23" s="26" t="s">
        <v>505</v>
      </c>
      <c r="H23" s="26" t="s">
        <v>1483</v>
      </c>
      <c r="I23" s="27" t="s">
        <v>461</v>
      </c>
      <c r="J23" s="29" t="s">
        <v>1529</v>
      </c>
      <c r="K23" s="28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11.29</v>
      </c>
      <c r="L23" s="26"/>
      <c r="M23" s="26"/>
      <c r="N23" s="26"/>
      <c r="O23" s="26" t="s">
        <v>123</v>
      </c>
      <c r="P23" s="27"/>
    </row>
    <row r="24" customFormat="false" ht="25.5" hidden="false" customHeight="true" outlineLevel="0" collapsed="false">
      <c r="A24" s="26" t="n">
        <v>635</v>
      </c>
      <c r="B24" s="26" t="n">
        <v>6</v>
      </c>
      <c r="C24" s="26" t="s">
        <v>115</v>
      </c>
      <c r="D24" s="27" t="s">
        <v>1530</v>
      </c>
      <c r="E24" s="26" t="s">
        <v>1101</v>
      </c>
      <c r="F24" s="27" t="s">
        <v>1501</v>
      </c>
      <c r="G24" s="26" t="s">
        <v>505</v>
      </c>
      <c r="H24" s="26" t="s">
        <v>1483</v>
      </c>
      <c r="I24" s="27" t="s">
        <v>461</v>
      </c>
      <c r="J24" s="27" t="s">
        <v>1531</v>
      </c>
      <c r="K24" s="28" t="n">
        <f aca="false">ROUND((IF(E24="Transactional",5,IF(E24="Commercial",4,IF(E24="Comparison",3,IF(E24="Informational",2,3))))*LOG10(IF(ISNUMBER(L24),L24,IFERROR(VALUE(LEFT(F24,FIND("-",F24)-1)),100))+1))/IF(IF(ISBLANK(M24),G24,M24)="High",5,IF(IF(ISBLANK(M24),G24,M24)="Medium",3,1)),2)</f>
        <v>13.02</v>
      </c>
      <c r="L24" s="26"/>
      <c r="M24" s="26"/>
      <c r="N24" s="26"/>
      <c r="O24" s="26" t="s">
        <v>123</v>
      </c>
      <c r="P24" s="27"/>
    </row>
    <row r="25" customFormat="false" ht="25.5" hidden="false" customHeight="true" outlineLevel="0" collapsed="false">
      <c r="A25" s="26" t="n">
        <v>636</v>
      </c>
      <c r="B25" s="26" t="n">
        <v>6</v>
      </c>
      <c r="C25" s="26" t="s">
        <v>125</v>
      </c>
      <c r="D25" s="29" t="s">
        <v>1532</v>
      </c>
      <c r="E25" s="26" t="s">
        <v>1101</v>
      </c>
      <c r="F25" s="27" t="s">
        <v>141</v>
      </c>
      <c r="G25" s="26" t="s">
        <v>505</v>
      </c>
      <c r="H25" s="26" t="s">
        <v>1483</v>
      </c>
      <c r="I25" s="27" t="s">
        <v>461</v>
      </c>
      <c r="J25" s="29" t="s">
        <v>1533</v>
      </c>
      <c r="K25" s="28" t="n">
        <f aca="false">ROUND((IF(E25="Transactional",5,IF(E25="Commercial",4,IF(E25="Comparison",3,IF(E25="Informational",2,3))))*LOG10(IF(ISNUMBER(L25),L25,IFERROR(VALUE(LEFT(F25,FIND("-",F25)-1)),100))+1))/IF(IF(ISBLANK(M25),G25,M25)="High",5,IF(IF(ISBLANK(M25),G25,M25)="Medium",3,1)),2)</f>
        <v>12.73</v>
      </c>
      <c r="L25" s="26"/>
      <c r="M25" s="26"/>
      <c r="N25" s="26"/>
      <c r="O25" s="26" t="s">
        <v>123</v>
      </c>
      <c r="P25" s="27"/>
    </row>
    <row r="26" customFormat="false" ht="25.5" hidden="false" customHeight="true" outlineLevel="0" collapsed="false">
      <c r="A26" s="26" t="n">
        <v>637</v>
      </c>
      <c r="B26" s="26" t="n">
        <v>6</v>
      </c>
      <c r="C26" s="26" t="s">
        <v>115</v>
      </c>
      <c r="D26" s="27" t="s">
        <v>1534</v>
      </c>
      <c r="E26" s="26" t="s">
        <v>1101</v>
      </c>
      <c r="F26" s="27" t="s">
        <v>1482</v>
      </c>
      <c r="G26" s="26" t="s">
        <v>505</v>
      </c>
      <c r="H26" s="26" t="s">
        <v>1483</v>
      </c>
      <c r="I26" s="27" t="s">
        <v>472</v>
      </c>
      <c r="J26" s="27" t="s">
        <v>1535</v>
      </c>
      <c r="K26" s="28" t="n">
        <f aca="false">ROUND((IF(E26="Transactional",5,IF(E26="Commercial",4,IF(E26="Comparison",3,IF(E26="Informational",2,3))))*LOG10(IF(ISNUMBER(L26),L26,IFERROR(VALUE(LEFT(F26,FIND("-",F26)-1)),100))+1))/IF(IF(ISBLANK(M26),G26,M26)="High",5,IF(IF(ISBLANK(M26),G26,M26)="Medium",3,1)),2)</f>
        <v>11.52</v>
      </c>
      <c r="L26" s="26"/>
      <c r="M26" s="26"/>
      <c r="N26" s="26"/>
      <c r="O26" s="26" t="s">
        <v>123</v>
      </c>
      <c r="P26" s="27"/>
    </row>
    <row r="27" customFormat="false" ht="25.5" hidden="false" customHeight="true" outlineLevel="0" collapsed="false">
      <c r="A27" s="26" t="n">
        <v>638</v>
      </c>
      <c r="B27" s="26" t="n">
        <v>6</v>
      </c>
      <c r="C27" s="26" t="s">
        <v>125</v>
      </c>
      <c r="D27" s="29" t="s">
        <v>1536</v>
      </c>
      <c r="E27" s="26" t="s">
        <v>1101</v>
      </c>
      <c r="F27" s="27" t="s">
        <v>1486</v>
      </c>
      <c r="G27" s="26" t="s">
        <v>505</v>
      </c>
      <c r="H27" s="26" t="s">
        <v>1483</v>
      </c>
      <c r="I27" s="27" t="s">
        <v>472</v>
      </c>
      <c r="J27" s="29" t="s">
        <v>1537</v>
      </c>
      <c r="K27" s="28" t="n">
        <f aca="false">ROUND((IF(E27="Transactional",5,IF(E27="Commercial",4,IF(E27="Comparison",3,IF(E27="Informational",2,3))))*LOG10(IF(ISNUMBER(L27),L27,IFERROR(VALUE(LEFT(F27,FIND("-",F27)-1)),100))+1))/IF(IF(ISBLANK(M27),G27,M27)="High",5,IF(IF(ISBLANK(M27),G27,M27)="Medium",3,1)),2)</f>
        <v>11.29</v>
      </c>
      <c r="L27" s="26"/>
      <c r="M27" s="26"/>
      <c r="N27" s="26"/>
      <c r="O27" s="26" t="s">
        <v>123</v>
      </c>
      <c r="P27" s="27"/>
    </row>
    <row r="28" customFormat="false" ht="25.5" hidden="false" customHeight="true" outlineLevel="0" collapsed="false">
      <c r="A28" s="26" t="n">
        <v>639</v>
      </c>
      <c r="B28" s="26" t="n">
        <v>6</v>
      </c>
      <c r="C28" s="26" t="s">
        <v>115</v>
      </c>
      <c r="D28" s="27" t="s">
        <v>1538</v>
      </c>
      <c r="E28" s="26" t="s">
        <v>1101</v>
      </c>
      <c r="F28" s="27" t="s">
        <v>1482</v>
      </c>
      <c r="G28" s="26" t="s">
        <v>505</v>
      </c>
      <c r="H28" s="26" t="s">
        <v>1483</v>
      </c>
      <c r="I28" s="27" t="s">
        <v>472</v>
      </c>
      <c r="J28" s="27" t="s">
        <v>1539</v>
      </c>
      <c r="K28" s="28" t="n">
        <f aca="false">ROUND((IF(E28="Transactional",5,IF(E28="Commercial",4,IF(E28="Comparison",3,IF(E28="Informational",2,3))))*LOG10(IF(ISNUMBER(L28),L28,IFERROR(VALUE(LEFT(F28,FIND("-",F28)-1)),100))+1))/IF(IF(ISBLANK(M28),G28,M28)="High",5,IF(IF(ISBLANK(M28),G28,M28)="Medium",3,1)),2)</f>
        <v>11.52</v>
      </c>
      <c r="L28" s="26"/>
      <c r="M28" s="26"/>
      <c r="N28" s="26"/>
      <c r="O28" s="26" t="s">
        <v>123</v>
      </c>
      <c r="P28" s="27"/>
    </row>
    <row r="29" customFormat="false" ht="25.5" hidden="false" customHeight="true" outlineLevel="0" collapsed="false">
      <c r="A29" s="26" t="n">
        <v>640</v>
      </c>
      <c r="B29" s="26" t="n">
        <v>6</v>
      </c>
      <c r="C29" s="26" t="s">
        <v>125</v>
      </c>
      <c r="D29" s="29" t="s">
        <v>1540</v>
      </c>
      <c r="E29" s="26" t="s">
        <v>1101</v>
      </c>
      <c r="F29" s="27" t="s">
        <v>1486</v>
      </c>
      <c r="G29" s="26" t="s">
        <v>505</v>
      </c>
      <c r="H29" s="26" t="s">
        <v>1483</v>
      </c>
      <c r="I29" s="27" t="s">
        <v>472</v>
      </c>
      <c r="J29" s="29" t="s">
        <v>1541</v>
      </c>
      <c r="K29" s="28" t="n">
        <f aca="false">ROUND((IF(E29="Transactional",5,IF(E29="Commercial",4,IF(E29="Comparison",3,IF(E29="Informational",2,3))))*LOG10(IF(ISNUMBER(L29),L29,IFERROR(VALUE(LEFT(F29,FIND("-",F29)-1)),100))+1))/IF(IF(ISBLANK(M29),G29,M29)="High",5,IF(IF(ISBLANK(M29),G29,M29)="Medium",3,1)),2)</f>
        <v>11.29</v>
      </c>
      <c r="L29" s="26"/>
      <c r="M29" s="26"/>
      <c r="N29" s="26"/>
      <c r="O29" s="26" t="s">
        <v>123</v>
      </c>
      <c r="P29" s="27"/>
    </row>
    <row r="30" customFormat="false" ht="25.5" hidden="false" customHeight="true" outlineLevel="0" collapsed="false">
      <c r="A30" s="26" t="n">
        <v>641</v>
      </c>
      <c r="B30" s="26" t="n">
        <v>6</v>
      </c>
      <c r="C30" s="26" t="s">
        <v>115</v>
      </c>
      <c r="D30" s="27" t="s">
        <v>1542</v>
      </c>
      <c r="E30" s="26" t="s">
        <v>1101</v>
      </c>
      <c r="F30" s="27" t="s">
        <v>1482</v>
      </c>
      <c r="G30" s="26" t="s">
        <v>505</v>
      </c>
      <c r="H30" s="26" t="s">
        <v>1483</v>
      </c>
      <c r="I30" s="27" t="s">
        <v>472</v>
      </c>
      <c r="J30" s="27" t="s">
        <v>1543</v>
      </c>
      <c r="K30" s="28" t="n">
        <f aca="false">ROUND((IF(E30="Transactional",5,IF(E30="Commercial",4,IF(E30="Comparison",3,IF(E30="Informational",2,3))))*LOG10(IF(ISNUMBER(L30),L30,IFERROR(VALUE(LEFT(F30,FIND("-",F30)-1)),100))+1))/IF(IF(ISBLANK(M30),G30,M30)="High",5,IF(IF(ISBLANK(M30),G30,M30)="Medium",3,1)),2)</f>
        <v>11.52</v>
      </c>
      <c r="L30" s="26"/>
      <c r="M30" s="26"/>
      <c r="N30" s="26"/>
      <c r="O30" s="26" t="s">
        <v>123</v>
      </c>
      <c r="P30" s="27"/>
    </row>
    <row r="31" customFormat="false" ht="25.5" hidden="false" customHeight="true" outlineLevel="0" collapsed="false">
      <c r="A31" s="26" t="n">
        <v>642</v>
      </c>
      <c r="B31" s="26" t="n">
        <v>6</v>
      </c>
      <c r="C31" s="26" t="s">
        <v>125</v>
      </c>
      <c r="D31" s="29" t="s">
        <v>1544</v>
      </c>
      <c r="E31" s="26" t="s">
        <v>1101</v>
      </c>
      <c r="F31" s="27" t="s">
        <v>1486</v>
      </c>
      <c r="G31" s="26" t="s">
        <v>505</v>
      </c>
      <c r="H31" s="26" t="s">
        <v>1483</v>
      </c>
      <c r="I31" s="27" t="s">
        <v>472</v>
      </c>
      <c r="J31" s="29" t="s">
        <v>1545</v>
      </c>
      <c r="K31" s="28" t="n">
        <f aca="false">ROUND((IF(E31="Transactional",5,IF(E31="Commercial",4,IF(E31="Comparison",3,IF(E31="Informational",2,3))))*LOG10(IF(ISNUMBER(L31),L31,IFERROR(VALUE(LEFT(F31,FIND("-",F31)-1)),100))+1))/IF(IF(ISBLANK(M31),G31,M31)="High",5,IF(IF(ISBLANK(M31),G31,M31)="Medium",3,1)),2)</f>
        <v>11.29</v>
      </c>
      <c r="L31" s="26"/>
      <c r="M31" s="26"/>
      <c r="N31" s="26"/>
      <c r="O31" s="26" t="s">
        <v>123</v>
      </c>
      <c r="P31" s="27"/>
    </row>
    <row r="32" customFormat="false" ht="25.5" hidden="false" customHeight="true" outlineLevel="0" collapsed="false">
      <c r="A32" s="26" t="n">
        <v>643</v>
      </c>
      <c r="B32" s="26" t="n">
        <v>6</v>
      </c>
      <c r="C32" s="26" t="s">
        <v>115</v>
      </c>
      <c r="D32" s="27" t="s">
        <v>1546</v>
      </c>
      <c r="E32" s="26" t="s">
        <v>1101</v>
      </c>
      <c r="F32" s="27" t="s">
        <v>1514</v>
      </c>
      <c r="G32" s="26" t="s">
        <v>505</v>
      </c>
      <c r="H32" s="26" t="s">
        <v>1483</v>
      </c>
      <c r="I32" s="27" t="s">
        <v>472</v>
      </c>
      <c r="J32" s="27" t="s">
        <v>1547</v>
      </c>
      <c r="K32" s="28" t="n">
        <f aca="false">ROUND((IF(E32="Transactional",5,IF(E32="Commercial",4,IF(E32="Comparison",3,IF(E32="Informational",2,3))))*LOG10(IF(ISNUMBER(L32),L32,IFERROR(VALUE(LEFT(F32,FIND("-",F32)-1)),100))+1))/IF(IF(ISBLANK(M32),G32,M32)="High",5,IF(IF(ISBLANK(M32),G32,M32)="Medium",3,1)),2)</f>
        <v>10.02</v>
      </c>
      <c r="L32" s="26"/>
      <c r="M32" s="26"/>
      <c r="N32" s="26"/>
      <c r="O32" s="26" t="s">
        <v>123</v>
      </c>
      <c r="P32" s="27"/>
    </row>
    <row r="33" customFormat="false" ht="25.5" hidden="false" customHeight="true" outlineLevel="0" collapsed="false">
      <c r="A33" s="26" t="n">
        <v>644</v>
      </c>
      <c r="B33" s="26" t="n">
        <v>6</v>
      </c>
      <c r="C33" s="26" t="s">
        <v>125</v>
      </c>
      <c r="D33" s="29" t="s">
        <v>1548</v>
      </c>
      <c r="E33" s="26" t="s">
        <v>1101</v>
      </c>
      <c r="F33" s="27" t="s">
        <v>1514</v>
      </c>
      <c r="G33" s="26" t="s">
        <v>505</v>
      </c>
      <c r="H33" s="26" t="s">
        <v>1483</v>
      </c>
      <c r="I33" s="27" t="s">
        <v>472</v>
      </c>
      <c r="J33" s="29" t="s">
        <v>1549</v>
      </c>
      <c r="K33" s="28" t="n">
        <f aca="false">ROUND((IF(E33="Transactional",5,IF(E33="Commercial",4,IF(E33="Comparison",3,IF(E33="Informational",2,3))))*LOG10(IF(ISNUMBER(L33),L33,IFERROR(VALUE(LEFT(F33,FIND("-",F33)-1)),100))+1))/IF(IF(ISBLANK(M33),G33,M33)="High",5,IF(IF(ISBLANK(M33),G33,M33)="Medium",3,1)),2)</f>
        <v>10.02</v>
      </c>
      <c r="L33" s="26"/>
      <c r="M33" s="26"/>
      <c r="N33" s="26"/>
      <c r="O33" s="26" t="s">
        <v>123</v>
      </c>
      <c r="P33" s="27"/>
    </row>
    <row r="34" customFormat="false" ht="25.5" hidden="false" customHeight="true" outlineLevel="0" collapsed="false">
      <c r="A34" s="26" t="n">
        <v>645</v>
      </c>
      <c r="B34" s="26" t="n">
        <v>6</v>
      </c>
      <c r="C34" s="26" t="s">
        <v>115</v>
      </c>
      <c r="D34" s="27" t="s">
        <v>1550</v>
      </c>
      <c r="E34" s="26" t="s">
        <v>1101</v>
      </c>
      <c r="F34" s="27" t="s">
        <v>1482</v>
      </c>
      <c r="G34" s="26" t="s">
        <v>505</v>
      </c>
      <c r="H34" s="26" t="s">
        <v>1483</v>
      </c>
      <c r="I34" s="27" t="s">
        <v>472</v>
      </c>
      <c r="J34" s="27" t="s">
        <v>1551</v>
      </c>
      <c r="K34" s="28" t="n">
        <f aca="false">ROUND((IF(E34="Transactional",5,IF(E34="Commercial",4,IF(E34="Comparison",3,IF(E34="Informational",2,3))))*LOG10(IF(ISNUMBER(L34),L34,IFERROR(VALUE(LEFT(F34,FIND("-",F34)-1)),100))+1))/IF(IF(ISBLANK(M34),G34,M34)="High",5,IF(IF(ISBLANK(M34),G34,M34)="Medium",3,1)),2)</f>
        <v>11.52</v>
      </c>
      <c r="L34" s="26"/>
      <c r="M34" s="26"/>
      <c r="N34" s="26"/>
      <c r="O34" s="26" t="s">
        <v>123</v>
      </c>
      <c r="P34" s="27"/>
    </row>
    <row r="35" customFormat="false" ht="25.5" hidden="false" customHeight="true" outlineLevel="0" collapsed="false">
      <c r="A35" s="26" t="n">
        <v>646</v>
      </c>
      <c r="B35" s="26" t="n">
        <v>6</v>
      </c>
      <c r="C35" s="26" t="s">
        <v>125</v>
      </c>
      <c r="D35" s="29" t="s">
        <v>1552</v>
      </c>
      <c r="E35" s="26" t="s">
        <v>1101</v>
      </c>
      <c r="F35" s="27" t="s">
        <v>1486</v>
      </c>
      <c r="G35" s="26" t="s">
        <v>505</v>
      </c>
      <c r="H35" s="26" t="s">
        <v>1483</v>
      </c>
      <c r="I35" s="27" t="s">
        <v>472</v>
      </c>
      <c r="J35" s="29" t="s">
        <v>1553</v>
      </c>
      <c r="K35" s="28" t="n">
        <f aca="false">ROUND((IF(E35="Transactional",5,IF(E35="Commercial",4,IF(E35="Comparison",3,IF(E35="Informational",2,3))))*LOG10(IF(ISNUMBER(L35),L35,IFERROR(VALUE(LEFT(F35,FIND("-",F35)-1)),100))+1))/IF(IF(ISBLANK(M35),G35,M35)="High",5,IF(IF(ISBLANK(M35),G35,M35)="Medium",3,1)),2)</f>
        <v>11.29</v>
      </c>
      <c r="L35" s="26"/>
      <c r="M35" s="26"/>
      <c r="N35" s="26"/>
      <c r="O35" s="26" t="s">
        <v>123</v>
      </c>
      <c r="P35" s="27"/>
    </row>
    <row r="36" customFormat="false" ht="25.5" hidden="false" customHeight="true" outlineLevel="0" collapsed="false">
      <c r="A36" s="26" t="n">
        <v>647</v>
      </c>
      <c r="B36" s="26" t="n">
        <v>6</v>
      </c>
      <c r="C36" s="26" t="s">
        <v>115</v>
      </c>
      <c r="D36" s="27" t="s">
        <v>1554</v>
      </c>
      <c r="E36" s="26" t="s">
        <v>1101</v>
      </c>
      <c r="F36" s="27" t="s">
        <v>1501</v>
      </c>
      <c r="G36" s="26" t="s">
        <v>505</v>
      </c>
      <c r="H36" s="26" t="s">
        <v>1483</v>
      </c>
      <c r="I36" s="27" t="s">
        <v>472</v>
      </c>
      <c r="J36" s="27" t="s">
        <v>1555</v>
      </c>
      <c r="K36" s="28" t="n">
        <f aca="false">ROUND((IF(E36="Transactional",5,IF(E36="Commercial",4,IF(E36="Comparison",3,IF(E36="Informational",2,3))))*LOG10(IF(ISNUMBER(L36),L36,IFERROR(VALUE(LEFT(F36,FIND("-",F36)-1)),100))+1))/IF(IF(ISBLANK(M36),G36,M36)="High",5,IF(IF(ISBLANK(M36),G36,M36)="Medium",3,1)),2)</f>
        <v>13.02</v>
      </c>
      <c r="L36" s="26"/>
      <c r="M36" s="26"/>
      <c r="N36" s="26"/>
      <c r="O36" s="26" t="s">
        <v>123</v>
      </c>
      <c r="P36" s="27"/>
    </row>
    <row r="37" customFormat="false" ht="25.5" hidden="false" customHeight="true" outlineLevel="0" collapsed="false">
      <c r="A37" s="26" t="n">
        <v>648</v>
      </c>
      <c r="B37" s="26" t="n">
        <v>6</v>
      </c>
      <c r="C37" s="26" t="s">
        <v>125</v>
      </c>
      <c r="D37" s="29" t="s">
        <v>1556</v>
      </c>
      <c r="E37" s="26" t="s">
        <v>1101</v>
      </c>
      <c r="F37" s="27" t="s">
        <v>141</v>
      </c>
      <c r="G37" s="26" t="s">
        <v>505</v>
      </c>
      <c r="H37" s="26" t="s">
        <v>1483</v>
      </c>
      <c r="I37" s="27" t="s">
        <v>472</v>
      </c>
      <c r="J37" s="29" t="s">
        <v>1557</v>
      </c>
      <c r="K37" s="28" t="n">
        <f aca="false">ROUND((IF(E37="Transactional",5,IF(E37="Commercial",4,IF(E37="Comparison",3,IF(E37="Informational",2,3))))*LOG10(IF(ISNUMBER(L37),L37,IFERROR(VALUE(LEFT(F37,FIND("-",F37)-1)),100))+1))/IF(IF(ISBLANK(M37),G37,M37)="High",5,IF(IF(ISBLANK(M37),G37,M37)="Medium",3,1)),2)</f>
        <v>12.73</v>
      </c>
      <c r="L37" s="26"/>
      <c r="M37" s="26"/>
      <c r="N37" s="26"/>
      <c r="O37" s="26" t="s">
        <v>123</v>
      </c>
      <c r="P37" s="27"/>
    </row>
    <row r="38" customFormat="false" ht="25.5" hidden="false" customHeight="true" outlineLevel="0" collapsed="false">
      <c r="A38" s="26" t="n">
        <v>649</v>
      </c>
      <c r="B38" s="26" t="n">
        <v>6</v>
      </c>
      <c r="C38" s="26" t="s">
        <v>115</v>
      </c>
      <c r="D38" s="27" t="s">
        <v>1558</v>
      </c>
      <c r="E38" s="26" t="s">
        <v>1101</v>
      </c>
      <c r="F38" s="27" t="s">
        <v>1482</v>
      </c>
      <c r="G38" s="26" t="s">
        <v>505</v>
      </c>
      <c r="H38" s="26" t="s">
        <v>1483</v>
      </c>
      <c r="I38" s="27" t="s">
        <v>472</v>
      </c>
      <c r="J38" s="27" t="s">
        <v>1559</v>
      </c>
      <c r="K38" s="28" t="n">
        <f aca="false">ROUND((IF(E38="Transactional",5,IF(E38="Commercial",4,IF(E38="Comparison",3,IF(E38="Informational",2,3))))*LOG10(IF(ISNUMBER(L38),L38,IFERROR(VALUE(LEFT(F38,FIND("-",F38)-1)),100))+1))/IF(IF(ISBLANK(M38),G38,M38)="High",5,IF(IF(ISBLANK(M38),G38,M38)="Medium",3,1)),2)</f>
        <v>11.52</v>
      </c>
      <c r="L38" s="26"/>
      <c r="M38" s="26"/>
      <c r="N38" s="26"/>
      <c r="O38" s="26" t="s">
        <v>123</v>
      </c>
      <c r="P38" s="27"/>
    </row>
    <row r="39" customFormat="false" ht="25.5" hidden="false" customHeight="true" outlineLevel="0" collapsed="false">
      <c r="A39" s="26" t="n">
        <v>650</v>
      </c>
      <c r="B39" s="26" t="n">
        <v>6</v>
      </c>
      <c r="C39" s="26" t="s">
        <v>125</v>
      </c>
      <c r="D39" s="29" t="s">
        <v>1560</v>
      </c>
      <c r="E39" s="26" t="s">
        <v>1101</v>
      </c>
      <c r="F39" s="27" t="s">
        <v>1486</v>
      </c>
      <c r="G39" s="26" t="s">
        <v>505</v>
      </c>
      <c r="H39" s="26" t="s">
        <v>1483</v>
      </c>
      <c r="I39" s="27" t="s">
        <v>472</v>
      </c>
      <c r="J39" s="29" t="s">
        <v>1561</v>
      </c>
      <c r="K39" s="28" t="n">
        <f aca="false">ROUND((IF(E39="Transactional",5,IF(E39="Commercial",4,IF(E39="Comparison",3,IF(E39="Informational",2,3))))*LOG10(IF(ISNUMBER(L39),L39,IFERROR(VALUE(LEFT(F39,FIND("-",F39)-1)),100))+1))/IF(IF(ISBLANK(M39),G39,M39)="High",5,IF(IF(ISBLANK(M39),G39,M39)="Medium",3,1)),2)</f>
        <v>11.29</v>
      </c>
      <c r="L39" s="26"/>
      <c r="M39" s="26"/>
      <c r="N39" s="26"/>
      <c r="O39" s="26" t="s">
        <v>123</v>
      </c>
      <c r="P39" s="27"/>
    </row>
    <row r="40" customFormat="false" ht="25.5" hidden="false" customHeight="true" outlineLevel="0" collapsed="false">
      <c r="A40" s="26" t="n">
        <v>651</v>
      </c>
      <c r="B40" s="26" t="n">
        <v>6</v>
      </c>
      <c r="C40" s="26" t="s">
        <v>115</v>
      </c>
      <c r="D40" s="27" t="s">
        <v>1562</v>
      </c>
      <c r="E40" s="26" t="s">
        <v>1101</v>
      </c>
      <c r="F40" s="27" t="s">
        <v>1482</v>
      </c>
      <c r="G40" s="26" t="s">
        <v>505</v>
      </c>
      <c r="H40" s="26" t="s">
        <v>1483</v>
      </c>
      <c r="I40" s="27" t="s">
        <v>472</v>
      </c>
      <c r="J40" s="27" t="s">
        <v>1563</v>
      </c>
      <c r="K40" s="28" t="n">
        <f aca="false">ROUND((IF(E40="Transactional",5,IF(E40="Commercial",4,IF(E40="Comparison",3,IF(E40="Informational",2,3))))*LOG10(IF(ISNUMBER(L40),L40,IFERROR(VALUE(LEFT(F40,FIND("-",F40)-1)),100))+1))/IF(IF(ISBLANK(M40),G40,M40)="High",5,IF(IF(ISBLANK(M40),G40,M40)="Medium",3,1)),2)</f>
        <v>11.52</v>
      </c>
      <c r="L40" s="26"/>
      <c r="M40" s="26"/>
      <c r="N40" s="26"/>
      <c r="O40" s="26" t="s">
        <v>123</v>
      </c>
      <c r="P40" s="27"/>
    </row>
    <row r="41" customFormat="false" ht="25.5" hidden="false" customHeight="true" outlineLevel="0" collapsed="false">
      <c r="A41" s="26" t="n">
        <v>652</v>
      </c>
      <c r="B41" s="26" t="n">
        <v>6</v>
      </c>
      <c r="C41" s="26" t="s">
        <v>125</v>
      </c>
      <c r="D41" s="29" t="s">
        <v>1564</v>
      </c>
      <c r="E41" s="26" t="s">
        <v>1101</v>
      </c>
      <c r="F41" s="27" t="s">
        <v>1486</v>
      </c>
      <c r="G41" s="26" t="s">
        <v>505</v>
      </c>
      <c r="H41" s="26" t="s">
        <v>1483</v>
      </c>
      <c r="I41" s="27" t="s">
        <v>472</v>
      </c>
      <c r="J41" s="29" t="s">
        <v>1565</v>
      </c>
      <c r="K41" s="28" t="n">
        <f aca="false">ROUND((IF(E41="Transactional",5,IF(E41="Commercial",4,IF(E41="Comparison",3,IF(E41="Informational",2,3))))*LOG10(IF(ISNUMBER(L41),L41,IFERROR(VALUE(LEFT(F41,FIND("-",F41)-1)),100))+1))/IF(IF(ISBLANK(M41),G41,M41)="High",5,IF(IF(ISBLANK(M41),G41,M41)="Medium",3,1)),2)</f>
        <v>11.29</v>
      </c>
      <c r="L41" s="26"/>
      <c r="M41" s="26"/>
      <c r="N41" s="26"/>
      <c r="O41" s="26" t="s">
        <v>123</v>
      </c>
      <c r="P41" s="27"/>
    </row>
    <row r="42" customFormat="false" ht="25.5" hidden="false" customHeight="true" outlineLevel="0" collapsed="false">
      <c r="A42" s="26" t="n">
        <v>653</v>
      </c>
      <c r="B42" s="26" t="n">
        <v>6</v>
      </c>
      <c r="C42" s="26" t="s">
        <v>115</v>
      </c>
      <c r="D42" s="27" t="s">
        <v>1566</v>
      </c>
      <c r="E42" s="26" t="s">
        <v>1101</v>
      </c>
      <c r="F42" s="27" t="s">
        <v>1482</v>
      </c>
      <c r="G42" s="26" t="s">
        <v>505</v>
      </c>
      <c r="H42" s="26" t="s">
        <v>1483</v>
      </c>
      <c r="I42" s="27" t="s">
        <v>472</v>
      </c>
      <c r="J42" s="27" t="s">
        <v>1567</v>
      </c>
      <c r="K42" s="28" t="n">
        <f aca="false">ROUND((IF(E42="Transactional",5,IF(E42="Commercial",4,IF(E42="Comparison",3,IF(E42="Informational",2,3))))*LOG10(IF(ISNUMBER(L42),L42,IFERROR(VALUE(LEFT(F42,FIND("-",F42)-1)),100))+1))/IF(IF(ISBLANK(M42),G42,M42)="High",5,IF(IF(ISBLANK(M42),G42,M42)="Medium",3,1)),2)</f>
        <v>11.52</v>
      </c>
      <c r="L42" s="26"/>
      <c r="M42" s="26"/>
      <c r="N42" s="26"/>
      <c r="O42" s="26" t="s">
        <v>123</v>
      </c>
      <c r="P42" s="27"/>
    </row>
    <row r="43" customFormat="false" ht="25.5" hidden="false" customHeight="true" outlineLevel="0" collapsed="false">
      <c r="A43" s="26" t="n">
        <v>654</v>
      </c>
      <c r="B43" s="26" t="n">
        <v>6</v>
      </c>
      <c r="C43" s="26" t="s">
        <v>125</v>
      </c>
      <c r="D43" s="29" t="s">
        <v>1568</v>
      </c>
      <c r="E43" s="26" t="s">
        <v>1101</v>
      </c>
      <c r="F43" s="27" t="s">
        <v>1486</v>
      </c>
      <c r="G43" s="26" t="s">
        <v>505</v>
      </c>
      <c r="H43" s="26" t="s">
        <v>1483</v>
      </c>
      <c r="I43" s="27" t="s">
        <v>472</v>
      </c>
      <c r="J43" s="29" t="s">
        <v>1569</v>
      </c>
      <c r="K43" s="28" t="n">
        <f aca="false">ROUND((IF(E43="Transactional",5,IF(E43="Commercial",4,IF(E43="Comparison",3,IF(E43="Informational",2,3))))*LOG10(IF(ISNUMBER(L43),L43,IFERROR(VALUE(LEFT(F43,FIND("-",F43)-1)),100))+1))/IF(IF(ISBLANK(M43),G43,M43)="High",5,IF(IF(ISBLANK(M43),G43,M43)="Medium",3,1)),2)</f>
        <v>11.29</v>
      </c>
      <c r="L43" s="26"/>
      <c r="M43" s="26"/>
      <c r="N43" s="26"/>
      <c r="O43" s="26" t="s">
        <v>123</v>
      </c>
      <c r="P43" s="27"/>
    </row>
    <row r="44" customFormat="false" ht="25.5" hidden="false" customHeight="true" outlineLevel="0" collapsed="false">
      <c r="A44" s="26" t="n">
        <v>655</v>
      </c>
      <c r="B44" s="26" t="n">
        <v>6</v>
      </c>
      <c r="C44" s="26" t="s">
        <v>115</v>
      </c>
      <c r="D44" s="27" t="s">
        <v>1570</v>
      </c>
      <c r="E44" s="26" t="s">
        <v>1101</v>
      </c>
      <c r="F44" s="27" t="s">
        <v>1514</v>
      </c>
      <c r="G44" s="26" t="s">
        <v>505</v>
      </c>
      <c r="H44" s="26" t="s">
        <v>1483</v>
      </c>
      <c r="I44" s="27" t="s">
        <v>472</v>
      </c>
      <c r="J44" s="27" t="s">
        <v>1571</v>
      </c>
      <c r="K44" s="28" t="n">
        <f aca="false">ROUND((IF(E44="Transactional",5,IF(E44="Commercial",4,IF(E44="Comparison",3,IF(E44="Informational",2,3))))*LOG10(IF(ISNUMBER(L44),L44,IFERROR(VALUE(LEFT(F44,FIND("-",F44)-1)),100))+1))/IF(IF(ISBLANK(M44),G44,M44)="High",5,IF(IF(ISBLANK(M44),G44,M44)="Medium",3,1)),2)</f>
        <v>10.02</v>
      </c>
      <c r="L44" s="26"/>
      <c r="M44" s="26"/>
      <c r="N44" s="26"/>
      <c r="O44" s="26" t="s">
        <v>123</v>
      </c>
      <c r="P44" s="27"/>
    </row>
    <row r="45" customFormat="false" ht="25.5" hidden="false" customHeight="true" outlineLevel="0" collapsed="false">
      <c r="A45" s="26" t="n">
        <v>656</v>
      </c>
      <c r="B45" s="26" t="n">
        <v>6</v>
      </c>
      <c r="C45" s="26" t="s">
        <v>125</v>
      </c>
      <c r="D45" s="29" t="s">
        <v>1572</v>
      </c>
      <c r="E45" s="26" t="s">
        <v>1101</v>
      </c>
      <c r="F45" s="27" t="s">
        <v>1514</v>
      </c>
      <c r="G45" s="26" t="s">
        <v>505</v>
      </c>
      <c r="H45" s="26" t="s">
        <v>1483</v>
      </c>
      <c r="I45" s="27" t="s">
        <v>472</v>
      </c>
      <c r="J45" s="29" t="s">
        <v>1573</v>
      </c>
      <c r="K45" s="28" t="n">
        <f aca="false">ROUND((IF(E45="Transactional",5,IF(E45="Commercial",4,IF(E45="Comparison",3,IF(E45="Informational",2,3))))*LOG10(IF(ISNUMBER(L45),L45,IFERROR(VALUE(LEFT(F45,FIND("-",F45)-1)),100))+1))/IF(IF(ISBLANK(M45),G45,M45)="High",5,IF(IF(ISBLANK(M45),G45,M45)="Medium",3,1)),2)</f>
        <v>10.02</v>
      </c>
      <c r="L45" s="26"/>
      <c r="M45" s="26"/>
      <c r="N45" s="26"/>
      <c r="O45" s="26" t="s">
        <v>123</v>
      </c>
      <c r="P45" s="27"/>
    </row>
  </sheetData>
  <conditionalFormatting sqref="K2:K45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45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45" type="list">
      <formula1>"EN,AR,FA"</formula1>
      <formula2>0</formula2>
    </dataValidation>
    <dataValidation allowBlank="true" errorStyle="stop" operator="between" showDropDown="false" showErrorMessage="false" showInputMessage="false" sqref="E2:E45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45 M2:M45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30" t="n">
        <v>657</v>
      </c>
      <c r="B2" s="30" t="n">
        <v>7</v>
      </c>
      <c r="C2" s="30" t="s">
        <v>115</v>
      </c>
      <c r="D2" s="31" t="s">
        <v>1574</v>
      </c>
      <c r="E2" s="30" t="s">
        <v>117</v>
      </c>
      <c r="F2" s="31" t="s">
        <v>136</v>
      </c>
      <c r="G2" s="30" t="s">
        <v>505</v>
      </c>
      <c r="H2" s="30" t="s">
        <v>1575</v>
      </c>
      <c r="I2" s="31" t="s">
        <v>419</v>
      </c>
      <c r="J2" s="31" t="s">
        <v>1576</v>
      </c>
      <c r="K2" s="32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10.41</v>
      </c>
      <c r="L2" s="30"/>
      <c r="M2" s="30"/>
      <c r="N2" s="30"/>
      <c r="O2" s="30" t="s">
        <v>123</v>
      </c>
      <c r="P2" s="31"/>
    </row>
    <row r="3" customFormat="false" ht="25.5" hidden="false" customHeight="true" outlineLevel="0" collapsed="false">
      <c r="A3" s="30" t="n">
        <v>658</v>
      </c>
      <c r="B3" s="30" t="n">
        <v>7</v>
      </c>
      <c r="C3" s="30" t="s">
        <v>125</v>
      </c>
      <c r="D3" s="33" t="s">
        <v>1577</v>
      </c>
      <c r="E3" s="30" t="s">
        <v>117</v>
      </c>
      <c r="F3" s="31" t="s">
        <v>141</v>
      </c>
      <c r="G3" s="30" t="s">
        <v>505</v>
      </c>
      <c r="H3" s="30" t="s">
        <v>1575</v>
      </c>
      <c r="I3" s="31" t="s">
        <v>419</v>
      </c>
      <c r="J3" s="33" t="s">
        <v>1578</v>
      </c>
      <c r="K3" s="32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10.18</v>
      </c>
      <c r="L3" s="30"/>
      <c r="M3" s="30"/>
      <c r="N3" s="30"/>
      <c r="O3" s="30" t="s">
        <v>123</v>
      </c>
      <c r="P3" s="31"/>
    </row>
    <row r="4" customFormat="false" ht="25.5" hidden="false" customHeight="true" outlineLevel="0" collapsed="false">
      <c r="A4" s="30" t="n">
        <v>659</v>
      </c>
      <c r="B4" s="30" t="n">
        <v>7</v>
      </c>
      <c r="C4" s="30" t="s">
        <v>115</v>
      </c>
      <c r="D4" s="31" t="s">
        <v>1579</v>
      </c>
      <c r="E4" s="30" t="s">
        <v>117</v>
      </c>
      <c r="F4" s="31" t="s">
        <v>994</v>
      </c>
      <c r="G4" s="30" t="s">
        <v>505</v>
      </c>
      <c r="H4" s="30" t="s">
        <v>1575</v>
      </c>
      <c r="I4" s="31" t="s">
        <v>419</v>
      </c>
      <c r="J4" s="31" t="s">
        <v>1580</v>
      </c>
      <c r="K4" s="32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9.6</v>
      </c>
      <c r="L4" s="30"/>
      <c r="M4" s="30"/>
      <c r="N4" s="30"/>
      <c r="O4" s="30" t="s">
        <v>123</v>
      </c>
      <c r="P4" s="31"/>
    </row>
    <row r="5" customFormat="false" ht="25.5" hidden="false" customHeight="true" outlineLevel="0" collapsed="false">
      <c r="A5" s="30" t="n">
        <v>660</v>
      </c>
      <c r="B5" s="30" t="n">
        <v>7</v>
      </c>
      <c r="C5" s="30" t="s">
        <v>125</v>
      </c>
      <c r="D5" s="33" t="s">
        <v>1581</v>
      </c>
      <c r="E5" s="30" t="s">
        <v>117</v>
      </c>
      <c r="F5" s="31" t="s">
        <v>997</v>
      </c>
      <c r="G5" s="30" t="s">
        <v>505</v>
      </c>
      <c r="H5" s="30" t="s">
        <v>1575</v>
      </c>
      <c r="I5" s="31" t="s">
        <v>419</v>
      </c>
      <c r="J5" s="33" t="s">
        <v>1582</v>
      </c>
      <c r="K5" s="32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9.21</v>
      </c>
      <c r="L5" s="30"/>
      <c r="M5" s="30"/>
      <c r="N5" s="30"/>
      <c r="O5" s="30" t="s">
        <v>123</v>
      </c>
      <c r="P5" s="31"/>
    </row>
    <row r="6" customFormat="false" ht="25.5" hidden="false" customHeight="true" outlineLevel="0" collapsed="false">
      <c r="A6" s="30" t="n">
        <v>661</v>
      </c>
      <c r="B6" s="30" t="n">
        <v>7</v>
      </c>
      <c r="C6" s="30" t="s">
        <v>115</v>
      </c>
      <c r="D6" s="31" t="s">
        <v>1583</v>
      </c>
      <c r="E6" s="30" t="s">
        <v>117</v>
      </c>
      <c r="F6" s="31" t="s">
        <v>994</v>
      </c>
      <c r="G6" s="30" t="s">
        <v>505</v>
      </c>
      <c r="H6" s="30" t="s">
        <v>1575</v>
      </c>
      <c r="I6" s="31" t="s">
        <v>419</v>
      </c>
      <c r="J6" s="31" t="s">
        <v>1584</v>
      </c>
      <c r="K6" s="32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9.6</v>
      </c>
      <c r="L6" s="30"/>
      <c r="M6" s="30"/>
      <c r="N6" s="30"/>
      <c r="O6" s="30" t="s">
        <v>123</v>
      </c>
      <c r="P6" s="31"/>
    </row>
    <row r="7" customFormat="false" ht="25.5" hidden="false" customHeight="true" outlineLevel="0" collapsed="false">
      <c r="A7" s="30" t="n">
        <v>662</v>
      </c>
      <c r="B7" s="30" t="n">
        <v>7</v>
      </c>
      <c r="C7" s="30" t="s">
        <v>125</v>
      </c>
      <c r="D7" s="33" t="s">
        <v>1585</v>
      </c>
      <c r="E7" s="30" t="s">
        <v>117</v>
      </c>
      <c r="F7" s="31" t="s">
        <v>997</v>
      </c>
      <c r="G7" s="30" t="s">
        <v>505</v>
      </c>
      <c r="H7" s="30" t="s">
        <v>1575</v>
      </c>
      <c r="I7" s="31" t="s">
        <v>419</v>
      </c>
      <c r="J7" s="33" t="s">
        <v>1586</v>
      </c>
      <c r="K7" s="32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9.21</v>
      </c>
      <c r="L7" s="30"/>
      <c r="M7" s="30"/>
      <c r="N7" s="30"/>
      <c r="O7" s="30" t="s">
        <v>123</v>
      </c>
      <c r="P7" s="31"/>
    </row>
    <row r="8" customFormat="false" ht="25.5" hidden="false" customHeight="true" outlineLevel="0" collapsed="false">
      <c r="A8" s="30" t="n">
        <v>663</v>
      </c>
      <c r="B8" s="30" t="n">
        <v>7</v>
      </c>
      <c r="C8" s="30" t="s">
        <v>115</v>
      </c>
      <c r="D8" s="31" t="s">
        <v>1587</v>
      </c>
      <c r="E8" s="30" t="s">
        <v>117</v>
      </c>
      <c r="F8" s="31" t="s">
        <v>1588</v>
      </c>
      <c r="G8" s="30" t="s">
        <v>505</v>
      </c>
      <c r="H8" s="30" t="s">
        <v>1575</v>
      </c>
      <c r="I8" s="31" t="s">
        <v>419</v>
      </c>
      <c r="J8" s="31" t="s">
        <v>1589</v>
      </c>
      <c r="K8" s="32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8.33</v>
      </c>
      <c r="L8" s="30"/>
      <c r="M8" s="30"/>
      <c r="N8" s="30"/>
      <c r="O8" s="30" t="s">
        <v>123</v>
      </c>
      <c r="P8" s="31"/>
    </row>
    <row r="9" customFormat="false" ht="25.5" hidden="false" customHeight="true" outlineLevel="0" collapsed="false">
      <c r="A9" s="30" t="n">
        <v>664</v>
      </c>
      <c r="B9" s="30" t="n">
        <v>7</v>
      </c>
      <c r="C9" s="30" t="s">
        <v>125</v>
      </c>
      <c r="D9" s="33" t="s">
        <v>1590</v>
      </c>
      <c r="E9" s="30" t="s">
        <v>117</v>
      </c>
      <c r="F9" s="31" t="s">
        <v>1514</v>
      </c>
      <c r="G9" s="30" t="s">
        <v>505</v>
      </c>
      <c r="H9" s="30" t="s">
        <v>1575</v>
      </c>
      <c r="I9" s="31" t="s">
        <v>419</v>
      </c>
      <c r="J9" s="33" t="s">
        <v>1591</v>
      </c>
      <c r="K9" s="32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8.02</v>
      </c>
      <c r="L9" s="30"/>
      <c r="M9" s="30"/>
      <c r="N9" s="30"/>
      <c r="O9" s="30" t="s">
        <v>123</v>
      </c>
      <c r="P9" s="31"/>
    </row>
    <row r="10" customFormat="false" ht="25.5" hidden="false" customHeight="true" outlineLevel="0" collapsed="false">
      <c r="A10" s="30" t="n">
        <v>665</v>
      </c>
      <c r="B10" s="30" t="n">
        <v>7</v>
      </c>
      <c r="C10" s="30" t="s">
        <v>115</v>
      </c>
      <c r="D10" s="31" t="s">
        <v>1592</v>
      </c>
      <c r="E10" s="30" t="s">
        <v>117</v>
      </c>
      <c r="F10" s="31" t="s">
        <v>994</v>
      </c>
      <c r="G10" s="30" t="s">
        <v>505</v>
      </c>
      <c r="H10" s="30" t="s">
        <v>1575</v>
      </c>
      <c r="I10" s="31" t="s">
        <v>419</v>
      </c>
      <c r="J10" s="31" t="s">
        <v>1593</v>
      </c>
      <c r="K10" s="32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9.6</v>
      </c>
      <c r="L10" s="30"/>
      <c r="M10" s="30"/>
      <c r="N10" s="30"/>
      <c r="O10" s="30" t="s">
        <v>123</v>
      </c>
      <c r="P10" s="31"/>
    </row>
    <row r="11" customFormat="false" ht="25.5" hidden="false" customHeight="true" outlineLevel="0" collapsed="false">
      <c r="A11" s="30" t="n">
        <v>666</v>
      </c>
      <c r="B11" s="30" t="n">
        <v>7</v>
      </c>
      <c r="C11" s="30" t="s">
        <v>125</v>
      </c>
      <c r="D11" s="33" t="s">
        <v>1594</v>
      </c>
      <c r="E11" s="30" t="s">
        <v>117</v>
      </c>
      <c r="F11" s="31" t="s">
        <v>997</v>
      </c>
      <c r="G11" s="30" t="s">
        <v>505</v>
      </c>
      <c r="H11" s="30" t="s">
        <v>1575</v>
      </c>
      <c r="I11" s="31" t="s">
        <v>419</v>
      </c>
      <c r="J11" s="33" t="s">
        <v>1595</v>
      </c>
      <c r="K11" s="32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9.21</v>
      </c>
      <c r="L11" s="30"/>
      <c r="M11" s="30"/>
      <c r="N11" s="30"/>
      <c r="O11" s="30" t="s">
        <v>123</v>
      </c>
      <c r="P11" s="31"/>
    </row>
    <row r="12" customFormat="false" ht="25.5" hidden="false" customHeight="true" outlineLevel="0" collapsed="false">
      <c r="A12" s="30" t="n">
        <v>667</v>
      </c>
      <c r="B12" s="30" t="n">
        <v>7</v>
      </c>
      <c r="C12" s="30" t="s">
        <v>115</v>
      </c>
      <c r="D12" s="31" t="s">
        <v>1596</v>
      </c>
      <c r="E12" s="30" t="s">
        <v>117</v>
      </c>
      <c r="F12" s="31" t="s">
        <v>994</v>
      </c>
      <c r="G12" s="30" t="s">
        <v>505</v>
      </c>
      <c r="H12" s="30" t="s">
        <v>1575</v>
      </c>
      <c r="I12" s="31" t="s">
        <v>419</v>
      </c>
      <c r="J12" s="31" t="s">
        <v>1597</v>
      </c>
      <c r="K12" s="32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9.6</v>
      </c>
      <c r="L12" s="30"/>
      <c r="M12" s="30"/>
      <c r="N12" s="30"/>
      <c r="O12" s="30" t="s">
        <v>123</v>
      </c>
      <c r="P12" s="31"/>
    </row>
    <row r="13" customFormat="false" ht="25.5" hidden="false" customHeight="true" outlineLevel="0" collapsed="false">
      <c r="A13" s="30" t="n">
        <v>668</v>
      </c>
      <c r="B13" s="30" t="n">
        <v>7</v>
      </c>
      <c r="C13" s="30" t="s">
        <v>125</v>
      </c>
      <c r="D13" s="33" t="s">
        <v>1598</v>
      </c>
      <c r="E13" s="30" t="s">
        <v>117</v>
      </c>
      <c r="F13" s="31" t="s">
        <v>997</v>
      </c>
      <c r="G13" s="30" t="s">
        <v>505</v>
      </c>
      <c r="H13" s="30" t="s">
        <v>1575</v>
      </c>
      <c r="I13" s="31" t="s">
        <v>419</v>
      </c>
      <c r="J13" s="33" t="s">
        <v>1599</v>
      </c>
      <c r="K13" s="32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9.21</v>
      </c>
      <c r="L13" s="30"/>
      <c r="M13" s="30"/>
      <c r="N13" s="30"/>
      <c r="O13" s="30" t="s">
        <v>123</v>
      </c>
      <c r="P13" s="31"/>
    </row>
    <row r="14" customFormat="false" ht="25.5" hidden="false" customHeight="true" outlineLevel="0" collapsed="false">
      <c r="A14" s="30" t="n">
        <v>669</v>
      </c>
      <c r="B14" s="30" t="n">
        <v>7</v>
      </c>
      <c r="C14" s="30" t="s">
        <v>115</v>
      </c>
      <c r="D14" s="31" t="s">
        <v>1600</v>
      </c>
      <c r="E14" s="30" t="s">
        <v>117</v>
      </c>
      <c r="F14" s="31" t="s">
        <v>1588</v>
      </c>
      <c r="G14" s="30" t="s">
        <v>505</v>
      </c>
      <c r="H14" s="30" t="s">
        <v>1575</v>
      </c>
      <c r="I14" s="31" t="s">
        <v>419</v>
      </c>
      <c r="J14" s="31" t="s">
        <v>1601</v>
      </c>
      <c r="K14" s="32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8.33</v>
      </c>
      <c r="L14" s="30"/>
      <c r="M14" s="30"/>
      <c r="N14" s="30"/>
      <c r="O14" s="30" t="s">
        <v>123</v>
      </c>
      <c r="P14" s="31"/>
    </row>
    <row r="15" customFormat="false" ht="25.5" hidden="false" customHeight="true" outlineLevel="0" collapsed="false">
      <c r="A15" s="30" t="n">
        <v>670</v>
      </c>
      <c r="B15" s="30" t="n">
        <v>7</v>
      </c>
      <c r="C15" s="30" t="s">
        <v>125</v>
      </c>
      <c r="D15" s="33" t="s">
        <v>1602</v>
      </c>
      <c r="E15" s="30" t="s">
        <v>117</v>
      </c>
      <c r="F15" s="31" t="s">
        <v>1514</v>
      </c>
      <c r="G15" s="30" t="s">
        <v>505</v>
      </c>
      <c r="H15" s="30" t="s">
        <v>1575</v>
      </c>
      <c r="I15" s="31" t="s">
        <v>419</v>
      </c>
      <c r="J15" s="33" t="s">
        <v>1603</v>
      </c>
      <c r="K15" s="32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8.02</v>
      </c>
      <c r="L15" s="30"/>
      <c r="M15" s="30"/>
      <c r="N15" s="30"/>
      <c r="O15" s="30" t="s">
        <v>123</v>
      </c>
      <c r="P15" s="31"/>
    </row>
    <row r="16" customFormat="false" ht="25.5" hidden="false" customHeight="true" outlineLevel="0" collapsed="false">
      <c r="A16" s="30" t="n">
        <v>671</v>
      </c>
      <c r="B16" s="30" t="n">
        <v>7</v>
      </c>
      <c r="C16" s="30" t="s">
        <v>115</v>
      </c>
      <c r="D16" s="31" t="s">
        <v>1604</v>
      </c>
      <c r="E16" s="30" t="s">
        <v>117</v>
      </c>
      <c r="F16" s="31" t="s">
        <v>1588</v>
      </c>
      <c r="G16" s="30" t="s">
        <v>505</v>
      </c>
      <c r="H16" s="30" t="s">
        <v>1575</v>
      </c>
      <c r="I16" s="31" t="s">
        <v>419</v>
      </c>
      <c r="J16" s="31" t="s">
        <v>1605</v>
      </c>
      <c r="K16" s="32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8.33</v>
      </c>
      <c r="L16" s="30"/>
      <c r="M16" s="30"/>
      <c r="N16" s="30"/>
      <c r="O16" s="30" t="s">
        <v>123</v>
      </c>
      <c r="P16" s="31"/>
    </row>
    <row r="17" customFormat="false" ht="25.5" hidden="false" customHeight="true" outlineLevel="0" collapsed="false">
      <c r="A17" s="30" t="n">
        <v>672</v>
      </c>
      <c r="B17" s="30" t="n">
        <v>7</v>
      </c>
      <c r="C17" s="30" t="s">
        <v>125</v>
      </c>
      <c r="D17" s="33" t="s">
        <v>1606</v>
      </c>
      <c r="E17" s="30" t="s">
        <v>117</v>
      </c>
      <c r="F17" s="31" t="s">
        <v>1514</v>
      </c>
      <c r="G17" s="30" t="s">
        <v>505</v>
      </c>
      <c r="H17" s="30" t="s">
        <v>1575</v>
      </c>
      <c r="I17" s="31" t="s">
        <v>419</v>
      </c>
      <c r="J17" s="33" t="s">
        <v>1607</v>
      </c>
      <c r="K17" s="32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8.02</v>
      </c>
      <c r="L17" s="30"/>
      <c r="M17" s="30"/>
      <c r="N17" s="30"/>
      <c r="O17" s="30" t="s">
        <v>123</v>
      </c>
      <c r="P17" s="31"/>
    </row>
    <row r="18" customFormat="false" ht="25.5" hidden="false" customHeight="true" outlineLevel="0" collapsed="false">
      <c r="A18" s="30" t="n">
        <v>673</v>
      </c>
      <c r="B18" s="30" t="n">
        <v>7</v>
      </c>
      <c r="C18" s="30" t="s">
        <v>115</v>
      </c>
      <c r="D18" s="31" t="s">
        <v>1608</v>
      </c>
      <c r="E18" s="30" t="s">
        <v>117</v>
      </c>
      <c r="F18" s="31" t="s">
        <v>994</v>
      </c>
      <c r="G18" s="30" t="s">
        <v>505</v>
      </c>
      <c r="H18" s="30" t="s">
        <v>1575</v>
      </c>
      <c r="I18" s="31" t="s">
        <v>419</v>
      </c>
      <c r="J18" s="31" t="s">
        <v>1609</v>
      </c>
      <c r="K18" s="32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9.6</v>
      </c>
      <c r="L18" s="30"/>
      <c r="M18" s="30"/>
      <c r="N18" s="30"/>
      <c r="O18" s="30" t="s">
        <v>123</v>
      </c>
      <c r="P18" s="31"/>
    </row>
    <row r="19" customFormat="false" ht="25.5" hidden="false" customHeight="true" outlineLevel="0" collapsed="false">
      <c r="A19" s="30" t="n">
        <v>674</v>
      </c>
      <c r="B19" s="30" t="n">
        <v>7</v>
      </c>
      <c r="C19" s="30" t="s">
        <v>125</v>
      </c>
      <c r="D19" s="33" t="s">
        <v>1610</v>
      </c>
      <c r="E19" s="30" t="s">
        <v>117</v>
      </c>
      <c r="F19" s="31" t="s">
        <v>997</v>
      </c>
      <c r="G19" s="30" t="s">
        <v>505</v>
      </c>
      <c r="H19" s="30" t="s">
        <v>1575</v>
      </c>
      <c r="I19" s="31" t="s">
        <v>419</v>
      </c>
      <c r="J19" s="33" t="s">
        <v>1611</v>
      </c>
      <c r="K19" s="32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9.21</v>
      </c>
      <c r="L19" s="30"/>
      <c r="M19" s="30"/>
      <c r="N19" s="30"/>
      <c r="O19" s="30" t="s">
        <v>123</v>
      </c>
      <c r="P19" s="31"/>
    </row>
    <row r="20" customFormat="false" ht="25.5" hidden="false" customHeight="true" outlineLevel="0" collapsed="false">
      <c r="A20" s="30" t="n">
        <v>675</v>
      </c>
      <c r="B20" s="30" t="n">
        <v>7</v>
      </c>
      <c r="C20" s="30" t="s">
        <v>115</v>
      </c>
      <c r="D20" s="31" t="s">
        <v>1612</v>
      </c>
      <c r="E20" s="30" t="s">
        <v>117</v>
      </c>
      <c r="F20" s="31" t="s">
        <v>136</v>
      </c>
      <c r="G20" s="30" t="s">
        <v>505</v>
      </c>
      <c r="H20" s="30" t="s">
        <v>1575</v>
      </c>
      <c r="I20" s="31" t="s">
        <v>403</v>
      </c>
      <c r="J20" s="31" t="s">
        <v>1613</v>
      </c>
      <c r="K20" s="32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10.41</v>
      </c>
      <c r="L20" s="30"/>
      <c r="M20" s="30"/>
      <c r="N20" s="30"/>
      <c r="O20" s="30" t="s">
        <v>123</v>
      </c>
      <c r="P20" s="31"/>
    </row>
    <row r="21" customFormat="false" ht="25.5" hidden="false" customHeight="true" outlineLevel="0" collapsed="false">
      <c r="A21" s="30" t="n">
        <v>676</v>
      </c>
      <c r="B21" s="30" t="n">
        <v>7</v>
      </c>
      <c r="C21" s="30" t="s">
        <v>125</v>
      </c>
      <c r="D21" s="33" t="s">
        <v>1614</v>
      </c>
      <c r="E21" s="30" t="s">
        <v>117</v>
      </c>
      <c r="F21" s="31" t="s">
        <v>141</v>
      </c>
      <c r="G21" s="30" t="s">
        <v>505</v>
      </c>
      <c r="H21" s="30" t="s">
        <v>1575</v>
      </c>
      <c r="I21" s="31" t="s">
        <v>403</v>
      </c>
      <c r="J21" s="33" t="s">
        <v>1615</v>
      </c>
      <c r="K21" s="32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10.18</v>
      </c>
      <c r="L21" s="30"/>
      <c r="M21" s="30"/>
      <c r="N21" s="30"/>
      <c r="O21" s="30" t="s">
        <v>123</v>
      </c>
      <c r="P21" s="31"/>
    </row>
    <row r="22" customFormat="false" ht="25.5" hidden="false" customHeight="true" outlineLevel="0" collapsed="false">
      <c r="A22" s="30" t="n">
        <v>677</v>
      </c>
      <c r="B22" s="30" t="n">
        <v>7</v>
      </c>
      <c r="C22" s="30" t="s">
        <v>115</v>
      </c>
      <c r="D22" s="31" t="s">
        <v>1616</v>
      </c>
      <c r="E22" s="30" t="s">
        <v>117</v>
      </c>
      <c r="F22" s="31" t="s">
        <v>136</v>
      </c>
      <c r="G22" s="30" t="s">
        <v>505</v>
      </c>
      <c r="H22" s="30" t="s">
        <v>1575</v>
      </c>
      <c r="I22" s="31" t="s">
        <v>403</v>
      </c>
      <c r="J22" s="31" t="s">
        <v>1617</v>
      </c>
      <c r="K22" s="32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10.41</v>
      </c>
      <c r="L22" s="30"/>
      <c r="M22" s="30"/>
      <c r="N22" s="30"/>
      <c r="O22" s="30" t="s">
        <v>123</v>
      </c>
      <c r="P22" s="31"/>
    </row>
    <row r="23" customFormat="false" ht="25.5" hidden="false" customHeight="true" outlineLevel="0" collapsed="false">
      <c r="A23" s="30" t="n">
        <v>678</v>
      </c>
      <c r="B23" s="30" t="n">
        <v>7</v>
      </c>
      <c r="C23" s="30" t="s">
        <v>125</v>
      </c>
      <c r="D23" s="33" t="s">
        <v>1618</v>
      </c>
      <c r="E23" s="30" t="s">
        <v>117</v>
      </c>
      <c r="F23" s="31" t="s">
        <v>141</v>
      </c>
      <c r="G23" s="30" t="s">
        <v>505</v>
      </c>
      <c r="H23" s="30" t="s">
        <v>1575</v>
      </c>
      <c r="I23" s="31" t="s">
        <v>403</v>
      </c>
      <c r="J23" s="33" t="s">
        <v>1619</v>
      </c>
      <c r="K23" s="32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10.18</v>
      </c>
      <c r="L23" s="30"/>
      <c r="M23" s="30"/>
      <c r="N23" s="30"/>
      <c r="O23" s="30" t="s">
        <v>123</v>
      </c>
      <c r="P23" s="31"/>
    </row>
    <row r="24" customFormat="false" ht="25.5" hidden="false" customHeight="true" outlineLevel="0" collapsed="false">
      <c r="A24" s="30" t="n">
        <v>679</v>
      </c>
      <c r="B24" s="30" t="n">
        <v>7</v>
      </c>
      <c r="C24" s="30" t="s">
        <v>115</v>
      </c>
      <c r="D24" s="31" t="s">
        <v>1620</v>
      </c>
      <c r="E24" s="30" t="s">
        <v>117</v>
      </c>
      <c r="F24" s="31" t="s">
        <v>994</v>
      </c>
      <c r="G24" s="30" t="s">
        <v>505</v>
      </c>
      <c r="H24" s="30" t="s">
        <v>1575</v>
      </c>
      <c r="I24" s="31" t="s">
        <v>403</v>
      </c>
      <c r="J24" s="31" t="s">
        <v>1621</v>
      </c>
      <c r="K24" s="32" t="n">
        <f aca="false">ROUND((IF(E24="Transactional",5,IF(E24="Commercial",4,IF(E24="Comparison",3,IF(E24="Informational",2,3))))*LOG10(IF(ISNUMBER(L24),L24,IFERROR(VALUE(LEFT(F24,FIND("-",F24)-1)),100))+1))/IF(IF(ISBLANK(M24),G24,M24)="High",5,IF(IF(ISBLANK(M24),G24,M24)="Medium",3,1)),2)</f>
        <v>9.6</v>
      </c>
      <c r="L24" s="30"/>
      <c r="M24" s="30"/>
      <c r="N24" s="30"/>
      <c r="O24" s="30" t="s">
        <v>123</v>
      </c>
      <c r="P24" s="31"/>
    </row>
    <row r="25" customFormat="false" ht="25.5" hidden="false" customHeight="true" outlineLevel="0" collapsed="false">
      <c r="A25" s="30" t="n">
        <v>680</v>
      </c>
      <c r="B25" s="30" t="n">
        <v>7</v>
      </c>
      <c r="C25" s="30" t="s">
        <v>125</v>
      </c>
      <c r="D25" s="33" t="s">
        <v>1622</v>
      </c>
      <c r="E25" s="30" t="s">
        <v>117</v>
      </c>
      <c r="F25" s="31" t="s">
        <v>997</v>
      </c>
      <c r="G25" s="30" t="s">
        <v>505</v>
      </c>
      <c r="H25" s="30" t="s">
        <v>1575</v>
      </c>
      <c r="I25" s="31" t="s">
        <v>403</v>
      </c>
      <c r="J25" s="33" t="s">
        <v>1623</v>
      </c>
      <c r="K25" s="32" t="n">
        <f aca="false">ROUND((IF(E25="Transactional",5,IF(E25="Commercial",4,IF(E25="Comparison",3,IF(E25="Informational",2,3))))*LOG10(IF(ISNUMBER(L25),L25,IFERROR(VALUE(LEFT(F25,FIND("-",F25)-1)),100))+1))/IF(IF(ISBLANK(M25),G25,M25)="High",5,IF(IF(ISBLANK(M25),G25,M25)="Medium",3,1)),2)</f>
        <v>9.21</v>
      </c>
      <c r="L25" s="30"/>
      <c r="M25" s="30"/>
      <c r="N25" s="30"/>
      <c r="O25" s="30" t="s">
        <v>123</v>
      </c>
      <c r="P25" s="31"/>
    </row>
    <row r="26" customFormat="false" ht="25.5" hidden="false" customHeight="true" outlineLevel="0" collapsed="false">
      <c r="A26" s="30" t="n">
        <v>681</v>
      </c>
      <c r="B26" s="30" t="n">
        <v>7</v>
      </c>
      <c r="C26" s="30" t="s">
        <v>115</v>
      </c>
      <c r="D26" s="31" t="s">
        <v>1624</v>
      </c>
      <c r="E26" s="30" t="s">
        <v>1158</v>
      </c>
      <c r="F26" s="31" t="s">
        <v>994</v>
      </c>
      <c r="G26" s="30" t="s">
        <v>505</v>
      </c>
      <c r="H26" s="30" t="s">
        <v>1575</v>
      </c>
      <c r="I26" s="31" t="s">
        <v>403</v>
      </c>
      <c r="J26" s="31" t="s">
        <v>1625</v>
      </c>
      <c r="K26" s="32" t="n">
        <f aca="false">ROUND((IF(E26="Transactional",5,IF(E26="Commercial",4,IF(E26="Comparison",3,IF(E26="Informational",2,3))))*LOG10(IF(ISNUMBER(L26),L26,IFERROR(VALUE(LEFT(F26,FIND("-",F26)-1)),100))+1))/IF(IF(ISBLANK(M26),G26,M26)="High",5,IF(IF(ISBLANK(M26),G26,M26)="Medium",3,1)),2)</f>
        <v>4.8</v>
      </c>
      <c r="L26" s="30"/>
      <c r="M26" s="30"/>
      <c r="N26" s="30"/>
      <c r="O26" s="30" t="s">
        <v>123</v>
      </c>
      <c r="P26" s="31"/>
    </row>
    <row r="27" customFormat="false" ht="25.5" hidden="false" customHeight="true" outlineLevel="0" collapsed="false">
      <c r="A27" s="30" t="n">
        <v>682</v>
      </c>
      <c r="B27" s="30" t="n">
        <v>7</v>
      </c>
      <c r="C27" s="30" t="s">
        <v>125</v>
      </c>
      <c r="D27" s="33" t="s">
        <v>1626</v>
      </c>
      <c r="E27" s="30" t="s">
        <v>1158</v>
      </c>
      <c r="F27" s="31" t="s">
        <v>997</v>
      </c>
      <c r="G27" s="30" t="s">
        <v>505</v>
      </c>
      <c r="H27" s="30" t="s">
        <v>1575</v>
      </c>
      <c r="I27" s="31" t="s">
        <v>403</v>
      </c>
      <c r="J27" s="33" t="s">
        <v>1627</v>
      </c>
      <c r="K27" s="32" t="n">
        <f aca="false">ROUND((IF(E27="Transactional",5,IF(E27="Commercial",4,IF(E27="Comparison",3,IF(E27="Informational",2,3))))*LOG10(IF(ISNUMBER(L27),L27,IFERROR(VALUE(LEFT(F27,FIND("-",F27)-1)),100))+1))/IF(IF(ISBLANK(M27),G27,M27)="High",5,IF(IF(ISBLANK(M27),G27,M27)="Medium",3,1)),2)</f>
        <v>4.61</v>
      </c>
      <c r="L27" s="30"/>
      <c r="M27" s="30"/>
      <c r="N27" s="30"/>
      <c r="O27" s="30" t="s">
        <v>123</v>
      </c>
      <c r="P27" s="31"/>
    </row>
    <row r="28" customFormat="false" ht="25.5" hidden="false" customHeight="true" outlineLevel="0" collapsed="false">
      <c r="A28" s="30" t="n">
        <v>683</v>
      </c>
      <c r="B28" s="30" t="n">
        <v>7</v>
      </c>
      <c r="C28" s="30" t="s">
        <v>115</v>
      </c>
      <c r="D28" s="31" t="s">
        <v>1628</v>
      </c>
      <c r="E28" s="30" t="s">
        <v>1158</v>
      </c>
      <c r="F28" s="31" t="s">
        <v>136</v>
      </c>
      <c r="G28" s="30" t="s">
        <v>505</v>
      </c>
      <c r="H28" s="30" t="s">
        <v>1575</v>
      </c>
      <c r="I28" s="31" t="s">
        <v>403</v>
      </c>
      <c r="J28" s="31" t="s">
        <v>1629</v>
      </c>
      <c r="K28" s="32" t="n">
        <f aca="false">ROUND((IF(E28="Transactional",5,IF(E28="Commercial",4,IF(E28="Comparison",3,IF(E28="Informational",2,3))))*LOG10(IF(ISNUMBER(L28),L28,IFERROR(VALUE(LEFT(F28,FIND("-",F28)-1)),100))+1))/IF(IF(ISBLANK(M28),G28,M28)="High",5,IF(IF(ISBLANK(M28),G28,M28)="Medium",3,1)),2)</f>
        <v>5.21</v>
      </c>
      <c r="L28" s="30"/>
      <c r="M28" s="30"/>
      <c r="N28" s="30"/>
      <c r="O28" s="30" t="s">
        <v>123</v>
      </c>
      <c r="P28" s="31"/>
    </row>
    <row r="29" customFormat="false" ht="25.5" hidden="false" customHeight="true" outlineLevel="0" collapsed="false">
      <c r="A29" s="30" t="n">
        <v>684</v>
      </c>
      <c r="B29" s="30" t="n">
        <v>7</v>
      </c>
      <c r="C29" s="30" t="s">
        <v>125</v>
      </c>
      <c r="D29" s="33" t="s">
        <v>1630</v>
      </c>
      <c r="E29" s="30" t="s">
        <v>1158</v>
      </c>
      <c r="F29" s="31" t="s">
        <v>141</v>
      </c>
      <c r="G29" s="30" t="s">
        <v>505</v>
      </c>
      <c r="H29" s="30" t="s">
        <v>1575</v>
      </c>
      <c r="I29" s="31" t="s">
        <v>403</v>
      </c>
      <c r="J29" s="33" t="s">
        <v>1631</v>
      </c>
      <c r="K29" s="32" t="n">
        <f aca="false">ROUND((IF(E29="Transactional",5,IF(E29="Commercial",4,IF(E29="Comparison",3,IF(E29="Informational",2,3))))*LOG10(IF(ISNUMBER(L29),L29,IFERROR(VALUE(LEFT(F29,FIND("-",F29)-1)),100))+1))/IF(IF(ISBLANK(M29),G29,M29)="High",5,IF(IF(ISBLANK(M29),G29,M29)="Medium",3,1)),2)</f>
        <v>5.09</v>
      </c>
      <c r="L29" s="30"/>
      <c r="M29" s="30"/>
      <c r="N29" s="30"/>
      <c r="O29" s="30" t="s">
        <v>123</v>
      </c>
      <c r="P29" s="31"/>
    </row>
    <row r="30" customFormat="false" ht="25.5" hidden="false" customHeight="true" outlineLevel="0" collapsed="false">
      <c r="A30" s="30" t="n">
        <v>685</v>
      </c>
      <c r="B30" s="30" t="n">
        <v>7</v>
      </c>
      <c r="C30" s="30" t="s">
        <v>115</v>
      </c>
      <c r="D30" s="31" t="s">
        <v>1632</v>
      </c>
      <c r="E30" s="30" t="s">
        <v>117</v>
      </c>
      <c r="F30" s="31" t="s">
        <v>994</v>
      </c>
      <c r="G30" s="30" t="s">
        <v>505</v>
      </c>
      <c r="H30" s="30" t="s">
        <v>1575</v>
      </c>
      <c r="I30" s="31" t="s">
        <v>403</v>
      </c>
      <c r="J30" s="31" t="s">
        <v>1633</v>
      </c>
      <c r="K30" s="32" t="n">
        <f aca="false">ROUND((IF(E30="Transactional",5,IF(E30="Commercial",4,IF(E30="Comparison",3,IF(E30="Informational",2,3))))*LOG10(IF(ISNUMBER(L30),L30,IFERROR(VALUE(LEFT(F30,FIND("-",F30)-1)),100))+1))/IF(IF(ISBLANK(M30),G30,M30)="High",5,IF(IF(ISBLANK(M30),G30,M30)="Medium",3,1)),2)</f>
        <v>9.6</v>
      </c>
      <c r="L30" s="30"/>
      <c r="M30" s="30"/>
      <c r="N30" s="30"/>
      <c r="O30" s="30" t="s">
        <v>123</v>
      </c>
      <c r="P30" s="31"/>
    </row>
    <row r="31" customFormat="false" ht="25.5" hidden="false" customHeight="true" outlineLevel="0" collapsed="false">
      <c r="A31" s="30" t="n">
        <v>686</v>
      </c>
      <c r="B31" s="30" t="n">
        <v>7</v>
      </c>
      <c r="C31" s="30" t="s">
        <v>125</v>
      </c>
      <c r="D31" s="33" t="s">
        <v>1634</v>
      </c>
      <c r="E31" s="30" t="s">
        <v>117</v>
      </c>
      <c r="F31" s="31" t="s">
        <v>997</v>
      </c>
      <c r="G31" s="30" t="s">
        <v>505</v>
      </c>
      <c r="H31" s="30" t="s">
        <v>1575</v>
      </c>
      <c r="I31" s="31" t="s">
        <v>403</v>
      </c>
      <c r="J31" s="33" t="s">
        <v>1635</v>
      </c>
      <c r="K31" s="32" t="n">
        <f aca="false">ROUND((IF(E31="Transactional",5,IF(E31="Commercial",4,IF(E31="Comparison",3,IF(E31="Informational",2,3))))*LOG10(IF(ISNUMBER(L31),L31,IFERROR(VALUE(LEFT(F31,FIND("-",F31)-1)),100))+1))/IF(IF(ISBLANK(M31),G31,M31)="High",5,IF(IF(ISBLANK(M31),G31,M31)="Medium",3,1)),2)</f>
        <v>9.21</v>
      </c>
      <c r="L31" s="30"/>
      <c r="M31" s="30"/>
      <c r="N31" s="30"/>
      <c r="O31" s="30" t="s">
        <v>123</v>
      </c>
      <c r="P31" s="31"/>
    </row>
    <row r="32" customFormat="false" ht="25.5" hidden="false" customHeight="true" outlineLevel="0" collapsed="false">
      <c r="A32" s="30" t="n">
        <v>687</v>
      </c>
      <c r="B32" s="30" t="n">
        <v>7</v>
      </c>
      <c r="C32" s="30" t="s">
        <v>115</v>
      </c>
      <c r="D32" s="31" t="s">
        <v>1636</v>
      </c>
      <c r="E32" s="30" t="s">
        <v>117</v>
      </c>
      <c r="F32" s="31" t="s">
        <v>994</v>
      </c>
      <c r="G32" s="30" t="s">
        <v>505</v>
      </c>
      <c r="H32" s="30" t="s">
        <v>1575</v>
      </c>
      <c r="I32" s="31" t="s">
        <v>403</v>
      </c>
      <c r="J32" s="31" t="s">
        <v>1637</v>
      </c>
      <c r="K32" s="32" t="n">
        <f aca="false">ROUND((IF(E32="Transactional",5,IF(E32="Commercial",4,IF(E32="Comparison",3,IF(E32="Informational",2,3))))*LOG10(IF(ISNUMBER(L32),L32,IFERROR(VALUE(LEFT(F32,FIND("-",F32)-1)),100))+1))/IF(IF(ISBLANK(M32),G32,M32)="High",5,IF(IF(ISBLANK(M32),G32,M32)="Medium",3,1)),2)</f>
        <v>9.6</v>
      </c>
      <c r="L32" s="30"/>
      <c r="M32" s="30"/>
      <c r="N32" s="30"/>
      <c r="O32" s="30" t="s">
        <v>123</v>
      </c>
      <c r="P32" s="31"/>
    </row>
    <row r="33" customFormat="false" ht="25.5" hidden="false" customHeight="true" outlineLevel="0" collapsed="false">
      <c r="A33" s="30" t="n">
        <v>688</v>
      </c>
      <c r="B33" s="30" t="n">
        <v>7</v>
      </c>
      <c r="C33" s="30" t="s">
        <v>125</v>
      </c>
      <c r="D33" s="33" t="s">
        <v>1638</v>
      </c>
      <c r="E33" s="30" t="s">
        <v>117</v>
      </c>
      <c r="F33" s="31" t="s">
        <v>997</v>
      </c>
      <c r="G33" s="30" t="s">
        <v>505</v>
      </c>
      <c r="H33" s="30" t="s">
        <v>1575</v>
      </c>
      <c r="I33" s="31" t="s">
        <v>403</v>
      </c>
      <c r="J33" s="33" t="s">
        <v>1639</v>
      </c>
      <c r="K33" s="32" t="n">
        <f aca="false">ROUND((IF(E33="Transactional",5,IF(E33="Commercial",4,IF(E33="Comparison",3,IF(E33="Informational",2,3))))*LOG10(IF(ISNUMBER(L33),L33,IFERROR(VALUE(LEFT(F33,FIND("-",F33)-1)),100))+1))/IF(IF(ISBLANK(M33),G33,M33)="High",5,IF(IF(ISBLANK(M33),G33,M33)="Medium",3,1)),2)</f>
        <v>9.21</v>
      </c>
      <c r="L33" s="30"/>
      <c r="M33" s="30"/>
      <c r="N33" s="30"/>
      <c r="O33" s="30" t="s">
        <v>123</v>
      </c>
      <c r="P33" s="31"/>
    </row>
    <row r="34" customFormat="false" ht="25.5" hidden="false" customHeight="true" outlineLevel="0" collapsed="false">
      <c r="A34" s="30" t="n">
        <v>689</v>
      </c>
      <c r="B34" s="30" t="n">
        <v>7</v>
      </c>
      <c r="C34" s="30" t="s">
        <v>115</v>
      </c>
      <c r="D34" s="31" t="s">
        <v>1640</v>
      </c>
      <c r="E34" s="30" t="s">
        <v>1158</v>
      </c>
      <c r="F34" s="31" t="s">
        <v>994</v>
      </c>
      <c r="G34" s="30" t="s">
        <v>505</v>
      </c>
      <c r="H34" s="30" t="s">
        <v>1575</v>
      </c>
      <c r="I34" s="31" t="s">
        <v>403</v>
      </c>
      <c r="J34" s="31" t="s">
        <v>1641</v>
      </c>
      <c r="K34" s="32" t="n">
        <f aca="false">ROUND((IF(E34="Transactional",5,IF(E34="Commercial",4,IF(E34="Comparison",3,IF(E34="Informational",2,3))))*LOG10(IF(ISNUMBER(L34),L34,IFERROR(VALUE(LEFT(F34,FIND("-",F34)-1)),100))+1))/IF(IF(ISBLANK(M34),G34,M34)="High",5,IF(IF(ISBLANK(M34),G34,M34)="Medium",3,1)),2)</f>
        <v>4.8</v>
      </c>
      <c r="L34" s="30"/>
      <c r="M34" s="30"/>
      <c r="N34" s="30"/>
      <c r="O34" s="30" t="s">
        <v>123</v>
      </c>
      <c r="P34" s="31"/>
    </row>
    <row r="35" customFormat="false" ht="25.5" hidden="false" customHeight="true" outlineLevel="0" collapsed="false">
      <c r="A35" s="30" t="n">
        <v>690</v>
      </c>
      <c r="B35" s="30" t="n">
        <v>7</v>
      </c>
      <c r="C35" s="30" t="s">
        <v>125</v>
      </c>
      <c r="D35" s="33" t="s">
        <v>1642</v>
      </c>
      <c r="E35" s="30" t="s">
        <v>1158</v>
      </c>
      <c r="F35" s="31" t="s">
        <v>997</v>
      </c>
      <c r="G35" s="30" t="s">
        <v>505</v>
      </c>
      <c r="H35" s="30" t="s">
        <v>1575</v>
      </c>
      <c r="I35" s="31" t="s">
        <v>403</v>
      </c>
      <c r="J35" s="33" t="s">
        <v>1643</v>
      </c>
      <c r="K35" s="32" t="n">
        <f aca="false">ROUND((IF(E35="Transactional",5,IF(E35="Commercial",4,IF(E35="Comparison",3,IF(E35="Informational",2,3))))*LOG10(IF(ISNUMBER(L35),L35,IFERROR(VALUE(LEFT(F35,FIND("-",F35)-1)),100))+1))/IF(IF(ISBLANK(M35),G35,M35)="High",5,IF(IF(ISBLANK(M35),G35,M35)="Medium",3,1)),2)</f>
        <v>4.61</v>
      </c>
      <c r="L35" s="30"/>
      <c r="M35" s="30"/>
      <c r="N35" s="30"/>
      <c r="O35" s="30" t="s">
        <v>123</v>
      </c>
      <c r="P35" s="31"/>
    </row>
    <row r="36" customFormat="false" ht="25.5" hidden="false" customHeight="true" outlineLevel="0" collapsed="false">
      <c r="A36" s="30" t="n">
        <v>691</v>
      </c>
      <c r="B36" s="30" t="n">
        <v>7</v>
      </c>
      <c r="C36" s="30" t="s">
        <v>115</v>
      </c>
      <c r="D36" s="31" t="s">
        <v>1644</v>
      </c>
      <c r="E36" s="30" t="s">
        <v>1158</v>
      </c>
      <c r="F36" s="31" t="s">
        <v>994</v>
      </c>
      <c r="G36" s="30" t="s">
        <v>505</v>
      </c>
      <c r="H36" s="30" t="s">
        <v>1575</v>
      </c>
      <c r="I36" s="31" t="s">
        <v>403</v>
      </c>
      <c r="J36" s="31" t="s">
        <v>1645</v>
      </c>
      <c r="K36" s="32" t="n">
        <f aca="false">ROUND((IF(E36="Transactional",5,IF(E36="Commercial",4,IF(E36="Comparison",3,IF(E36="Informational",2,3))))*LOG10(IF(ISNUMBER(L36),L36,IFERROR(VALUE(LEFT(F36,FIND("-",F36)-1)),100))+1))/IF(IF(ISBLANK(M36),G36,M36)="High",5,IF(IF(ISBLANK(M36),G36,M36)="Medium",3,1)),2)</f>
        <v>4.8</v>
      </c>
      <c r="L36" s="30"/>
      <c r="M36" s="30"/>
      <c r="N36" s="30"/>
      <c r="O36" s="30" t="s">
        <v>123</v>
      </c>
      <c r="P36" s="31"/>
    </row>
    <row r="37" customFormat="false" ht="25.5" hidden="false" customHeight="true" outlineLevel="0" collapsed="false">
      <c r="A37" s="30" t="n">
        <v>692</v>
      </c>
      <c r="B37" s="30" t="n">
        <v>7</v>
      </c>
      <c r="C37" s="30" t="s">
        <v>125</v>
      </c>
      <c r="D37" s="33" t="s">
        <v>1646</v>
      </c>
      <c r="E37" s="30" t="s">
        <v>1158</v>
      </c>
      <c r="F37" s="31" t="s">
        <v>997</v>
      </c>
      <c r="G37" s="30" t="s">
        <v>505</v>
      </c>
      <c r="H37" s="30" t="s">
        <v>1575</v>
      </c>
      <c r="I37" s="31" t="s">
        <v>403</v>
      </c>
      <c r="J37" s="33" t="s">
        <v>1647</v>
      </c>
      <c r="K37" s="32" t="n">
        <f aca="false">ROUND((IF(E37="Transactional",5,IF(E37="Commercial",4,IF(E37="Comparison",3,IF(E37="Informational",2,3))))*LOG10(IF(ISNUMBER(L37),L37,IFERROR(VALUE(LEFT(F37,FIND("-",F37)-1)),100))+1))/IF(IF(ISBLANK(M37),G37,M37)="High",5,IF(IF(ISBLANK(M37),G37,M37)="Medium",3,1)),2)</f>
        <v>4.61</v>
      </c>
      <c r="L37" s="30"/>
      <c r="M37" s="30"/>
      <c r="N37" s="30"/>
      <c r="O37" s="30" t="s">
        <v>123</v>
      </c>
      <c r="P37" s="31"/>
    </row>
    <row r="38" customFormat="false" ht="25.5" hidden="false" customHeight="true" outlineLevel="0" collapsed="false">
      <c r="A38" s="30" t="n">
        <v>693</v>
      </c>
      <c r="B38" s="30" t="n">
        <v>7</v>
      </c>
      <c r="C38" s="30" t="s">
        <v>115</v>
      </c>
      <c r="D38" s="31" t="s">
        <v>1648</v>
      </c>
      <c r="E38" s="30" t="s">
        <v>1158</v>
      </c>
      <c r="F38" s="31" t="s">
        <v>1588</v>
      </c>
      <c r="G38" s="30" t="s">
        <v>505</v>
      </c>
      <c r="H38" s="30" t="s">
        <v>1575</v>
      </c>
      <c r="I38" s="31" t="s">
        <v>403</v>
      </c>
      <c r="J38" s="31" t="s">
        <v>1649</v>
      </c>
      <c r="K38" s="32" t="n">
        <f aca="false">ROUND((IF(E38="Transactional",5,IF(E38="Commercial",4,IF(E38="Comparison",3,IF(E38="Informational",2,3))))*LOG10(IF(ISNUMBER(L38),L38,IFERROR(VALUE(LEFT(F38,FIND("-",F38)-1)),100))+1))/IF(IF(ISBLANK(M38),G38,M38)="High",5,IF(IF(ISBLANK(M38),G38,M38)="Medium",3,1)),2)</f>
        <v>4.17</v>
      </c>
      <c r="L38" s="30"/>
      <c r="M38" s="30"/>
      <c r="N38" s="30"/>
      <c r="O38" s="30" t="s">
        <v>123</v>
      </c>
      <c r="P38" s="31"/>
    </row>
    <row r="39" customFormat="false" ht="25.5" hidden="false" customHeight="true" outlineLevel="0" collapsed="false">
      <c r="A39" s="30" t="n">
        <v>694</v>
      </c>
      <c r="B39" s="30" t="n">
        <v>7</v>
      </c>
      <c r="C39" s="30" t="s">
        <v>125</v>
      </c>
      <c r="D39" s="33" t="s">
        <v>1650</v>
      </c>
      <c r="E39" s="30" t="s">
        <v>1158</v>
      </c>
      <c r="F39" s="31" t="s">
        <v>1514</v>
      </c>
      <c r="G39" s="30" t="s">
        <v>505</v>
      </c>
      <c r="H39" s="30" t="s">
        <v>1575</v>
      </c>
      <c r="I39" s="31" t="s">
        <v>403</v>
      </c>
      <c r="J39" s="33" t="s">
        <v>1651</v>
      </c>
      <c r="K39" s="32" t="n">
        <f aca="false">ROUND((IF(E39="Transactional",5,IF(E39="Commercial",4,IF(E39="Comparison",3,IF(E39="Informational",2,3))))*LOG10(IF(ISNUMBER(L39),L39,IFERROR(VALUE(LEFT(F39,FIND("-",F39)-1)),100))+1))/IF(IF(ISBLANK(M39),G39,M39)="High",5,IF(IF(ISBLANK(M39),G39,M39)="Medium",3,1)),2)</f>
        <v>4.01</v>
      </c>
      <c r="L39" s="30"/>
      <c r="M39" s="30"/>
      <c r="N39" s="30"/>
      <c r="O39" s="30" t="s">
        <v>123</v>
      </c>
      <c r="P39" s="31"/>
    </row>
    <row r="40" customFormat="false" ht="25.5" hidden="false" customHeight="true" outlineLevel="0" collapsed="false">
      <c r="A40" s="30" t="n">
        <v>695</v>
      </c>
      <c r="B40" s="30" t="n">
        <v>7</v>
      </c>
      <c r="C40" s="30" t="s">
        <v>115</v>
      </c>
      <c r="D40" s="31" t="s">
        <v>1652</v>
      </c>
      <c r="E40" s="30" t="s">
        <v>1158</v>
      </c>
      <c r="F40" s="31" t="s">
        <v>994</v>
      </c>
      <c r="G40" s="30" t="s">
        <v>505</v>
      </c>
      <c r="H40" s="30" t="s">
        <v>1575</v>
      </c>
      <c r="I40" s="31" t="s">
        <v>403</v>
      </c>
      <c r="J40" s="31" t="s">
        <v>1653</v>
      </c>
      <c r="K40" s="32" t="n">
        <f aca="false">ROUND((IF(E40="Transactional",5,IF(E40="Commercial",4,IF(E40="Comparison",3,IF(E40="Informational",2,3))))*LOG10(IF(ISNUMBER(L40),L40,IFERROR(VALUE(LEFT(F40,FIND("-",F40)-1)),100))+1))/IF(IF(ISBLANK(M40),G40,M40)="High",5,IF(IF(ISBLANK(M40),G40,M40)="Medium",3,1)),2)</f>
        <v>4.8</v>
      </c>
      <c r="L40" s="30"/>
      <c r="M40" s="30"/>
      <c r="N40" s="30"/>
      <c r="O40" s="30" t="s">
        <v>123</v>
      </c>
      <c r="P40" s="31"/>
    </row>
    <row r="41" customFormat="false" ht="25.5" hidden="false" customHeight="true" outlineLevel="0" collapsed="false">
      <c r="A41" s="30" t="n">
        <v>696</v>
      </c>
      <c r="B41" s="30" t="n">
        <v>7</v>
      </c>
      <c r="C41" s="30" t="s">
        <v>125</v>
      </c>
      <c r="D41" s="33" t="s">
        <v>1654</v>
      </c>
      <c r="E41" s="30" t="s">
        <v>1158</v>
      </c>
      <c r="F41" s="31" t="s">
        <v>997</v>
      </c>
      <c r="G41" s="30" t="s">
        <v>505</v>
      </c>
      <c r="H41" s="30" t="s">
        <v>1575</v>
      </c>
      <c r="I41" s="31" t="s">
        <v>403</v>
      </c>
      <c r="J41" s="33" t="s">
        <v>1655</v>
      </c>
      <c r="K41" s="32" t="n">
        <f aca="false">ROUND((IF(E41="Transactional",5,IF(E41="Commercial",4,IF(E41="Comparison",3,IF(E41="Informational",2,3))))*LOG10(IF(ISNUMBER(L41),L41,IFERROR(VALUE(LEFT(F41,FIND("-",F41)-1)),100))+1))/IF(IF(ISBLANK(M41),G41,M41)="High",5,IF(IF(ISBLANK(M41),G41,M41)="Medium",3,1)),2)</f>
        <v>4.61</v>
      </c>
      <c r="L41" s="30"/>
      <c r="M41" s="30"/>
      <c r="N41" s="30"/>
      <c r="O41" s="30" t="s">
        <v>123</v>
      </c>
      <c r="P41" s="31"/>
    </row>
    <row r="42" customFormat="false" ht="25.5" hidden="false" customHeight="true" outlineLevel="0" collapsed="false">
      <c r="A42" s="30" t="n">
        <v>697</v>
      </c>
      <c r="B42" s="30" t="n">
        <v>7</v>
      </c>
      <c r="C42" s="30" t="s">
        <v>115</v>
      </c>
      <c r="D42" s="31" t="s">
        <v>1656</v>
      </c>
      <c r="E42" s="30" t="s">
        <v>117</v>
      </c>
      <c r="F42" s="31" t="s">
        <v>994</v>
      </c>
      <c r="G42" s="30" t="s">
        <v>505</v>
      </c>
      <c r="H42" s="30" t="s">
        <v>1575</v>
      </c>
      <c r="I42" s="31" t="s">
        <v>1575</v>
      </c>
      <c r="J42" s="31" t="s">
        <v>1657</v>
      </c>
      <c r="K42" s="32" t="n">
        <f aca="false">ROUND((IF(E42="Transactional",5,IF(E42="Commercial",4,IF(E42="Comparison",3,IF(E42="Informational",2,3))))*LOG10(IF(ISNUMBER(L42),L42,IFERROR(VALUE(LEFT(F42,FIND("-",F42)-1)),100))+1))/IF(IF(ISBLANK(M42),G42,M42)="High",5,IF(IF(ISBLANK(M42),G42,M42)="Medium",3,1)),2)</f>
        <v>9.6</v>
      </c>
      <c r="L42" s="30"/>
      <c r="M42" s="30"/>
      <c r="N42" s="30"/>
      <c r="O42" s="30" t="s">
        <v>123</v>
      </c>
      <c r="P42" s="31"/>
    </row>
    <row r="43" customFormat="false" ht="25.5" hidden="false" customHeight="true" outlineLevel="0" collapsed="false">
      <c r="A43" s="30" t="n">
        <v>698</v>
      </c>
      <c r="B43" s="30" t="n">
        <v>7</v>
      </c>
      <c r="C43" s="30" t="s">
        <v>125</v>
      </c>
      <c r="D43" s="33" t="s">
        <v>1658</v>
      </c>
      <c r="E43" s="30" t="s">
        <v>117</v>
      </c>
      <c r="F43" s="31" t="s">
        <v>997</v>
      </c>
      <c r="G43" s="30" t="s">
        <v>505</v>
      </c>
      <c r="H43" s="30" t="s">
        <v>1575</v>
      </c>
      <c r="I43" s="31" t="s">
        <v>1575</v>
      </c>
      <c r="J43" s="33" t="s">
        <v>1659</v>
      </c>
      <c r="K43" s="32" t="n">
        <f aca="false">ROUND((IF(E43="Transactional",5,IF(E43="Commercial",4,IF(E43="Comparison",3,IF(E43="Informational",2,3))))*LOG10(IF(ISNUMBER(L43),L43,IFERROR(VALUE(LEFT(F43,FIND("-",F43)-1)),100))+1))/IF(IF(ISBLANK(M43),G43,M43)="High",5,IF(IF(ISBLANK(M43),G43,M43)="Medium",3,1)),2)</f>
        <v>9.21</v>
      </c>
      <c r="L43" s="30"/>
      <c r="M43" s="30"/>
      <c r="N43" s="30"/>
      <c r="O43" s="30" t="s">
        <v>123</v>
      </c>
      <c r="P43" s="31"/>
    </row>
    <row r="44" customFormat="false" ht="25.5" hidden="false" customHeight="true" outlineLevel="0" collapsed="false">
      <c r="A44" s="30" t="n">
        <v>699</v>
      </c>
      <c r="B44" s="30" t="n">
        <v>7</v>
      </c>
      <c r="C44" s="30" t="s">
        <v>115</v>
      </c>
      <c r="D44" s="31" t="s">
        <v>1660</v>
      </c>
      <c r="E44" s="30" t="s">
        <v>117</v>
      </c>
      <c r="F44" s="31" t="s">
        <v>994</v>
      </c>
      <c r="G44" s="30" t="s">
        <v>505</v>
      </c>
      <c r="H44" s="30" t="s">
        <v>1575</v>
      </c>
      <c r="I44" s="31" t="s">
        <v>1575</v>
      </c>
      <c r="J44" s="31" t="s">
        <v>1661</v>
      </c>
      <c r="K44" s="32" t="n">
        <f aca="false">ROUND((IF(E44="Transactional",5,IF(E44="Commercial",4,IF(E44="Comparison",3,IF(E44="Informational",2,3))))*LOG10(IF(ISNUMBER(L44),L44,IFERROR(VALUE(LEFT(F44,FIND("-",F44)-1)),100))+1))/IF(IF(ISBLANK(M44),G44,M44)="High",5,IF(IF(ISBLANK(M44),G44,M44)="Medium",3,1)),2)</f>
        <v>9.6</v>
      </c>
      <c r="L44" s="30"/>
      <c r="M44" s="30"/>
      <c r="N44" s="30"/>
      <c r="O44" s="30" t="s">
        <v>123</v>
      </c>
      <c r="P44" s="31"/>
    </row>
    <row r="45" customFormat="false" ht="25.5" hidden="false" customHeight="true" outlineLevel="0" collapsed="false">
      <c r="A45" s="30" t="n">
        <v>700</v>
      </c>
      <c r="B45" s="30" t="n">
        <v>7</v>
      </c>
      <c r="C45" s="30" t="s">
        <v>125</v>
      </c>
      <c r="D45" s="33" t="s">
        <v>1662</v>
      </c>
      <c r="E45" s="30" t="s">
        <v>117</v>
      </c>
      <c r="F45" s="31" t="s">
        <v>997</v>
      </c>
      <c r="G45" s="30" t="s">
        <v>505</v>
      </c>
      <c r="H45" s="30" t="s">
        <v>1575</v>
      </c>
      <c r="I45" s="31" t="s">
        <v>1575</v>
      </c>
      <c r="J45" s="33" t="s">
        <v>1663</v>
      </c>
      <c r="K45" s="32" t="n">
        <f aca="false">ROUND((IF(E45="Transactional",5,IF(E45="Commercial",4,IF(E45="Comparison",3,IF(E45="Informational",2,3))))*LOG10(IF(ISNUMBER(L45),L45,IFERROR(VALUE(LEFT(F45,FIND("-",F45)-1)),100))+1))/IF(IF(ISBLANK(M45),G45,M45)="High",5,IF(IF(ISBLANK(M45),G45,M45)="Medium",3,1)),2)</f>
        <v>9.21</v>
      </c>
      <c r="L45" s="30"/>
      <c r="M45" s="30"/>
      <c r="N45" s="30"/>
      <c r="O45" s="30" t="s">
        <v>123</v>
      </c>
      <c r="P45" s="31"/>
    </row>
    <row r="46" customFormat="false" ht="25.5" hidden="false" customHeight="true" outlineLevel="0" collapsed="false">
      <c r="A46" s="30" t="n">
        <v>701</v>
      </c>
      <c r="B46" s="30" t="n">
        <v>7</v>
      </c>
      <c r="C46" s="30" t="s">
        <v>115</v>
      </c>
      <c r="D46" s="31" t="s">
        <v>1664</v>
      </c>
      <c r="E46" s="30" t="s">
        <v>117</v>
      </c>
      <c r="F46" s="31" t="s">
        <v>1588</v>
      </c>
      <c r="G46" s="30" t="s">
        <v>505</v>
      </c>
      <c r="H46" s="30" t="s">
        <v>1575</v>
      </c>
      <c r="I46" s="31" t="s">
        <v>1575</v>
      </c>
      <c r="J46" s="31" t="s">
        <v>1665</v>
      </c>
      <c r="K46" s="32" t="n">
        <f aca="false">ROUND((IF(E46="Transactional",5,IF(E46="Commercial",4,IF(E46="Comparison",3,IF(E46="Informational",2,3))))*LOG10(IF(ISNUMBER(L46),L46,IFERROR(VALUE(LEFT(F46,FIND("-",F46)-1)),100))+1))/IF(IF(ISBLANK(M46),G46,M46)="High",5,IF(IF(ISBLANK(M46),G46,M46)="Medium",3,1)),2)</f>
        <v>8.33</v>
      </c>
      <c r="L46" s="30"/>
      <c r="M46" s="30"/>
      <c r="N46" s="30"/>
      <c r="O46" s="30" t="s">
        <v>123</v>
      </c>
      <c r="P46" s="31"/>
    </row>
    <row r="47" customFormat="false" ht="25.5" hidden="false" customHeight="true" outlineLevel="0" collapsed="false">
      <c r="A47" s="30" t="n">
        <v>702</v>
      </c>
      <c r="B47" s="30" t="n">
        <v>7</v>
      </c>
      <c r="C47" s="30" t="s">
        <v>125</v>
      </c>
      <c r="D47" s="33" t="s">
        <v>1666</v>
      </c>
      <c r="E47" s="30" t="s">
        <v>117</v>
      </c>
      <c r="F47" s="31" t="s">
        <v>1514</v>
      </c>
      <c r="G47" s="30" t="s">
        <v>505</v>
      </c>
      <c r="H47" s="30" t="s">
        <v>1575</v>
      </c>
      <c r="I47" s="31" t="s">
        <v>1575</v>
      </c>
      <c r="J47" s="33" t="s">
        <v>1667</v>
      </c>
      <c r="K47" s="32" t="n">
        <f aca="false">ROUND((IF(E47="Transactional",5,IF(E47="Commercial",4,IF(E47="Comparison",3,IF(E47="Informational",2,3))))*LOG10(IF(ISNUMBER(L47),L47,IFERROR(VALUE(LEFT(F47,FIND("-",F47)-1)),100))+1))/IF(IF(ISBLANK(M47),G47,M47)="High",5,IF(IF(ISBLANK(M47),G47,M47)="Medium",3,1)),2)</f>
        <v>8.02</v>
      </c>
      <c r="L47" s="30"/>
      <c r="M47" s="30"/>
      <c r="N47" s="30"/>
      <c r="O47" s="30" t="s">
        <v>123</v>
      </c>
      <c r="P47" s="31"/>
    </row>
    <row r="48" customFormat="false" ht="25.5" hidden="false" customHeight="true" outlineLevel="0" collapsed="false">
      <c r="A48" s="30" t="n">
        <v>703</v>
      </c>
      <c r="B48" s="30" t="n">
        <v>7</v>
      </c>
      <c r="C48" s="30" t="s">
        <v>115</v>
      </c>
      <c r="D48" s="31" t="s">
        <v>1668</v>
      </c>
      <c r="E48" s="30" t="s">
        <v>117</v>
      </c>
      <c r="F48" s="31" t="s">
        <v>1588</v>
      </c>
      <c r="G48" s="30" t="s">
        <v>505</v>
      </c>
      <c r="H48" s="30" t="s">
        <v>1575</v>
      </c>
      <c r="I48" s="31" t="s">
        <v>1575</v>
      </c>
      <c r="J48" s="31" t="s">
        <v>1669</v>
      </c>
      <c r="K48" s="32" t="n">
        <f aca="false">ROUND((IF(E48="Transactional",5,IF(E48="Commercial",4,IF(E48="Comparison",3,IF(E48="Informational",2,3))))*LOG10(IF(ISNUMBER(L48),L48,IFERROR(VALUE(LEFT(F48,FIND("-",F48)-1)),100))+1))/IF(IF(ISBLANK(M48),G48,M48)="High",5,IF(IF(ISBLANK(M48),G48,M48)="Medium",3,1)),2)</f>
        <v>8.33</v>
      </c>
      <c r="L48" s="30"/>
      <c r="M48" s="30"/>
      <c r="N48" s="30"/>
      <c r="O48" s="30" t="s">
        <v>123</v>
      </c>
      <c r="P48" s="31"/>
    </row>
    <row r="49" customFormat="false" ht="25.5" hidden="false" customHeight="true" outlineLevel="0" collapsed="false">
      <c r="A49" s="30" t="n">
        <v>704</v>
      </c>
      <c r="B49" s="30" t="n">
        <v>7</v>
      </c>
      <c r="C49" s="30" t="s">
        <v>125</v>
      </c>
      <c r="D49" s="33" t="s">
        <v>1670</v>
      </c>
      <c r="E49" s="30" t="s">
        <v>117</v>
      </c>
      <c r="F49" s="31" t="s">
        <v>1514</v>
      </c>
      <c r="G49" s="30" t="s">
        <v>505</v>
      </c>
      <c r="H49" s="30" t="s">
        <v>1575</v>
      </c>
      <c r="I49" s="31" t="s">
        <v>1575</v>
      </c>
      <c r="J49" s="33" t="s">
        <v>1671</v>
      </c>
      <c r="K49" s="32" t="n">
        <f aca="false">ROUND((IF(E49="Transactional",5,IF(E49="Commercial",4,IF(E49="Comparison",3,IF(E49="Informational",2,3))))*LOG10(IF(ISNUMBER(L49),L49,IFERROR(VALUE(LEFT(F49,FIND("-",F49)-1)),100))+1))/IF(IF(ISBLANK(M49),G49,M49)="High",5,IF(IF(ISBLANK(M49),G49,M49)="Medium",3,1)),2)</f>
        <v>8.02</v>
      </c>
      <c r="L49" s="30"/>
      <c r="M49" s="30"/>
      <c r="N49" s="30"/>
      <c r="O49" s="30" t="s">
        <v>123</v>
      </c>
      <c r="P49" s="31"/>
    </row>
    <row r="50" customFormat="false" ht="25.5" hidden="false" customHeight="true" outlineLevel="0" collapsed="false">
      <c r="A50" s="30" t="n">
        <v>705</v>
      </c>
      <c r="B50" s="30" t="n">
        <v>7</v>
      </c>
      <c r="C50" s="30" t="s">
        <v>115</v>
      </c>
      <c r="D50" s="31" t="s">
        <v>1672</v>
      </c>
      <c r="E50" s="30" t="s">
        <v>117</v>
      </c>
      <c r="F50" s="31" t="s">
        <v>1588</v>
      </c>
      <c r="G50" s="30" t="s">
        <v>505</v>
      </c>
      <c r="H50" s="30" t="s">
        <v>1575</v>
      </c>
      <c r="I50" s="31" t="s">
        <v>1575</v>
      </c>
      <c r="J50" s="31" t="s">
        <v>1673</v>
      </c>
      <c r="K50" s="32" t="n">
        <f aca="false">ROUND((IF(E50="Transactional",5,IF(E50="Commercial",4,IF(E50="Comparison",3,IF(E50="Informational",2,3))))*LOG10(IF(ISNUMBER(L50),L50,IFERROR(VALUE(LEFT(F50,FIND("-",F50)-1)),100))+1))/IF(IF(ISBLANK(M50),G50,M50)="High",5,IF(IF(ISBLANK(M50),G50,M50)="Medium",3,1)),2)</f>
        <v>8.33</v>
      </c>
      <c r="L50" s="30"/>
      <c r="M50" s="30"/>
      <c r="N50" s="30"/>
      <c r="O50" s="30" t="s">
        <v>123</v>
      </c>
      <c r="P50" s="31"/>
    </row>
    <row r="51" customFormat="false" ht="25.5" hidden="false" customHeight="true" outlineLevel="0" collapsed="false">
      <c r="A51" s="30" t="n">
        <v>706</v>
      </c>
      <c r="B51" s="30" t="n">
        <v>7</v>
      </c>
      <c r="C51" s="30" t="s">
        <v>125</v>
      </c>
      <c r="D51" s="33" t="s">
        <v>1674</v>
      </c>
      <c r="E51" s="30" t="s">
        <v>117</v>
      </c>
      <c r="F51" s="31" t="s">
        <v>1514</v>
      </c>
      <c r="G51" s="30" t="s">
        <v>505</v>
      </c>
      <c r="H51" s="30" t="s">
        <v>1575</v>
      </c>
      <c r="I51" s="31" t="s">
        <v>1575</v>
      </c>
      <c r="J51" s="33" t="s">
        <v>1675</v>
      </c>
      <c r="K51" s="32" t="n">
        <f aca="false">ROUND((IF(E51="Transactional",5,IF(E51="Commercial",4,IF(E51="Comparison",3,IF(E51="Informational",2,3))))*LOG10(IF(ISNUMBER(L51),L51,IFERROR(VALUE(LEFT(F51,FIND("-",F51)-1)),100))+1))/IF(IF(ISBLANK(M51),G51,M51)="High",5,IF(IF(ISBLANK(M51),G51,M51)="Medium",3,1)),2)</f>
        <v>8.02</v>
      </c>
      <c r="L51" s="30"/>
      <c r="M51" s="30"/>
      <c r="N51" s="30"/>
      <c r="O51" s="30" t="s">
        <v>123</v>
      </c>
      <c r="P51" s="31"/>
    </row>
  </sheetData>
  <conditionalFormatting sqref="K2:K51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51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51" type="list">
      <formula1>"EN,AR,FA"</formula1>
      <formula2>0</formula2>
    </dataValidation>
    <dataValidation allowBlank="true" errorStyle="stop" operator="between" showDropDown="false" showErrorMessage="false" showInputMessage="false" sqref="E2:E51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51 M2:M51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34" t="n">
        <v>707</v>
      </c>
      <c r="B2" s="34" t="n">
        <v>8</v>
      </c>
      <c r="C2" s="34" t="s">
        <v>115</v>
      </c>
      <c r="D2" s="35" t="s">
        <v>1676</v>
      </c>
      <c r="E2" s="34" t="s">
        <v>1101</v>
      </c>
      <c r="F2" s="35" t="s">
        <v>989</v>
      </c>
      <c r="G2" s="34" t="s">
        <v>505</v>
      </c>
      <c r="H2" s="34" t="s">
        <v>1677</v>
      </c>
      <c r="I2" s="35" t="s">
        <v>1678</v>
      </c>
      <c r="J2" s="35" t="s">
        <v>1679</v>
      </c>
      <c r="K2" s="36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12.39</v>
      </c>
      <c r="L2" s="34"/>
      <c r="M2" s="34"/>
      <c r="N2" s="34"/>
      <c r="O2" s="34" t="s">
        <v>123</v>
      </c>
      <c r="P2" s="35"/>
    </row>
    <row r="3" customFormat="false" ht="25.5" hidden="false" customHeight="true" outlineLevel="0" collapsed="false">
      <c r="A3" s="34" t="n">
        <v>708</v>
      </c>
      <c r="B3" s="34" t="n">
        <v>8</v>
      </c>
      <c r="C3" s="34" t="s">
        <v>125</v>
      </c>
      <c r="D3" s="37" t="s">
        <v>1680</v>
      </c>
      <c r="E3" s="34" t="s">
        <v>1101</v>
      </c>
      <c r="F3" s="35" t="s">
        <v>994</v>
      </c>
      <c r="G3" s="34" t="s">
        <v>505</v>
      </c>
      <c r="H3" s="34" t="s">
        <v>1677</v>
      </c>
      <c r="I3" s="35" t="s">
        <v>1678</v>
      </c>
      <c r="J3" s="37" t="s">
        <v>1681</v>
      </c>
      <c r="K3" s="36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12</v>
      </c>
      <c r="L3" s="34"/>
      <c r="M3" s="34"/>
      <c r="N3" s="34"/>
      <c r="O3" s="34" t="s">
        <v>123</v>
      </c>
      <c r="P3" s="35"/>
    </row>
    <row r="4" customFormat="false" ht="25.5" hidden="false" customHeight="true" outlineLevel="0" collapsed="false">
      <c r="A4" s="34" t="n">
        <v>709</v>
      </c>
      <c r="B4" s="34" t="n">
        <v>8</v>
      </c>
      <c r="C4" s="34" t="s">
        <v>115</v>
      </c>
      <c r="D4" s="35" t="s">
        <v>1682</v>
      </c>
      <c r="E4" s="34" t="s">
        <v>1101</v>
      </c>
      <c r="F4" s="35" t="s">
        <v>989</v>
      </c>
      <c r="G4" s="34" t="s">
        <v>505</v>
      </c>
      <c r="H4" s="34" t="s">
        <v>1677</v>
      </c>
      <c r="I4" s="35" t="s">
        <v>1678</v>
      </c>
      <c r="J4" s="35" t="s">
        <v>1683</v>
      </c>
      <c r="K4" s="36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12.39</v>
      </c>
      <c r="L4" s="34"/>
      <c r="M4" s="34"/>
      <c r="N4" s="34"/>
      <c r="O4" s="34" t="s">
        <v>123</v>
      </c>
      <c r="P4" s="35"/>
    </row>
    <row r="5" customFormat="false" ht="25.5" hidden="false" customHeight="true" outlineLevel="0" collapsed="false">
      <c r="A5" s="34" t="n">
        <v>710</v>
      </c>
      <c r="B5" s="34" t="n">
        <v>8</v>
      </c>
      <c r="C5" s="34" t="s">
        <v>125</v>
      </c>
      <c r="D5" s="37" t="s">
        <v>1684</v>
      </c>
      <c r="E5" s="34" t="s">
        <v>1101</v>
      </c>
      <c r="F5" s="35" t="s">
        <v>994</v>
      </c>
      <c r="G5" s="34" t="s">
        <v>505</v>
      </c>
      <c r="H5" s="34" t="s">
        <v>1677</v>
      </c>
      <c r="I5" s="35" t="s">
        <v>1678</v>
      </c>
      <c r="J5" s="37" t="s">
        <v>1685</v>
      </c>
      <c r="K5" s="36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12</v>
      </c>
      <c r="L5" s="34"/>
      <c r="M5" s="34"/>
      <c r="N5" s="34"/>
      <c r="O5" s="34" t="s">
        <v>123</v>
      </c>
      <c r="P5" s="35"/>
    </row>
    <row r="6" customFormat="false" ht="25.5" hidden="false" customHeight="true" outlineLevel="0" collapsed="false">
      <c r="A6" s="34" t="n">
        <v>711</v>
      </c>
      <c r="B6" s="34" t="n">
        <v>8</v>
      </c>
      <c r="C6" s="34" t="s">
        <v>115</v>
      </c>
      <c r="D6" s="35" t="s">
        <v>1686</v>
      </c>
      <c r="E6" s="34" t="s">
        <v>1101</v>
      </c>
      <c r="F6" s="35" t="s">
        <v>1000</v>
      </c>
      <c r="G6" s="34" t="s">
        <v>505</v>
      </c>
      <c r="H6" s="34" t="s">
        <v>1677</v>
      </c>
      <c r="I6" s="35" t="s">
        <v>1678</v>
      </c>
      <c r="J6" s="35" t="s">
        <v>1687</v>
      </c>
      <c r="K6" s="36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10.89</v>
      </c>
      <c r="L6" s="34"/>
      <c r="M6" s="34"/>
      <c r="N6" s="34"/>
      <c r="O6" s="34" t="s">
        <v>123</v>
      </c>
      <c r="P6" s="35"/>
    </row>
    <row r="7" customFormat="false" ht="25.5" hidden="false" customHeight="true" outlineLevel="0" collapsed="false">
      <c r="A7" s="34" t="n">
        <v>712</v>
      </c>
      <c r="B7" s="34" t="n">
        <v>8</v>
      </c>
      <c r="C7" s="34" t="s">
        <v>125</v>
      </c>
      <c r="D7" s="37" t="s">
        <v>1688</v>
      </c>
      <c r="E7" s="34" t="s">
        <v>1101</v>
      </c>
      <c r="F7" s="35" t="s">
        <v>1000</v>
      </c>
      <c r="G7" s="34" t="s">
        <v>505</v>
      </c>
      <c r="H7" s="34" t="s">
        <v>1677</v>
      </c>
      <c r="I7" s="35" t="s">
        <v>1678</v>
      </c>
      <c r="J7" s="37" t="s">
        <v>1689</v>
      </c>
      <c r="K7" s="36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10.89</v>
      </c>
      <c r="L7" s="34"/>
      <c r="M7" s="34"/>
      <c r="N7" s="34"/>
      <c r="O7" s="34" t="s">
        <v>123</v>
      </c>
      <c r="P7" s="35"/>
    </row>
    <row r="8" customFormat="false" ht="25.5" hidden="false" customHeight="true" outlineLevel="0" collapsed="false">
      <c r="A8" s="34" t="n">
        <v>713</v>
      </c>
      <c r="B8" s="34" t="n">
        <v>8</v>
      </c>
      <c r="C8" s="34" t="s">
        <v>115</v>
      </c>
      <c r="D8" s="35" t="s">
        <v>1690</v>
      </c>
      <c r="E8" s="34" t="s">
        <v>1101</v>
      </c>
      <c r="F8" s="35" t="s">
        <v>1000</v>
      </c>
      <c r="G8" s="34" t="s">
        <v>505</v>
      </c>
      <c r="H8" s="34" t="s">
        <v>1677</v>
      </c>
      <c r="I8" s="35" t="s">
        <v>1678</v>
      </c>
      <c r="J8" s="35" t="s">
        <v>1691</v>
      </c>
      <c r="K8" s="36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10.89</v>
      </c>
      <c r="L8" s="34"/>
      <c r="M8" s="34"/>
      <c r="N8" s="34"/>
      <c r="O8" s="34" t="s">
        <v>123</v>
      </c>
      <c r="P8" s="35"/>
    </row>
    <row r="9" customFormat="false" ht="25.5" hidden="false" customHeight="true" outlineLevel="0" collapsed="false">
      <c r="A9" s="34" t="n">
        <v>714</v>
      </c>
      <c r="B9" s="34" t="n">
        <v>8</v>
      </c>
      <c r="C9" s="34" t="s">
        <v>125</v>
      </c>
      <c r="D9" s="37" t="s">
        <v>1692</v>
      </c>
      <c r="E9" s="34" t="s">
        <v>1101</v>
      </c>
      <c r="F9" s="35" t="s">
        <v>1000</v>
      </c>
      <c r="G9" s="34" t="s">
        <v>505</v>
      </c>
      <c r="H9" s="34" t="s">
        <v>1677</v>
      </c>
      <c r="I9" s="35" t="s">
        <v>1678</v>
      </c>
      <c r="J9" s="37" t="s">
        <v>1693</v>
      </c>
      <c r="K9" s="36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10.89</v>
      </c>
      <c r="L9" s="34"/>
      <c r="M9" s="34"/>
      <c r="N9" s="34"/>
      <c r="O9" s="34" t="s">
        <v>123</v>
      </c>
      <c r="P9" s="35"/>
    </row>
    <row r="10" customFormat="false" ht="25.5" hidden="false" customHeight="true" outlineLevel="0" collapsed="false">
      <c r="A10" s="34" t="n">
        <v>715</v>
      </c>
      <c r="B10" s="34" t="n">
        <v>8</v>
      </c>
      <c r="C10" s="34" t="s">
        <v>115</v>
      </c>
      <c r="D10" s="35" t="s">
        <v>1694</v>
      </c>
      <c r="E10" s="34" t="s">
        <v>1101</v>
      </c>
      <c r="F10" s="35" t="s">
        <v>1000</v>
      </c>
      <c r="G10" s="34" t="s">
        <v>505</v>
      </c>
      <c r="H10" s="34" t="s">
        <v>1677</v>
      </c>
      <c r="I10" s="35" t="s">
        <v>1678</v>
      </c>
      <c r="J10" s="35" t="s">
        <v>1695</v>
      </c>
      <c r="K10" s="36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10.89</v>
      </c>
      <c r="L10" s="34"/>
      <c r="M10" s="34"/>
      <c r="N10" s="34"/>
      <c r="O10" s="34" t="s">
        <v>123</v>
      </c>
      <c r="P10" s="35"/>
    </row>
    <row r="11" customFormat="false" ht="25.5" hidden="false" customHeight="true" outlineLevel="0" collapsed="false">
      <c r="A11" s="34" t="n">
        <v>716</v>
      </c>
      <c r="B11" s="34" t="n">
        <v>8</v>
      </c>
      <c r="C11" s="34" t="s">
        <v>125</v>
      </c>
      <c r="D11" s="37" t="s">
        <v>1696</v>
      </c>
      <c r="E11" s="34" t="s">
        <v>1101</v>
      </c>
      <c r="F11" s="35" t="s">
        <v>1000</v>
      </c>
      <c r="G11" s="34" t="s">
        <v>505</v>
      </c>
      <c r="H11" s="34" t="s">
        <v>1677</v>
      </c>
      <c r="I11" s="35" t="s">
        <v>1678</v>
      </c>
      <c r="J11" s="37" t="s">
        <v>1697</v>
      </c>
      <c r="K11" s="36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10.89</v>
      </c>
      <c r="L11" s="34"/>
      <c r="M11" s="34"/>
      <c r="N11" s="34"/>
      <c r="O11" s="34" t="s">
        <v>123</v>
      </c>
      <c r="P11" s="35"/>
    </row>
    <row r="12" customFormat="false" ht="25.5" hidden="false" customHeight="true" outlineLevel="0" collapsed="false">
      <c r="A12" s="34" t="n">
        <v>717</v>
      </c>
      <c r="B12" s="34" t="n">
        <v>8</v>
      </c>
      <c r="C12" s="34" t="s">
        <v>115</v>
      </c>
      <c r="D12" s="35" t="s">
        <v>1698</v>
      </c>
      <c r="E12" s="34" t="s">
        <v>1101</v>
      </c>
      <c r="F12" s="35" t="s">
        <v>1699</v>
      </c>
      <c r="G12" s="34" t="s">
        <v>505</v>
      </c>
      <c r="H12" s="34" t="s">
        <v>1677</v>
      </c>
      <c r="I12" s="35" t="s">
        <v>1678</v>
      </c>
      <c r="J12" s="35" t="s">
        <v>1700</v>
      </c>
      <c r="K12" s="36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9.54</v>
      </c>
      <c r="L12" s="34"/>
      <c r="M12" s="34"/>
      <c r="N12" s="34"/>
      <c r="O12" s="34" t="s">
        <v>123</v>
      </c>
      <c r="P12" s="35"/>
    </row>
    <row r="13" customFormat="false" ht="25.5" hidden="false" customHeight="true" outlineLevel="0" collapsed="false">
      <c r="A13" s="34" t="n">
        <v>718</v>
      </c>
      <c r="B13" s="34" t="n">
        <v>8</v>
      </c>
      <c r="C13" s="34" t="s">
        <v>125</v>
      </c>
      <c r="D13" s="37" t="s">
        <v>1701</v>
      </c>
      <c r="E13" s="34" t="s">
        <v>1101</v>
      </c>
      <c r="F13" s="35" t="s">
        <v>1699</v>
      </c>
      <c r="G13" s="34" t="s">
        <v>505</v>
      </c>
      <c r="H13" s="34" t="s">
        <v>1677</v>
      </c>
      <c r="I13" s="35" t="s">
        <v>1678</v>
      </c>
      <c r="J13" s="37" t="s">
        <v>1702</v>
      </c>
      <c r="K13" s="36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9.54</v>
      </c>
      <c r="L13" s="34"/>
      <c r="M13" s="34"/>
      <c r="N13" s="34"/>
      <c r="O13" s="34" t="s">
        <v>123</v>
      </c>
      <c r="P13" s="35"/>
    </row>
    <row r="14" customFormat="false" ht="25.5" hidden="false" customHeight="true" outlineLevel="0" collapsed="false">
      <c r="A14" s="34" t="n">
        <v>719</v>
      </c>
      <c r="B14" s="34" t="n">
        <v>8</v>
      </c>
      <c r="C14" s="34" t="s">
        <v>115</v>
      </c>
      <c r="D14" s="35" t="s">
        <v>1703</v>
      </c>
      <c r="E14" s="34" t="s">
        <v>1101</v>
      </c>
      <c r="F14" s="35" t="s">
        <v>1000</v>
      </c>
      <c r="G14" s="34" t="s">
        <v>505</v>
      </c>
      <c r="H14" s="34" t="s">
        <v>1677</v>
      </c>
      <c r="I14" s="35" t="s">
        <v>1704</v>
      </c>
      <c r="J14" s="35" t="s">
        <v>1705</v>
      </c>
      <c r="K14" s="36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10.89</v>
      </c>
      <c r="L14" s="34"/>
      <c r="M14" s="34"/>
      <c r="N14" s="34"/>
      <c r="O14" s="34" t="s">
        <v>123</v>
      </c>
      <c r="P14" s="35"/>
    </row>
    <row r="15" customFormat="false" ht="25.5" hidden="false" customHeight="true" outlineLevel="0" collapsed="false">
      <c r="A15" s="34" t="n">
        <v>720</v>
      </c>
      <c r="B15" s="34" t="n">
        <v>8</v>
      </c>
      <c r="C15" s="34" t="s">
        <v>125</v>
      </c>
      <c r="D15" s="37" t="s">
        <v>1706</v>
      </c>
      <c r="E15" s="34" t="s">
        <v>1101</v>
      </c>
      <c r="F15" s="35" t="s">
        <v>1000</v>
      </c>
      <c r="G15" s="34" t="s">
        <v>505</v>
      </c>
      <c r="H15" s="34" t="s">
        <v>1677</v>
      </c>
      <c r="I15" s="35" t="s">
        <v>1704</v>
      </c>
      <c r="J15" s="37" t="s">
        <v>1707</v>
      </c>
      <c r="K15" s="36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10.89</v>
      </c>
      <c r="L15" s="34"/>
      <c r="M15" s="34"/>
      <c r="N15" s="34"/>
      <c r="O15" s="34" t="s">
        <v>123</v>
      </c>
      <c r="P15" s="35"/>
    </row>
    <row r="16" customFormat="false" ht="25.5" hidden="false" customHeight="true" outlineLevel="0" collapsed="false">
      <c r="A16" s="34" t="n">
        <v>721</v>
      </c>
      <c r="B16" s="34" t="n">
        <v>8</v>
      </c>
      <c r="C16" s="34" t="s">
        <v>115</v>
      </c>
      <c r="D16" s="35" t="s">
        <v>1708</v>
      </c>
      <c r="E16" s="34" t="s">
        <v>1101</v>
      </c>
      <c r="F16" s="35" t="s">
        <v>1000</v>
      </c>
      <c r="G16" s="34" t="s">
        <v>505</v>
      </c>
      <c r="H16" s="34" t="s">
        <v>1677</v>
      </c>
      <c r="I16" s="35" t="s">
        <v>1709</v>
      </c>
      <c r="J16" s="35" t="s">
        <v>1710</v>
      </c>
      <c r="K16" s="36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10.89</v>
      </c>
      <c r="L16" s="34"/>
      <c r="M16" s="34"/>
      <c r="N16" s="34"/>
      <c r="O16" s="34" t="s">
        <v>123</v>
      </c>
      <c r="P16" s="35"/>
    </row>
    <row r="17" customFormat="false" ht="25.5" hidden="false" customHeight="true" outlineLevel="0" collapsed="false">
      <c r="A17" s="34" t="n">
        <v>722</v>
      </c>
      <c r="B17" s="34" t="n">
        <v>8</v>
      </c>
      <c r="C17" s="34" t="s">
        <v>125</v>
      </c>
      <c r="D17" s="37" t="s">
        <v>1711</v>
      </c>
      <c r="E17" s="34" t="s">
        <v>1101</v>
      </c>
      <c r="F17" s="35" t="s">
        <v>1000</v>
      </c>
      <c r="G17" s="34" t="s">
        <v>505</v>
      </c>
      <c r="H17" s="34" t="s">
        <v>1677</v>
      </c>
      <c r="I17" s="35" t="s">
        <v>1709</v>
      </c>
      <c r="J17" s="37" t="s">
        <v>1712</v>
      </c>
      <c r="K17" s="36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10.89</v>
      </c>
      <c r="L17" s="34"/>
      <c r="M17" s="34"/>
      <c r="N17" s="34"/>
      <c r="O17" s="34" t="s">
        <v>123</v>
      </c>
      <c r="P17" s="35"/>
    </row>
    <row r="18" customFormat="false" ht="25.5" hidden="false" customHeight="true" outlineLevel="0" collapsed="false">
      <c r="A18" s="34" t="n">
        <v>723</v>
      </c>
      <c r="B18" s="34" t="n">
        <v>8</v>
      </c>
      <c r="C18" s="34" t="s">
        <v>115</v>
      </c>
      <c r="D18" s="35" t="s">
        <v>1713</v>
      </c>
      <c r="E18" s="34" t="s">
        <v>1101</v>
      </c>
      <c r="F18" s="35" t="s">
        <v>1699</v>
      </c>
      <c r="G18" s="34" t="s">
        <v>505</v>
      </c>
      <c r="H18" s="34" t="s">
        <v>1677</v>
      </c>
      <c r="I18" s="35" t="s">
        <v>1709</v>
      </c>
      <c r="J18" s="35" t="s">
        <v>1714</v>
      </c>
      <c r="K18" s="36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9.54</v>
      </c>
      <c r="L18" s="34"/>
      <c r="M18" s="34"/>
      <c r="N18" s="34"/>
      <c r="O18" s="34" t="s">
        <v>123</v>
      </c>
      <c r="P18" s="35"/>
    </row>
    <row r="19" customFormat="false" ht="25.5" hidden="false" customHeight="true" outlineLevel="0" collapsed="false">
      <c r="A19" s="34" t="n">
        <v>724</v>
      </c>
      <c r="B19" s="34" t="n">
        <v>8</v>
      </c>
      <c r="C19" s="34" t="s">
        <v>125</v>
      </c>
      <c r="D19" s="37" t="s">
        <v>1715</v>
      </c>
      <c r="E19" s="34" t="s">
        <v>1101</v>
      </c>
      <c r="F19" s="35" t="s">
        <v>1699</v>
      </c>
      <c r="G19" s="34" t="s">
        <v>505</v>
      </c>
      <c r="H19" s="34" t="s">
        <v>1677</v>
      </c>
      <c r="I19" s="35" t="s">
        <v>1709</v>
      </c>
      <c r="J19" s="37" t="s">
        <v>1716</v>
      </c>
      <c r="K19" s="36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9.54</v>
      </c>
      <c r="L19" s="34"/>
      <c r="M19" s="34"/>
      <c r="N19" s="34"/>
      <c r="O19" s="34" t="s">
        <v>123</v>
      </c>
      <c r="P19" s="35"/>
    </row>
    <row r="20" customFormat="false" ht="25.5" hidden="false" customHeight="true" outlineLevel="0" collapsed="false">
      <c r="A20" s="34" t="n">
        <v>725</v>
      </c>
      <c r="B20" s="34" t="n">
        <v>8</v>
      </c>
      <c r="C20" s="34" t="s">
        <v>115</v>
      </c>
      <c r="D20" s="35" t="s">
        <v>1717</v>
      </c>
      <c r="E20" s="34" t="s">
        <v>1101</v>
      </c>
      <c r="F20" s="35" t="s">
        <v>1699</v>
      </c>
      <c r="G20" s="34" t="s">
        <v>505</v>
      </c>
      <c r="H20" s="34" t="s">
        <v>1677</v>
      </c>
      <c r="I20" s="35" t="s">
        <v>1709</v>
      </c>
      <c r="J20" s="35" t="s">
        <v>1718</v>
      </c>
      <c r="K20" s="36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9.54</v>
      </c>
      <c r="L20" s="34"/>
      <c r="M20" s="34"/>
      <c r="N20" s="34"/>
      <c r="O20" s="34" t="s">
        <v>123</v>
      </c>
      <c r="P20" s="35"/>
    </row>
    <row r="21" customFormat="false" ht="25.5" hidden="false" customHeight="true" outlineLevel="0" collapsed="false">
      <c r="A21" s="34" t="n">
        <v>726</v>
      </c>
      <c r="B21" s="34" t="n">
        <v>8</v>
      </c>
      <c r="C21" s="34" t="s">
        <v>125</v>
      </c>
      <c r="D21" s="37" t="s">
        <v>1719</v>
      </c>
      <c r="E21" s="34" t="s">
        <v>1101</v>
      </c>
      <c r="F21" s="35" t="s">
        <v>1699</v>
      </c>
      <c r="G21" s="34" t="s">
        <v>505</v>
      </c>
      <c r="H21" s="34" t="s">
        <v>1677</v>
      </c>
      <c r="I21" s="35" t="s">
        <v>1709</v>
      </c>
      <c r="J21" s="37" t="s">
        <v>1720</v>
      </c>
      <c r="K21" s="36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9.54</v>
      </c>
      <c r="L21" s="34"/>
      <c r="M21" s="34"/>
      <c r="N21" s="34"/>
      <c r="O21" s="34" t="s">
        <v>123</v>
      </c>
      <c r="P21" s="35"/>
    </row>
    <row r="22" customFormat="false" ht="25.5" hidden="false" customHeight="true" outlineLevel="0" collapsed="false">
      <c r="A22" s="34" t="n">
        <v>727</v>
      </c>
      <c r="B22" s="34" t="n">
        <v>8</v>
      </c>
      <c r="C22" s="34" t="s">
        <v>115</v>
      </c>
      <c r="D22" s="35" t="s">
        <v>1721</v>
      </c>
      <c r="E22" s="34" t="s">
        <v>1101</v>
      </c>
      <c r="F22" s="35" t="s">
        <v>1000</v>
      </c>
      <c r="G22" s="34" t="s">
        <v>505</v>
      </c>
      <c r="H22" s="34" t="s">
        <v>1677</v>
      </c>
      <c r="I22" s="35" t="s">
        <v>1722</v>
      </c>
      <c r="J22" s="35" t="s">
        <v>1723</v>
      </c>
      <c r="K22" s="36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10.89</v>
      </c>
      <c r="L22" s="34"/>
      <c r="M22" s="34"/>
      <c r="N22" s="34"/>
      <c r="O22" s="34" t="s">
        <v>123</v>
      </c>
      <c r="P22" s="35"/>
    </row>
    <row r="23" customFormat="false" ht="25.5" hidden="false" customHeight="true" outlineLevel="0" collapsed="false">
      <c r="A23" s="34" t="n">
        <v>728</v>
      </c>
      <c r="B23" s="34" t="n">
        <v>8</v>
      </c>
      <c r="C23" s="34" t="s">
        <v>125</v>
      </c>
      <c r="D23" s="37" t="s">
        <v>1724</v>
      </c>
      <c r="E23" s="34" t="s">
        <v>1101</v>
      </c>
      <c r="F23" s="35" t="s">
        <v>1000</v>
      </c>
      <c r="G23" s="34" t="s">
        <v>505</v>
      </c>
      <c r="H23" s="34" t="s">
        <v>1677</v>
      </c>
      <c r="I23" s="35" t="s">
        <v>1722</v>
      </c>
      <c r="J23" s="37" t="s">
        <v>1725</v>
      </c>
      <c r="K23" s="36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10.89</v>
      </c>
      <c r="L23" s="34"/>
      <c r="M23" s="34"/>
      <c r="N23" s="34"/>
      <c r="O23" s="34" t="s">
        <v>123</v>
      </c>
      <c r="P23" s="35"/>
    </row>
    <row r="24" customFormat="false" ht="25.5" hidden="false" customHeight="true" outlineLevel="0" collapsed="false">
      <c r="A24" s="34" t="n">
        <v>729</v>
      </c>
      <c r="B24" s="34" t="n">
        <v>8</v>
      </c>
      <c r="C24" s="34" t="s">
        <v>115</v>
      </c>
      <c r="D24" s="35" t="s">
        <v>1726</v>
      </c>
      <c r="E24" s="34" t="s">
        <v>1101</v>
      </c>
      <c r="F24" s="35" t="s">
        <v>1000</v>
      </c>
      <c r="G24" s="34" t="s">
        <v>505</v>
      </c>
      <c r="H24" s="34" t="s">
        <v>1677</v>
      </c>
      <c r="I24" s="35" t="s">
        <v>1722</v>
      </c>
      <c r="J24" s="35" t="s">
        <v>1727</v>
      </c>
      <c r="K24" s="36" t="n">
        <f aca="false">ROUND((IF(E24="Transactional",5,IF(E24="Commercial",4,IF(E24="Comparison",3,IF(E24="Informational",2,3))))*LOG10(IF(ISNUMBER(L24),L24,IFERROR(VALUE(LEFT(F24,FIND("-",F24)-1)),100))+1))/IF(IF(ISBLANK(M24),G24,M24)="High",5,IF(IF(ISBLANK(M24),G24,M24)="Medium",3,1)),2)</f>
        <v>10.89</v>
      </c>
      <c r="L24" s="34"/>
      <c r="M24" s="34"/>
      <c r="N24" s="34"/>
      <c r="O24" s="34" t="s">
        <v>123</v>
      </c>
      <c r="P24" s="35"/>
    </row>
    <row r="25" customFormat="false" ht="25.5" hidden="false" customHeight="true" outlineLevel="0" collapsed="false">
      <c r="A25" s="34" t="n">
        <v>730</v>
      </c>
      <c r="B25" s="34" t="n">
        <v>8</v>
      </c>
      <c r="C25" s="34" t="s">
        <v>125</v>
      </c>
      <c r="D25" s="37" t="s">
        <v>1728</v>
      </c>
      <c r="E25" s="34" t="s">
        <v>1101</v>
      </c>
      <c r="F25" s="35" t="s">
        <v>1000</v>
      </c>
      <c r="G25" s="34" t="s">
        <v>505</v>
      </c>
      <c r="H25" s="34" t="s">
        <v>1677</v>
      </c>
      <c r="I25" s="35" t="s">
        <v>1722</v>
      </c>
      <c r="J25" s="37" t="s">
        <v>1729</v>
      </c>
      <c r="K25" s="36" t="n">
        <f aca="false">ROUND((IF(E25="Transactional",5,IF(E25="Commercial",4,IF(E25="Comparison",3,IF(E25="Informational",2,3))))*LOG10(IF(ISNUMBER(L25),L25,IFERROR(VALUE(LEFT(F25,FIND("-",F25)-1)),100))+1))/IF(IF(ISBLANK(M25),G25,M25)="High",5,IF(IF(ISBLANK(M25),G25,M25)="Medium",3,1)),2)</f>
        <v>10.89</v>
      </c>
      <c r="L25" s="34"/>
      <c r="M25" s="34"/>
      <c r="N25" s="34"/>
      <c r="O25" s="34" t="s">
        <v>123</v>
      </c>
      <c r="P25" s="35"/>
    </row>
    <row r="26" customFormat="false" ht="25.5" hidden="false" customHeight="true" outlineLevel="0" collapsed="false">
      <c r="A26" s="34" t="n">
        <v>731</v>
      </c>
      <c r="B26" s="34" t="n">
        <v>8</v>
      </c>
      <c r="C26" s="34" t="s">
        <v>115</v>
      </c>
      <c r="D26" s="35" t="s">
        <v>1730</v>
      </c>
      <c r="E26" s="34" t="s">
        <v>1101</v>
      </c>
      <c r="F26" s="35" t="s">
        <v>1000</v>
      </c>
      <c r="G26" s="34" t="s">
        <v>505</v>
      </c>
      <c r="H26" s="34" t="s">
        <v>1677</v>
      </c>
      <c r="I26" s="35" t="s">
        <v>1722</v>
      </c>
      <c r="J26" s="35" t="s">
        <v>1731</v>
      </c>
      <c r="K26" s="36" t="n">
        <f aca="false">ROUND((IF(E26="Transactional",5,IF(E26="Commercial",4,IF(E26="Comparison",3,IF(E26="Informational",2,3))))*LOG10(IF(ISNUMBER(L26),L26,IFERROR(VALUE(LEFT(F26,FIND("-",F26)-1)),100))+1))/IF(IF(ISBLANK(M26),G26,M26)="High",5,IF(IF(ISBLANK(M26),G26,M26)="Medium",3,1)),2)</f>
        <v>10.89</v>
      </c>
      <c r="L26" s="34"/>
      <c r="M26" s="34"/>
      <c r="N26" s="34"/>
      <c r="O26" s="34" t="s">
        <v>123</v>
      </c>
      <c r="P26" s="35"/>
    </row>
    <row r="27" customFormat="false" ht="25.5" hidden="false" customHeight="true" outlineLevel="0" collapsed="false">
      <c r="A27" s="34" t="n">
        <v>732</v>
      </c>
      <c r="B27" s="34" t="n">
        <v>8</v>
      </c>
      <c r="C27" s="34" t="s">
        <v>125</v>
      </c>
      <c r="D27" s="37" t="s">
        <v>1732</v>
      </c>
      <c r="E27" s="34" t="s">
        <v>1101</v>
      </c>
      <c r="F27" s="35" t="s">
        <v>1000</v>
      </c>
      <c r="G27" s="34" t="s">
        <v>505</v>
      </c>
      <c r="H27" s="34" t="s">
        <v>1677</v>
      </c>
      <c r="I27" s="35" t="s">
        <v>1722</v>
      </c>
      <c r="J27" s="37" t="s">
        <v>1733</v>
      </c>
      <c r="K27" s="36" t="n">
        <f aca="false">ROUND((IF(E27="Transactional",5,IF(E27="Commercial",4,IF(E27="Comparison",3,IF(E27="Informational",2,3))))*LOG10(IF(ISNUMBER(L27),L27,IFERROR(VALUE(LEFT(F27,FIND("-",F27)-1)),100))+1))/IF(IF(ISBLANK(M27),G27,M27)="High",5,IF(IF(ISBLANK(M27),G27,M27)="Medium",3,1)),2)</f>
        <v>10.89</v>
      </c>
      <c r="L27" s="34"/>
      <c r="M27" s="34"/>
      <c r="N27" s="34"/>
      <c r="O27" s="34" t="s">
        <v>123</v>
      </c>
      <c r="P27" s="35"/>
    </row>
    <row r="28" customFormat="false" ht="25.5" hidden="false" customHeight="true" outlineLevel="0" collapsed="false">
      <c r="A28" s="34" t="n">
        <v>733</v>
      </c>
      <c r="B28" s="34" t="n">
        <v>8</v>
      </c>
      <c r="C28" s="34" t="s">
        <v>115</v>
      </c>
      <c r="D28" s="35" t="s">
        <v>1734</v>
      </c>
      <c r="E28" s="34" t="s">
        <v>1101</v>
      </c>
      <c r="F28" s="35" t="s">
        <v>1000</v>
      </c>
      <c r="G28" s="34" t="s">
        <v>505</v>
      </c>
      <c r="H28" s="34" t="s">
        <v>1677</v>
      </c>
      <c r="I28" s="35" t="s">
        <v>1722</v>
      </c>
      <c r="J28" s="35" t="s">
        <v>1735</v>
      </c>
      <c r="K28" s="36" t="n">
        <f aca="false">ROUND((IF(E28="Transactional",5,IF(E28="Commercial",4,IF(E28="Comparison",3,IF(E28="Informational",2,3))))*LOG10(IF(ISNUMBER(L28),L28,IFERROR(VALUE(LEFT(F28,FIND("-",F28)-1)),100))+1))/IF(IF(ISBLANK(M28),G28,M28)="High",5,IF(IF(ISBLANK(M28),G28,M28)="Medium",3,1)),2)</f>
        <v>10.89</v>
      </c>
      <c r="L28" s="34"/>
      <c r="M28" s="34"/>
      <c r="N28" s="34"/>
      <c r="O28" s="34" t="s">
        <v>123</v>
      </c>
      <c r="P28" s="35"/>
    </row>
    <row r="29" customFormat="false" ht="25.5" hidden="false" customHeight="true" outlineLevel="0" collapsed="false">
      <c r="A29" s="34" t="n">
        <v>734</v>
      </c>
      <c r="B29" s="34" t="n">
        <v>8</v>
      </c>
      <c r="C29" s="34" t="s">
        <v>125</v>
      </c>
      <c r="D29" s="37" t="s">
        <v>1736</v>
      </c>
      <c r="E29" s="34" t="s">
        <v>1101</v>
      </c>
      <c r="F29" s="35" t="s">
        <v>1000</v>
      </c>
      <c r="G29" s="34" t="s">
        <v>505</v>
      </c>
      <c r="H29" s="34" t="s">
        <v>1677</v>
      </c>
      <c r="I29" s="35" t="s">
        <v>1722</v>
      </c>
      <c r="J29" s="37" t="s">
        <v>1737</v>
      </c>
      <c r="K29" s="36" t="n">
        <f aca="false">ROUND((IF(E29="Transactional",5,IF(E29="Commercial",4,IF(E29="Comparison",3,IF(E29="Informational",2,3))))*LOG10(IF(ISNUMBER(L29),L29,IFERROR(VALUE(LEFT(F29,FIND("-",F29)-1)),100))+1))/IF(IF(ISBLANK(M29),G29,M29)="High",5,IF(IF(ISBLANK(M29),G29,M29)="Medium",3,1)),2)</f>
        <v>10.89</v>
      </c>
      <c r="L29" s="34"/>
      <c r="M29" s="34"/>
      <c r="N29" s="34"/>
      <c r="O29" s="34" t="s">
        <v>123</v>
      </c>
      <c r="P29" s="35"/>
    </row>
    <row r="30" customFormat="false" ht="25.5" hidden="false" customHeight="true" outlineLevel="0" collapsed="false">
      <c r="A30" s="34" t="n">
        <v>735</v>
      </c>
      <c r="B30" s="34" t="n">
        <v>8</v>
      </c>
      <c r="C30" s="34" t="s">
        <v>115</v>
      </c>
      <c r="D30" s="35" t="s">
        <v>1738</v>
      </c>
      <c r="E30" s="34" t="s">
        <v>1101</v>
      </c>
      <c r="F30" s="35" t="s">
        <v>1000</v>
      </c>
      <c r="G30" s="34" t="s">
        <v>505</v>
      </c>
      <c r="H30" s="34" t="s">
        <v>1677</v>
      </c>
      <c r="I30" s="35" t="s">
        <v>1739</v>
      </c>
      <c r="J30" s="35" t="s">
        <v>1740</v>
      </c>
      <c r="K30" s="36" t="n">
        <f aca="false">ROUND((IF(E30="Transactional",5,IF(E30="Commercial",4,IF(E30="Comparison",3,IF(E30="Informational",2,3))))*LOG10(IF(ISNUMBER(L30),L30,IFERROR(VALUE(LEFT(F30,FIND("-",F30)-1)),100))+1))/IF(IF(ISBLANK(M30),G30,M30)="High",5,IF(IF(ISBLANK(M30),G30,M30)="Medium",3,1)),2)</f>
        <v>10.89</v>
      </c>
      <c r="L30" s="34"/>
      <c r="M30" s="34"/>
      <c r="N30" s="34"/>
      <c r="O30" s="34" t="s">
        <v>123</v>
      </c>
      <c r="P30" s="35"/>
    </row>
    <row r="31" customFormat="false" ht="25.5" hidden="false" customHeight="true" outlineLevel="0" collapsed="false">
      <c r="A31" s="34" t="n">
        <v>736</v>
      </c>
      <c r="B31" s="34" t="n">
        <v>8</v>
      </c>
      <c r="C31" s="34" t="s">
        <v>125</v>
      </c>
      <c r="D31" s="37" t="s">
        <v>1741</v>
      </c>
      <c r="E31" s="34" t="s">
        <v>1101</v>
      </c>
      <c r="F31" s="35" t="s">
        <v>1000</v>
      </c>
      <c r="G31" s="34" t="s">
        <v>505</v>
      </c>
      <c r="H31" s="34" t="s">
        <v>1677</v>
      </c>
      <c r="I31" s="35" t="s">
        <v>1739</v>
      </c>
      <c r="J31" s="37" t="s">
        <v>1742</v>
      </c>
      <c r="K31" s="36" t="n">
        <f aca="false">ROUND((IF(E31="Transactional",5,IF(E31="Commercial",4,IF(E31="Comparison",3,IF(E31="Informational",2,3))))*LOG10(IF(ISNUMBER(L31),L31,IFERROR(VALUE(LEFT(F31,FIND("-",F31)-1)),100))+1))/IF(IF(ISBLANK(M31),G31,M31)="High",5,IF(IF(ISBLANK(M31),G31,M31)="Medium",3,1)),2)</f>
        <v>10.89</v>
      </c>
      <c r="L31" s="34"/>
      <c r="M31" s="34"/>
      <c r="N31" s="34"/>
      <c r="O31" s="34" t="s">
        <v>123</v>
      </c>
      <c r="P31" s="35"/>
    </row>
    <row r="32" customFormat="false" ht="25.5" hidden="false" customHeight="true" outlineLevel="0" collapsed="false">
      <c r="A32" s="34" t="n">
        <v>737</v>
      </c>
      <c r="B32" s="34" t="n">
        <v>8</v>
      </c>
      <c r="C32" s="34" t="s">
        <v>115</v>
      </c>
      <c r="D32" s="35" t="s">
        <v>1743</v>
      </c>
      <c r="E32" s="34" t="s">
        <v>1101</v>
      </c>
      <c r="F32" s="35" t="s">
        <v>1000</v>
      </c>
      <c r="G32" s="34" t="s">
        <v>505</v>
      </c>
      <c r="H32" s="34" t="s">
        <v>1677</v>
      </c>
      <c r="I32" s="35" t="s">
        <v>1739</v>
      </c>
      <c r="J32" s="35" t="s">
        <v>1744</v>
      </c>
      <c r="K32" s="36" t="n">
        <f aca="false">ROUND((IF(E32="Transactional",5,IF(E32="Commercial",4,IF(E32="Comparison",3,IF(E32="Informational",2,3))))*LOG10(IF(ISNUMBER(L32),L32,IFERROR(VALUE(LEFT(F32,FIND("-",F32)-1)),100))+1))/IF(IF(ISBLANK(M32),G32,M32)="High",5,IF(IF(ISBLANK(M32),G32,M32)="Medium",3,1)),2)</f>
        <v>10.89</v>
      </c>
      <c r="L32" s="34"/>
      <c r="M32" s="34"/>
      <c r="N32" s="34"/>
      <c r="O32" s="34" t="s">
        <v>123</v>
      </c>
      <c r="P32" s="35"/>
    </row>
    <row r="33" customFormat="false" ht="25.5" hidden="false" customHeight="true" outlineLevel="0" collapsed="false">
      <c r="A33" s="34" t="n">
        <v>738</v>
      </c>
      <c r="B33" s="34" t="n">
        <v>8</v>
      </c>
      <c r="C33" s="34" t="s">
        <v>125</v>
      </c>
      <c r="D33" s="37" t="s">
        <v>1745</v>
      </c>
      <c r="E33" s="34" t="s">
        <v>1101</v>
      </c>
      <c r="F33" s="35" t="s">
        <v>1000</v>
      </c>
      <c r="G33" s="34" t="s">
        <v>505</v>
      </c>
      <c r="H33" s="34" t="s">
        <v>1677</v>
      </c>
      <c r="I33" s="35" t="s">
        <v>1739</v>
      </c>
      <c r="J33" s="37" t="s">
        <v>1746</v>
      </c>
      <c r="K33" s="36" t="n">
        <f aca="false">ROUND((IF(E33="Transactional",5,IF(E33="Commercial",4,IF(E33="Comparison",3,IF(E33="Informational",2,3))))*LOG10(IF(ISNUMBER(L33),L33,IFERROR(VALUE(LEFT(F33,FIND("-",F33)-1)),100))+1))/IF(IF(ISBLANK(M33),G33,M33)="High",5,IF(IF(ISBLANK(M33),G33,M33)="Medium",3,1)),2)</f>
        <v>10.89</v>
      </c>
      <c r="L33" s="34"/>
      <c r="M33" s="34"/>
      <c r="N33" s="34"/>
      <c r="O33" s="34" t="s">
        <v>123</v>
      </c>
      <c r="P33" s="35"/>
    </row>
  </sheetData>
  <conditionalFormatting sqref="K2:K33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33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33" type="list">
      <formula1>"EN,AR,FA"</formula1>
      <formula2>0</formula2>
    </dataValidation>
    <dataValidation allowBlank="true" errorStyle="stop" operator="between" showDropDown="false" showErrorMessage="false" showInputMessage="false" sqref="E2:E33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33 M2:M33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38" t="n">
        <v>739</v>
      </c>
      <c r="B2" s="38" t="n">
        <v>9</v>
      </c>
      <c r="C2" s="38" t="s">
        <v>115</v>
      </c>
      <c r="D2" s="39" t="s">
        <v>1747</v>
      </c>
      <c r="E2" s="38" t="s">
        <v>117</v>
      </c>
      <c r="F2" s="39" t="s">
        <v>136</v>
      </c>
      <c r="G2" s="38" t="s">
        <v>137</v>
      </c>
      <c r="H2" s="38" t="s">
        <v>1748</v>
      </c>
      <c r="I2" s="39" t="s">
        <v>1748</v>
      </c>
      <c r="J2" s="39" t="s">
        <v>1749</v>
      </c>
      <c r="K2" s="40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3.47</v>
      </c>
      <c r="L2" s="38"/>
      <c r="M2" s="38"/>
      <c r="N2" s="38"/>
      <c r="O2" s="38" t="s">
        <v>123</v>
      </c>
      <c r="P2" s="39"/>
    </row>
    <row r="3" customFormat="false" ht="25.5" hidden="false" customHeight="true" outlineLevel="0" collapsed="false">
      <c r="A3" s="38" t="n">
        <v>740</v>
      </c>
      <c r="B3" s="38" t="n">
        <v>9</v>
      </c>
      <c r="C3" s="38" t="s">
        <v>125</v>
      </c>
      <c r="D3" s="41" t="s">
        <v>1750</v>
      </c>
      <c r="E3" s="38" t="s">
        <v>117</v>
      </c>
      <c r="F3" s="39" t="s">
        <v>1751</v>
      </c>
      <c r="G3" s="38" t="s">
        <v>505</v>
      </c>
      <c r="H3" s="38" t="s">
        <v>1748</v>
      </c>
      <c r="I3" s="39" t="s">
        <v>1748</v>
      </c>
      <c r="J3" s="41" t="s">
        <v>1752</v>
      </c>
      <c r="K3" s="40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9.91</v>
      </c>
      <c r="L3" s="38"/>
      <c r="M3" s="38"/>
      <c r="N3" s="38"/>
      <c r="O3" s="38" t="s">
        <v>123</v>
      </c>
      <c r="P3" s="39"/>
    </row>
    <row r="4" customFormat="false" ht="25.5" hidden="false" customHeight="true" outlineLevel="0" collapsed="false">
      <c r="A4" s="38" t="n">
        <v>741</v>
      </c>
      <c r="B4" s="38" t="n">
        <v>9</v>
      </c>
      <c r="C4" s="38" t="s">
        <v>115</v>
      </c>
      <c r="D4" s="39" t="s">
        <v>1753</v>
      </c>
      <c r="E4" s="38" t="s">
        <v>117</v>
      </c>
      <c r="F4" s="39" t="s">
        <v>997</v>
      </c>
      <c r="G4" s="38" t="s">
        <v>137</v>
      </c>
      <c r="H4" s="38" t="s">
        <v>1748</v>
      </c>
      <c r="I4" s="39" t="s">
        <v>1748</v>
      </c>
      <c r="J4" s="39" t="s">
        <v>1754</v>
      </c>
      <c r="K4" s="40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3.07</v>
      </c>
      <c r="L4" s="38"/>
      <c r="M4" s="38"/>
      <c r="N4" s="38"/>
      <c r="O4" s="38" t="s">
        <v>123</v>
      </c>
      <c r="P4" s="39"/>
    </row>
    <row r="5" customFormat="false" ht="25.5" hidden="false" customHeight="true" outlineLevel="0" collapsed="false">
      <c r="A5" s="38" t="n">
        <v>742</v>
      </c>
      <c r="B5" s="38" t="n">
        <v>9</v>
      </c>
      <c r="C5" s="38" t="s">
        <v>125</v>
      </c>
      <c r="D5" s="41" t="s">
        <v>1755</v>
      </c>
      <c r="E5" s="38" t="s">
        <v>117</v>
      </c>
      <c r="F5" s="39" t="s">
        <v>1000</v>
      </c>
      <c r="G5" s="38" t="s">
        <v>505</v>
      </c>
      <c r="H5" s="38" t="s">
        <v>1748</v>
      </c>
      <c r="I5" s="39" t="s">
        <v>1748</v>
      </c>
      <c r="J5" s="41" t="s">
        <v>1756</v>
      </c>
      <c r="K5" s="40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8.72</v>
      </c>
      <c r="L5" s="38"/>
      <c r="M5" s="38"/>
      <c r="N5" s="38"/>
      <c r="O5" s="38" t="s">
        <v>123</v>
      </c>
      <c r="P5" s="39"/>
    </row>
    <row r="6" customFormat="false" ht="25.5" hidden="false" customHeight="true" outlineLevel="0" collapsed="false">
      <c r="A6" s="38" t="n">
        <v>743</v>
      </c>
      <c r="B6" s="38" t="n">
        <v>9</v>
      </c>
      <c r="C6" s="38" t="s">
        <v>115</v>
      </c>
      <c r="D6" s="39" t="s">
        <v>1757</v>
      </c>
      <c r="E6" s="38" t="s">
        <v>117</v>
      </c>
      <c r="F6" s="39" t="s">
        <v>997</v>
      </c>
      <c r="G6" s="38" t="s">
        <v>137</v>
      </c>
      <c r="H6" s="38" t="s">
        <v>1748</v>
      </c>
      <c r="I6" s="39" t="s">
        <v>1748</v>
      </c>
      <c r="J6" s="39" t="s">
        <v>1758</v>
      </c>
      <c r="K6" s="40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3.07</v>
      </c>
      <c r="L6" s="38"/>
      <c r="M6" s="38"/>
      <c r="N6" s="38"/>
      <c r="O6" s="38" t="s">
        <v>123</v>
      </c>
      <c r="P6" s="39"/>
    </row>
    <row r="7" customFormat="false" ht="25.5" hidden="false" customHeight="true" outlineLevel="0" collapsed="false">
      <c r="A7" s="38" t="n">
        <v>744</v>
      </c>
      <c r="B7" s="38" t="n">
        <v>9</v>
      </c>
      <c r="C7" s="38" t="s">
        <v>125</v>
      </c>
      <c r="D7" s="41" t="s">
        <v>1759</v>
      </c>
      <c r="E7" s="38" t="s">
        <v>117</v>
      </c>
      <c r="F7" s="39" t="s">
        <v>1000</v>
      </c>
      <c r="G7" s="38" t="s">
        <v>505</v>
      </c>
      <c r="H7" s="38" t="s">
        <v>1748</v>
      </c>
      <c r="I7" s="39" t="s">
        <v>1748</v>
      </c>
      <c r="J7" s="41" t="s">
        <v>1760</v>
      </c>
      <c r="K7" s="40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8.72</v>
      </c>
      <c r="L7" s="38"/>
      <c r="M7" s="38"/>
      <c r="N7" s="38"/>
      <c r="O7" s="38" t="s">
        <v>123</v>
      </c>
      <c r="P7" s="39"/>
    </row>
    <row r="8" customFormat="false" ht="25.5" hidden="false" customHeight="true" outlineLevel="0" collapsed="false">
      <c r="A8" s="38" t="n">
        <v>745</v>
      </c>
      <c r="B8" s="38" t="n">
        <v>9</v>
      </c>
      <c r="C8" s="38" t="s">
        <v>115</v>
      </c>
      <c r="D8" s="39" t="s">
        <v>1761</v>
      </c>
      <c r="E8" s="38" t="s">
        <v>117</v>
      </c>
      <c r="F8" s="39" t="s">
        <v>997</v>
      </c>
      <c r="G8" s="38" t="s">
        <v>137</v>
      </c>
      <c r="H8" s="38" t="s">
        <v>1748</v>
      </c>
      <c r="I8" s="39" t="s">
        <v>1748</v>
      </c>
      <c r="J8" s="39" t="s">
        <v>1762</v>
      </c>
      <c r="K8" s="40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3.07</v>
      </c>
      <c r="L8" s="38"/>
      <c r="M8" s="38"/>
      <c r="N8" s="38"/>
      <c r="O8" s="38" t="s">
        <v>123</v>
      </c>
      <c r="P8" s="39"/>
    </row>
    <row r="9" customFormat="false" ht="25.5" hidden="false" customHeight="true" outlineLevel="0" collapsed="false">
      <c r="A9" s="38" t="n">
        <v>746</v>
      </c>
      <c r="B9" s="38" t="n">
        <v>9</v>
      </c>
      <c r="C9" s="38" t="s">
        <v>125</v>
      </c>
      <c r="D9" s="41" t="s">
        <v>1763</v>
      </c>
      <c r="E9" s="38" t="s">
        <v>117</v>
      </c>
      <c r="F9" s="39" t="s">
        <v>1000</v>
      </c>
      <c r="G9" s="38" t="s">
        <v>505</v>
      </c>
      <c r="H9" s="38" t="s">
        <v>1748</v>
      </c>
      <c r="I9" s="39" t="s">
        <v>1748</v>
      </c>
      <c r="J9" s="41" t="s">
        <v>1764</v>
      </c>
      <c r="K9" s="40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8.72</v>
      </c>
      <c r="L9" s="38"/>
      <c r="M9" s="38"/>
      <c r="N9" s="38"/>
      <c r="O9" s="38" t="s">
        <v>123</v>
      </c>
      <c r="P9" s="39"/>
    </row>
    <row r="10" customFormat="false" ht="25.5" hidden="false" customHeight="true" outlineLevel="0" collapsed="false">
      <c r="A10" s="38" t="n">
        <v>747</v>
      </c>
      <c r="B10" s="38" t="n">
        <v>9</v>
      </c>
      <c r="C10" s="38" t="s">
        <v>115</v>
      </c>
      <c r="D10" s="39" t="s">
        <v>1765</v>
      </c>
      <c r="E10" s="38" t="s">
        <v>117</v>
      </c>
      <c r="F10" s="39" t="s">
        <v>997</v>
      </c>
      <c r="G10" s="38" t="s">
        <v>137</v>
      </c>
      <c r="H10" s="38" t="s">
        <v>1748</v>
      </c>
      <c r="I10" s="39" t="s">
        <v>1748</v>
      </c>
      <c r="J10" s="39" t="s">
        <v>1766</v>
      </c>
      <c r="K10" s="40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3.07</v>
      </c>
      <c r="L10" s="38"/>
      <c r="M10" s="38"/>
      <c r="N10" s="38"/>
      <c r="O10" s="38" t="s">
        <v>123</v>
      </c>
      <c r="P10" s="39"/>
    </row>
    <row r="11" customFormat="false" ht="25.5" hidden="false" customHeight="true" outlineLevel="0" collapsed="false">
      <c r="A11" s="38" t="n">
        <v>748</v>
      </c>
      <c r="B11" s="38" t="n">
        <v>9</v>
      </c>
      <c r="C11" s="38" t="s">
        <v>125</v>
      </c>
      <c r="D11" s="41" t="s">
        <v>1767</v>
      </c>
      <c r="E11" s="38" t="s">
        <v>117</v>
      </c>
      <c r="F11" s="39" t="s">
        <v>1000</v>
      </c>
      <c r="G11" s="38" t="s">
        <v>505</v>
      </c>
      <c r="H11" s="38" t="s">
        <v>1748</v>
      </c>
      <c r="I11" s="39" t="s">
        <v>1748</v>
      </c>
      <c r="J11" s="41" t="s">
        <v>1768</v>
      </c>
      <c r="K11" s="40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8.72</v>
      </c>
      <c r="L11" s="38"/>
      <c r="M11" s="38"/>
      <c r="N11" s="38"/>
      <c r="O11" s="38" t="s">
        <v>123</v>
      </c>
      <c r="P11" s="39"/>
    </row>
    <row r="12" customFormat="false" ht="25.5" hidden="false" customHeight="true" outlineLevel="0" collapsed="false">
      <c r="A12" s="38" t="n">
        <v>749</v>
      </c>
      <c r="B12" s="38" t="n">
        <v>9</v>
      </c>
      <c r="C12" s="38" t="s">
        <v>115</v>
      </c>
      <c r="D12" s="39" t="s">
        <v>1769</v>
      </c>
      <c r="E12" s="38" t="s">
        <v>117</v>
      </c>
      <c r="F12" s="39" t="s">
        <v>1514</v>
      </c>
      <c r="G12" s="38" t="s">
        <v>137</v>
      </c>
      <c r="H12" s="38" t="s">
        <v>1748</v>
      </c>
      <c r="I12" s="39" t="s">
        <v>1748</v>
      </c>
      <c r="J12" s="39" t="s">
        <v>1770</v>
      </c>
      <c r="K12" s="40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2.67</v>
      </c>
      <c r="L12" s="38"/>
      <c r="M12" s="38"/>
      <c r="N12" s="38"/>
      <c r="O12" s="38" t="s">
        <v>123</v>
      </c>
      <c r="P12" s="39"/>
    </row>
    <row r="13" customFormat="false" ht="25.5" hidden="false" customHeight="true" outlineLevel="0" collapsed="false">
      <c r="A13" s="38" t="n">
        <v>750</v>
      </c>
      <c r="B13" s="38" t="n">
        <v>9</v>
      </c>
      <c r="C13" s="38" t="s">
        <v>125</v>
      </c>
      <c r="D13" s="41" t="s">
        <v>1771</v>
      </c>
      <c r="E13" s="38" t="s">
        <v>117</v>
      </c>
      <c r="F13" s="39" t="s">
        <v>1699</v>
      </c>
      <c r="G13" s="38" t="s">
        <v>505</v>
      </c>
      <c r="H13" s="38" t="s">
        <v>1748</v>
      </c>
      <c r="I13" s="39" t="s">
        <v>1748</v>
      </c>
      <c r="J13" s="41" t="s">
        <v>1772</v>
      </c>
      <c r="K13" s="40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7.63</v>
      </c>
      <c r="L13" s="38"/>
      <c r="M13" s="38"/>
      <c r="N13" s="38"/>
      <c r="O13" s="38" t="s">
        <v>123</v>
      </c>
      <c r="P13" s="39"/>
    </row>
    <row r="14" customFormat="false" ht="25.5" hidden="false" customHeight="true" outlineLevel="0" collapsed="false">
      <c r="A14" s="38" t="n">
        <v>751</v>
      </c>
      <c r="B14" s="38" t="n">
        <v>9</v>
      </c>
      <c r="C14" s="38" t="s">
        <v>115</v>
      </c>
      <c r="D14" s="39" t="s">
        <v>1773</v>
      </c>
      <c r="E14" s="38" t="s">
        <v>117</v>
      </c>
      <c r="F14" s="39" t="s">
        <v>136</v>
      </c>
      <c r="G14" s="38" t="s">
        <v>137</v>
      </c>
      <c r="H14" s="38" t="s">
        <v>1748</v>
      </c>
      <c r="I14" s="39" t="s">
        <v>1748</v>
      </c>
      <c r="J14" s="39" t="s">
        <v>1774</v>
      </c>
      <c r="K14" s="40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3.47</v>
      </c>
      <c r="L14" s="38"/>
      <c r="M14" s="38"/>
      <c r="N14" s="38"/>
      <c r="O14" s="38" t="s">
        <v>123</v>
      </c>
      <c r="P14" s="39"/>
    </row>
    <row r="15" customFormat="false" ht="25.5" hidden="false" customHeight="true" outlineLevel="0" collapsed="false">
      <c r="A15" s="38" t="n">
        <v>752</v>
      </c>
      <c r="B15" s="38" t="n">
        <v>9</v>
      </c>
      <c r="C15" s="38" t="s">
        <v>125</v>
      </c>
      <c r="D15" s="41" t="s">
        <v>1775</v>
      </c>
      <c r="E15" s="38" t="s">
        <v>117</v>
      </c>
      <c r="F15" s="39" t="s">
        <v>1751</v>
      </c>
      <c r="G15" s="38" t="s">
        <v>505</v>
      </c>
      <c r="H15" s="38" t="s">
        <v>1748</v>
      </c>
      <c r="I15" s="39" t="s">
        <v>1748</v>
      </c>
      <c r="J15" s="41" t="s">
        <v>1776</v>
      </c>
      <c r="K15" s="40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9.91</v>
      </c>
      <c r="L15" s="38"/>
      <c r="M15" s="38"/>
      <c r="N15" s="38"/>
      <c r="O15" s="38" t="s">
        <v>123</v>
      </c>
      <c r="P15" s="39"/>
    </row>
    <row r="16" customFormat="false" ht="25.5" hidden="false" customHeight="true" outlineLevel="0" collapsed="false">
      <c r="A16" s="38" t="n">
        <v>753</v>
      </c>
      <c r="B16" s="38" t="n">
        <v>9</v>
      </c>
      <c r="C16" s="38" t="s">
        <v>115</v>
      </c>
      <c r="D16" s="39" t="s">
        <v>1777</v>
      </c>
      <c r="E16" s="38" t="s">
        <v>117</v>
      </c>
      <c r="F16" s="39" t="s">
        <v>997</v>
      </c>
      <c r="G16" s="38" t="s">
        <v>137</v>
      </c>
      <c r="H16" s="38" t="s">
        <v>1748</v>
      </c>
      <c r="I16" s="39" t="s">
        <v>1748</v>
      </c>
      <c r="J16" s="39" t="s">
        <v>1778</v>
      </c>
      <c r="K16" s="40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3.07</v>
      </c>
      <c r="L16" s="38"/>
      <c r="M16" s="38"/>
      <c r="N16" s="38"/>
      <c r="O16" s="38" t="s">
        <v>123</v>
      </c>
      <c r="P16" s="39"/>
    </row>
    <row r="17" customFormat="false" ht="25.5" hidden="false" customHeight="true" outlineLevel="0" collapsed="false">
      <c r="A17" s="38" t="n">
        <v>754</v>
      </c>
      <c r="B17" s="38" t="n">
        <v>9</v>
      </c>
      <c r="C17" s="38" t="s">
        <v>125</v>
      </c>
      <c r="D17" s="41" t="s">
        <v>1779</v>
      </c>
      <c r="E17" s="38" t="s">
        <v>117</v>
      </c>
      <c r="F17" s="39" t="s">
        <v>1000</v>
      </c>
      <c r="G17" s="38" t="s">
        <v>505</v>
      </c>
      <c r="H17" s="38" t="s">
        <v>1748</v>
      </c>
      <c r="I17" s="39" t="s">
        <v>1748</v>
      </c>
      <c r="J17" s="41" t="s">
        <v>1780</v>
      </c>
      <c r="K17" s="40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8.72</v>
      </c>
      <c r="L17" s="38"/>
      <c r="M17" s="38"/>
      <c r="N17" s="38"/>
      <c r="O17" s="38" t="s">
        <v>123</v>
      </c>
      <c r="P17" s="39"/>
    </row>
    <row r="18" customFormat="false" ht="25.5" hidden="false" customHeight="true" outlineLevel="0" collapsed="false">
      <c r="A18" s="38" t="n">
        <v>755</v>
      </c>
      <c r="B18" s="38" t="n">
        <v>9</v>
      </c>
      <c r="C18" s="38" t="s">
        <v>115</v>
      </c>
      <c r="D18" s="39" t="s">
        <v>1781</v>
      </c>
      <c r="E18" s="38" t="s">
        <v>117</v>
      </c>
      <c r="F18" s="39" t="s">
        <v>997</v>
      </c>
      <c r="G18" s="38" t="s">
        <v>137</v>
      </c>
      <c r="H18" s="38" t="s">
        <v>1748</v>
      </c>
      <c r="I18" s="39" t="s">
        <v>1748</v>
      </c>
      <c r="J18" s="39" t="s">
        <v>1782</v>
      </c>
      <c r="K18" s="40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3.07</v>
      </c>
      <c r="L18" s="38"/>
      <c r="M18" s="38"/>
      <c r="N18" s="38"/>
      <c r="O18" s="38" t="s">
        <v>123</v>
      </c>
      <c r="P18" s="39"/>
    </row>
    <row r="19" customFormat="false" ht="25.5" hidden="false" customHeight="true" outlineLevel="0" collapsed="false">
      <c r="A19" s="38" t="n">
        <v>756</v>
      </c>
      <c r="B19" s="38" t="n">
        <v>9</v>
      </c>
      <c r="C19" s="38" t="s">
        <v>125</v>
      </c>
      <c r="D19" s="41" t="s">
        <v>1783</v>
      </c>
      <c r="E19" s="38" t="s">
        <v>117</v>
      </c>
      <c r="F19" s="39" t="s">
        <v>1000</v>
      </c>
      <c r="G19" s="38" t="s">
        <v>505</v>
      </c>
      <c r="H19" s="38" t="s">
        <v>1748</v>
      </c>
      <c r="I19" s="39" t="s">
        <v>1748</v>
      </c>
      <c r="J19" s="41" t="s">
        <v>1784</v>
      </c>
      <c r="K19" s="40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8.72</v>
      </c>
      <c r="L19" s="38"/>
      <c r="M19" s="38"/>
      <c r="N19" s="38"/>
      <c r="O19" s="38" t="s">
        <v>123</v>
      </c>
      <c r="P19" s="39"/>
    </row>
    <row r="20" customFormat="false" ht="25.5" hidden="false" customHeight="true" outlineLevel="0" collapsed="false">
      <c r="A20" s="38" t="n">
        <v>757</v>
      </c>
      <c r="B20" s="38" t="n">
        <v>9</v>
      </c>
      <c r="C20" s="38" t="s">
        <v>115</v>
      </c>
      <c r="D20" s="39" t="s">
        <v>1785</v>
      </c>
      <c r="E20" s="38" t="s">
        <v>117</v>
      </c>
      <c r="F20" s="39" t="s">
        <v>997</v>
      </c>
      <c r="G20" s="38" t="s">
        <v>137</v>
      </c>
      <c r="H20" s="38" t="s">
        <v>1748</v>
      </c>
      <c r="I20" s="39" t="s">
        <v>1748</v>
      </c>
      <c r="J20" s="39" t="s">
        <v>1786</v>
      </c>
      <c r="K20" s="40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3.07</v>
      </c>
      <c r="L20" s="38"/>
      <c r="M20" s="38"/>
      <c r="N20" s="38"/>
      <c r="O20" s="38" t="s">
        <v>123</v>
      </c>
      <c r="P20" s="39"/>
    </row>
    <row r="21" customFormat="false" ht="25.5" hidden="false" customHeight="true" outlineLevel="0" collapsed="false">
      <c r="A21" s="38" t="n">
        <v>758</v>
      </c>
      <c r="B21" s="38" t="n">
        <v>9</v>
      </c>
      <c r="C21" s="38" t="s">
        <v>125</v>
      </c>
      <c r="D21" s="41" t="s">
        <v>1787</v>
      </c>
      <c r="E21" s="38" t="s">
        <v>117</v>
      </c>
      <c r="F21" s="39" t="s">
        <v>1000</v>
      </c>
      <c r="G21" s="38" t="s">
        <v>505</v>
      </c>
      <c r="H21" s="38" t="s">
        <v>1748</v>
      </c>
      <c r="I21" s="39" t="s">
        <v>1748</v>
      </c>
      <c r="J21" s="41" t="s">
        <v>1788</v>
      </c>
      <c r="K21" s="40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8.72</v>
      </c>
      <c r="L21" s="38"/>
      <c r="M21" s="38"/>
      <c r="N21" s="38"/>
      <c r="O21" s="38" t="s">
        <v>123</v>
      </c>
      <c r="P21" s="39"/>
    </row>
    <row r="22" customFormat="false" ht="25.5" hidden="false" customHeight="true" outlineLevel="0" collapsed="false">
      <c r="A22" s="38" t="n">
        <v>759</v>
      </c>
      <c r="B22" s="38" t="n">
        <v>9</v>
      </c>
      <c r="C22" s="38" t="s">
        <v>115</v>
      </c>
      <c r="D22" s="39" t="s">
        <v>1789</v>
      </c>
      <c r="E22" s="38" t="s">
        <v>117</v>
      </c>
      <c r="F22" s="39" t="s">
        <v>997</v>
      </c>
      <c r="G22" s="38" t="s">
        <v>137</v>
      </c>
      <c r="H22" s="38" t="s">
        <v>1748</v>
      </c>
      <c r="I22" s="39" t="s">
        <v>1748</v>
      </c>
      <c r="J22" s="39" t="s">
        <v>1790</v>
      </c>
      <c r="K22" s="40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3.07</v>
      </c>
      <c r="L22" s="38"/>
      <c r="M22" s="38"/>
      <c r="N22" s="38"/>
      <c r="O22" s="38" t="s">
        <v>123</v>
      </c>
      <c r="P22" s="39"/>
    </row>
    <row r="23" customFormat="false" ht="25.5" hidden="false" customHeight="true" outlineLevel="0" collapsed="false">
      <c r="A23" s="38" t="n">
        <v>760</v>
      </c>
      <c r="B23" s="38" t="n">
        <v>9</v>
      </c>
      <c r="C23" s="38" t="s">
        <v>125</v>
      </c>
      <c r="D23" s="41" t="s">
        <v>1791</v>
      </c>
      <c r="E23" s="38" t="s">
        <v>117</v>
      </c>
      <c r="F23" s="39" t="s">
        <v>1000</v>
      </c>
      <c r="G23" s="38" t="s">
        <v>505</v>
      </c>
      <c r="H23" s="38" t="s">
        <v>1748</v>
      </c>
      <c r="I23" s="39" t="s">
        <v>1748</v>
      </c>
      <c r="J23" s="41" t="s">
        <v>1792</v>
      </c>
      <c r="K23" s="40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8.72</v>
      </c>
      <c r="L23" s="38"/>
      <c r="M23" s="38"/>
      <c r="N23" s="38"/>
      <c r="O23" s="38" t="s">
        <v>123</v>
      </c>
      <c r="P23" s="39"/>
    </row>
  </sheetData>
  <conditionalFormatting sqref="K2:K23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23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23" type="list">
      <formula1>"EN,AR,FA"</formula1>
      <formula2>0</formula2>
    </dataValidation>
    <dataValidation allowBlank="true" errorStyle="stop" operator="between" showDropDown="false" showErrorMessage="false" showInputMessage="false" sqref="E2:E23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23 M2:M23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40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</row>
    <row r="2" customFormat="false" ht="25.5" hidden="false" customHeight="true" outlineLevel="0" collapsed="false">
      <c r="A2" s="42" t="n">
        <v>761</v>
      </c>
      <c r="B2" s="42" t="n">
        <v>10</v>
      </c>
      <c r="C2" s="42" t="s">
        <v>115</v>
      </c>
      <c r="D2" s="43" t="s">
        <v>1793</v>
      </c>
      <c r="E2" s="42" t="s">
        <v>1158</v>
      </c>
      <c r="F2" s="43" t="s">
        <v>1102</v>
      </c>
      <c r="G2" s="42" t="s">
        <v>505</v>
      </c>
      <c r="H2" s="42" t="s">
        <v>1794</v>
      </c>
      <c r="I2" s="43" t="s">
        <v>1795</v>
      </c>
      <c r="J2" s="43" t="s">
        <v>1796</v>
      </c>
      <c r="K2" s="44" t="n">
        <f aca="false">ROUND((IF(E2="Transactional",5,IF(E2="Commercial",4,IF(E2="Comparison",3,IF(E2="Informational",2,3))))*LOG10(IF(ISNUMBER(L2),L2,IFERROR(VALUE(LEFT(F2,FIND("-",F2)-1)),100))+1))/IF(IF(ISBLANK(M2),G2,M2)="High",5,IF(IF(ISBLANK(M2),G2,M2)="Medium",3,1)),2)</f>
        <v>5.4</v>
      </c>
      <c r="L2" s="42"/>
      <c r="M2" s="42"/>
      <c r="N2" s="42"/>
      <c r="O2" s="42" t="s">
        <v>123</v>
      </c>
      <c r="P2" s="43"/>
    </row>
    <row r="3" customFormat="false" ht="25.5" hidden="false" customHeight="true" outlineLevel="0" collapsed="false">
      <c r="A3" s="42" t="n">
        <v>762</v>
      </c>
      <c r="B3" s="42" t="n">
        <v>10</v>
      </c>
      <c r="C3" s="42" t="s">
        <v>125</v>
      </c>
      <c r="D3" s="45" t="s">
        <v>1797</v>
      </c>
      <c r="E3" s="42" t="s">
        <v>1158</v>
      </c>
      <c r="F3" s="43" t="s">
        <v>136</v>
      </c>
      <c r="G3" s="42" t="s">
        <v>505</v>
      </c>
      <c r="H3" s="42" t="s">
        <v>1794</v>
      </c>
      <c r="I3" s="43" t="s">
        <v>1795</v>
      </c>
      <c r="J3" s="45" t="s">
        <v>1798</v>
      </c>
      <c r="K3" s="44" t="n">
        <f aca="false">ROUND((IF(E3="Transactional",5,IF(E3="Commercial",4,IF(E3="Comparison",3,IF(E3="Informational",2,3))))*LOG10(IF(ISNUMBER(L3),L3,IFERROR(VALUE(LEFT(F3,FIND("-",F3)-1)),100))+1))/IF(IF(ISBLANK(M3),G3,M3)="High",5,IF(IF(ISBLANK(M3),G3,M3)="Medium",3,1)),2)</f>
        <v>5.21</v>
      </c>
      <c r="L3" s="42"/>
      <c r="M3" s="42"/>
      <c r="N3" s="42"/>
      <c r="O3" s="42" t="s">
        <v>123</v>
      </c>
      <c r="P3" s="43"/>
    </row>
    <row r="4" customFormat="false" ht="25.5" hidden="false" customHeight="true" outlineLevel="0" collapsed="false">
      <c r="A4" s="42" t="n">
        <v>763</v>
      </c>
      <c r="B4" s="42" t="n">
        <v>10</v>
      </c>
      <c r="C4" s="42" t="s">
        <v>115</v>
      </c>
      <c r="D4" s="43" t="s">
        <v>1799</v>
      </c>
      <c r="E4" s="42" t="s">
        <v>1158</v>
      </c>
      <c r="F4" s="43" t="s">
        <v>989</v>
      </c>
      <c r="G4" s="42" t="s">
        <v>505</v>
      </c>
      <c r="H4" s="42" t="s">
        <v>1794</v>
      </c>
      <c r="I4" s="43" t="s">
        <v>1795</v>
      </c>
      <c r="J4" s="43" t="s">
        <v>1800</v>
      </c>
      <c r="K4" s="44" t="n">
        <f aca="false">ROUND((IF(E4="Transactional",5,IF(E4="Commercial",4,IF(E4="Comparison",3,IF(E4="Informational",2,3))))*LOG10(IF(ISNUMBER(L4),L4,IFERROR(VALUE(LEFT(F4,FIND("-",F4)-1)),100))+1))/IF(IF(ISBLANK(M4),G4,M4)="High",5,IF(IF(ISBLANK(M4),G4,M4)="Medium",3,1)),2)</f>
        <v>4.96</v>
      </c>
      <c r="L4" s="42"/>
      <c r="M4" s="42"/>
      <c r="N4" s="42"/>
      <c r="O4" s="42" t="s">
        <v>123</v>
      </c>
      <c r="P4" s="43"/>
    </row>
    <row r="5" customFormat="false" ht="25.5" hidden="false" customHeight="true" outlineLevel="0" collapsed="false">
      <c r="A5" s="42" t="n">
        <v>764</v>
      </c>
      <c r="B5" s="42" t="n">
        <v>10</v>
      </c>
      <c r="C5" s="42" t="s">
        <v>125</v>
      </c>
      <c r="D5" s="45" t="s">
        <v>1801</v>
      </c>
      <c r="E5" s="42" t="s">
        <v>1158</v>
      </c>
      <c r="F5" s="43" t="s">
        <v>994</v>
      </c>
      <c r="G5" s="42" t="s">
        <v>505</v>
      </c>
      <c r="H5" s="42" t="s">
        <v>1794</v>
      </c>
      <c r="I5" s="43" t="s">
        <v>1795</v>
      </c>
      <c r="J5" s="45" t="s">
        <v>1802</v>
      </c>
      <c r="K5" s="44" t="n">
        <f aca="false">ROUND((IF(E5="Transactional",5,IF(E5="Commercial",4,IF(E5="Comparison",3,IF(E5="Informational",2,3))))*LOG10(IF(ISNUMBER(L5),L5,IFERROR(VALUE(LEFT(F5,FIND("-",F5)-1)),100))+1))/IF(IF(ISBLANK(M5),G5,M5)="High",5,IF(IF(ISBLANK(M5),G5,M5)="Medium",3,1)),2)</f>
        <v>4.8</v>
      </c>
      <c r="L5" s="42"/>
      <c r="M5" s="42"/>
      <c r="N5" s="42"/>
      <c r="O5" s="42" t="s">
        <v>123</v>
      </c>
      <c r="P5" s="43"/>
    </row>
    <row r="6" customFormat="false" ht="25.5" hidden="false" customHeight="true" outlineLevel="0" collapsed="false">
      <c r="A6" s="42" t="n">
        <v>765</v>
      </c>
      <c r="B6" s="42" t="n">
        <v>10</v>
      </c>
      <c r="C6" s="42" t="s">
        <v>115</v>
      </c>
      <c r="D6" s="43" t="s">
        <v>1803</v>
      </c>
      <c r="E6" s="42" t="s">
        <v>1158</v>
      </c>
      <c r="F6" s="43" t="s">
        <v>989</v>
      </c>
      <c r="G6" s="42" t="s">
        <v>505</v>
      </c>
      <c r="H6" s="42" t="s">
        <v>1794</v>
      </c>
      <c r="I6" s="43" t="s">
        <v>1795</v>
      </c>
      <c r="J6" s="43" t="s">
        <v>1804</v>
      </c>
      <c r="K6" s="44" t="n">
        <f aca="false">ROUND((IF(E6="Transactional",5,IF(E6="Commercial",4,IF(E6="Comparison",3,IF(E6="Informational",2,3))))*LOG10(IF(ISNUMBER(L6),L6,IFERROR(VALUE(LEFT(F6,FIND("-",F6)-1)),100))+1))/IF(IF(ISBLANK(M6),G6,M6)="High",5,IF(IF(ISBLANK(M6),G6,M6)="Medium",3,1)),2)</f>
        <v>4.96</v>
      </c>
      <c r="L6" s="42"/>
      <c r="M6" s="42"/>
      <c r="N6" s="42"/>
      <c r="O6" s="42" t="s">
        <v>123</v>
      </c>
      <c r="P6" s="43"/>
    </row>
    <row r="7" customFormat="false" ht="25.5" hidden="false" customHeight="true" outlineLevel="0" collapsed="false">
      <c r="A7" s="42" t="n">
        <v>766</v>
      </c>
      <c r="B7" s="42" t="n">
        <v>10</v>
      </c>
      <c r="C7" s="42" t="s">
        <v>125</v>
      </c>
      <c r="D7" s="45" t="s">
        <v>1805</v>
      </c>
      <c r="E7" s="42" t="s">
        <v>1158</v>
      </c>
      <c r="F7" s="43" t="s">
        <v>994</v>
      </c>
      <c r="G7" s="42" t="s">
        <v>505</v>
      </c>
      <c r="H7" s="42" t="s">
        <v>1794</v>
      </c>
      <c r="I7" s="43" t="s">
        <v>1795</v>
      </c>
      <c r="J7" s="45" t="s">
        <v>1806</v>
      </c>
      <c r="K7" s="44" t="n">
        <f aca="false">ROUND((IF(E7="Transactional",5,IF(E7="Commercial",4,IF(E7="Comparison",3,IF(E7="Informational",2,3))))*LOG10(IF(ISNUMBER(L7),L7,IFERROR(VALUE(LEFT(F7,FIND("-",F7)-1)),100))+1))/IF(IF(ISBLANK(M7),G7,M7)="High",5,IF(IF(ISBLANK(M7),G7,M7)="Medium",3,1)),2)</f>
        <v>4.8</v>
      </c>
      <c r="L7" s="42"/>
      <c r="M7" s="42"/>
      <c r="N7" s="42"/>
      <c r="O7" s="42" t="s">
        <v>123</v>
      </c>
      <c r="P7" s="43"/>
    </row>
    <row r="8" customFormat="false" ht="25.5" hidden="false" customHeight="true" outlineLevel="0" collapsed="false">
      <c r="A8" s="42" t="n">
        <v>767</v>
      </c>
      <c r="B8" s="42" t="n">
        <v>10</v>
      </c>
      <c r="C8" s="42" t="s">
        <v>115</v>
      </c>
      <c r="D8" s="43" t="s">
        <v>1807</v>
      </c>
      <c r="E8" s="42" t="s">
        <v>117</v>
      </c>
      <c r="F8" s="43" t="s">
        <v>989</v>
      </c>
      <c r="G8" s="42" t="s">
        <v>505</v>
      </c>
      <c r="H8" s="42" t="s">
        <v>1794</v>
      </c>
      <c r="I8" s="43" t="s">
        <v>1795</v>
      </c>
      <c r="J8" s="43" t="s">
        <v>1808</v>
      </c>
      <c r="K8" s="44" t="n">
        <f aca="false">ROUND((IF(E8="Transactional",5,IF(E8="Commercial",4,IF(E8="Comparison",3,IF(E8="Informational",2,3))))*LOG10(IF(ISNUMBER(L8),L8,IFERROR(VALUE(LEFT(F8,FIND("-",F8)-1)),100))+1))/IF(IF(ISBLANK(M8),G8,M8)="High",5,IF(IF(ISBLANK(M8),G8,M8)="Medium",3,1)),2)</f>
        <v>9.91</v>
      </c>
      <c r="L8" s="42"/>
      <c r="M8" s="42"/>
      <c r="N8" s="42"/>
      <c r="O8" s="42" t="s">
        <v>123</v>
      </c>
      <c r="P8" s="43"/>
    </row>
    <row r="9" customFormat="false" ht="25.5" hidden="false" customHeight="true" outlineLevel="0" collapsed="false">
      <c r="A9" s="42" t="n">
        <v>768</v>
      </c>
      <c r="B9" s="42" t="n">
        <v>10</v>
      </c>
      <c r="C9" s="42" t="s">
        <v>125</v>
      </c>
      <c r="D9" s="45" t="s">
        <v>1809</v>
      </c>
      <c r="E9" s="42" t="s">
        <v>117</v>
      </c>
      <c r="F9" s="43" t="s">
        <v>994</v>
      </c>
      <c r="G9" s="42" t="s">
        <v>505</v>
      </c>
      <c r="H9" s="42" t="s">
        <v>1794</v>
      </c>
      <c r="I9" s="43" t="s">
        <v>1795</v>
      </c>
      <c r="J9" s="45" t="s">
        <v>1810</v>
      </c>
      <c r="K9" s="44" t="n">
        <f aca="false">ROUND((IF(E9="Transactional",5,IF(E9="Commercial",4,IF(E9="Comparison",3,IF(E9="Informational",2,3))))*LOG10(IF(ISNUMBER(L9),L9,IFERROR(VALUE(LEFT(F9,FIND("-",F9)-1)),100))+1))/IF(IF(ISBLANK(M9),G9,M9)="High",5,IF(IF(ISBLANK(M9),G9,M9)="Medium",3,1)),2)</f>
        <v>9.6</v>
      </c>
      <c r="L9" s="42"/>
      <c r="M9" s="42"/>
      <c r="N9" s="42"/>
      <c r="O9" s="42" t="s">
        <v>123</v>
      </c>
      <c r="P9" s="43"/>
    </row>
    <row r="10" customFormat="false" ht="25.5" hidden="false" customHeight="true" outlineLevel="0" collapsed="false">
      <c r="A10" s="42" t="n">
        <v>769</v>
      </c>
      <c r="B10" s="42" t="n">
        <v>10</v>
      </c>
      <c r="C10" s="42" t="s">
        <v>115</v>
      </c>
      <c r="D10" s="43" t="s">
        <v>1811</v>
      </c>
      <c r="E10" s="42" t="s">
        <v>1158</v>
      </c>
      <c r="F10" s="43" t="s">
        <v>1102</v>
      </c>
      <c r="G10" s="42" t="s">
        <v>505</v>
      </c>
      <c r="H10" s="42" t="s">
        <v>1794</v>
      </c>
      <c r="I10" s="43" t="s">
        <v>1795</v>
      </c>
      <c r="J10" s="43" t="s">
        <v>1812</v>
      </c>
      <c r="K10" s="44" t="n">
        <f aca="false">ROUND((IF(E10="Transactional",5,IF(E10="Commercial",4,IF(E10="Comparison",3,IF(E10="Informational",2,3))))*LOG10(IF(ISNUMBER(L10),L10,IFERROR(VALUE(LEFT(F10,FIND("-",F10)-1)),100))+1))/IF(IF(ISBLANK(M10),G10,M10)="High",5,IF(IF(ISBLANK(M10),G10,M10)="Medium",3,1)),2)</f>
        <v>5.4</v>
      </c>
      <c r="L10" s="42"/>
      <c r="M10" s="42"/>
      <c r="N10" s="42"/>
      <c r="O10" s="42" t="s">
        <v>123</v>
      </c>
      <c r="P10" s="43"/>
    </row>
    <row r="11" customFormat="false" ht="25.5" hidden="false" customHeight="true" outlineLevel="0" collapsed="false">
      <c r="A11" s="42" t="n">
        <v>770</v>
      </c>
      <c r="B11" s="42" t="n">
        <v>10</v>
      </c>
      <c r="C11" s="42" t="s">
        <v>125</v>
      </c>
      <c r="D11" s="45" t="s">
        <v>1813</v>
      </c>
      <c r="E11" s="42" t="s">
        <v>1158</v>
      </c>
      <c r="F11" s="43" t="s">
        <v>136</v>
      </c>
      <c r="G11" s="42" t="s">
        <v>505</v>
      </c>
      <c r="H11" s="42" t="s">
        <v>1794</v>
      </c>
      <c r="I11" s="43" t="s">
        <v>1795</v>
      </c>
      <c r="J11" s="45" t="s">
        <v>1814</v>
      </c>
      <c r="K11" s="44" t="n">
        <f aca="false">ROUND((IF(E11="Transactional",5,IF(E11="Commercial",4,IF(E11="Comparison",3,IF(E11="Informational",2,3))))*LOG10(IF(ISNUMBER(L11),L11,IFERROR(VALUE(LEFT(F11,FIND("-",F11)-1)),100))+1))/IF(IF(ISBLANK(M11),G11,M11)="High",5,IF(IF(ISBLANK(M11),G11,M11)="Medium",3,1)),2)</f>
        <v>5.21</v>
      </c>
      <c r="L11" s="42"/>
      <c r="M11" s="42"/>
      <c r="N11" s="42"/>
      <c r="O11" s="42" t="s">
        <v>123</v>
      </c>
      <c r="P11" s="43"/>
    </row>
    <row r="12" customFormat="false" ht="25.5" hidden="false" customHeight="true" outlineLevel="0" collapsed="false">
      <c r="A12" s="42" t="n">
        <v>771</v>
      </c>
      <c r="B12" s="42" t="n">
        <v>10</v>
      </c>
      <c r="C12" s="42" t="s">
        <v>115</v>
      </c>
      <c r="D12" s="43" t="s">
        <v>1815</v>
      </c>
      <c r="E12" s="42" t="s">
        <v>1158</v>
      </c>
      <c r="F12" s="43" t="s">
        <v>989</v>
      </c>
      <c r="G12" s="42" t="s">
        <v>505</v>
      </c>
      <c r="H12" s="42" t="s">
        <v>1794</v>
      </c>
      <c r="I12" s="43" t="s">
        <v>1795</v>
      </c>
      <c r="J12" s="43" t="s">
        <v>1816</v>
      </c>
      <c r="K12" s="44" t="n">
        <f aca="false">ROUND((IF(E12="Transactional",5,IF(E12="Commercial",4,IF(E12="Comparison",3,IF(E12="Informational",2,3))))*LOG10(IF(ISNUMBER(L12),L12,IFERROR(VALUE(LEFT(F12,FIND("-",F12)-1)),100))+1))/IF(IF(ISBLANK(M12),G12,M12)="High",5,IF(IF(ISBLANK(M12),G12,M12)="Medium",3,1)),2)</f>
        <v>4.96</v>
      </c>
      <c r="L12" s="42"/>
      <c r="M12" s="42"/>
      <c r="N12" s="42"/>
      <c r="O12" s="42" t="s">
        <v>123</v>
      </c>
      <c r="P12" s="43"/>
    </row>
    <row r="13" customFormat="false" ht="25.5" hidden="false" customHeight="true" outlineLevel="0" collapsed="false">
      <c r="A13" s="42" t="n">
        <v>772</v>
      </c>
      <c r="B13" s="42" t="n">
        <v>10</v>
      </c>
      <c r="C13" s="42" t="s">
        <v>125</v>
      </c>
      <c r="D13" s="45" t="s">
        <v>1817</v>
      </c>
      <c r="E13" s="42" t="s">
        <v>1158</v>
      </c>
      <c r="F13" s="43" t="s">
        <v>994</v>
      </c>
      <c r="G13" s="42" t="s">
        <v>505</v>
      </c>
      <c r="H13" s="42" t="s">
        <v>1794</v>
      </c>
      <c r="I13" s="43" t="s">
        <v>1795</v>
      </c>
      <c r="J13" s="45" t="s">
        <v>1818</v>
      </c>
      <c r="K13" s="44" t="n">
        <f aca="false">ROUND((IF(E13="Transactional",5,IF(E13="Commercial",4,IF(E13="Comparison",3,IF(E13="Informational",2,3))))*LOG10(IF(ISNUMBER(L13),L13,IFERROR(VALUE(LEFT(F13,FIND("-",F13)-1)),100))+1))/IF(IF(ISBLANK(M13),G13,M13)="High",5,IF(IF(ISBLANK(M13),G13,M13)="Medium",3,1)),2)</f>
        <v>4.8</v>
      </c>
      <c r="L13" s="42"/>
      <c r="M13" s="42"/>
      <c r="N13" s="42"/>
      <c r="O13" s="42" t="s">
        <v>123</v>
      </c>
      <c r="P13" s="43"/>
    </row>
    <row r="14" customFormat="false" ht="25.5" hidden="false" customHeight="true" outlineLevel="0" collapsed="false">
      <c r="A14" s="42" t="n">
        <v>773</v>
      </c>
      <c r="B14" s="42" t="n">
        <v>10</v>
      </c>
      <c r="C14" s="42" t="s">
        <v>115</v>
      </c>
      <c r="D14" s="43" t="s">
        <v>1819</v>
      </c>
      <c r="E14" s="42" t="s">
        <v>1158</v>
      </c>
      <c r="F14" s="43" t="s">
        <v>989</v>
      </c>
      <c r="G14" s="42" t="s">
        <v>505</v>
      </c>
      <c r="H14" s="42" t="s">
        <v>1794</v>
      </c>
      <c r="I14" s="43" t="s">
        <v>1795</v>
      </c>
      <c r="J14" s="43" t="s">
        <v>1820</v>
      </c>
      <c r="K14" s="44" t="n">
        <f aca="false">ROUND((IF(E14="Transactional",5,IF(E14="Commercial",4,IF(E14="Comparison",3,IF(E14="Informational",2,3))))*LOG10(IF(ISNUMBER(L14),L14,IFERROR(VALUE(LEFT(F14,FIND("-",F14)-1)),100))+1))/IF(IF(ISBLANK(M14),G14,M14)="High",5,IF(IF(ISBLANK(M14),G14,M14)="Medium",3,1)),2)</f>
        <v>4.96</v>
      </c>
      <c r="L14" s="42"/>
      <c r="M14" s="42"/>
      <c r="N14" s="42"/>
      <c r="O14" s="42" t="s">
        <v>123</v>
      </c>
      <c r="P14" s="43"/>
    </row>
    <row r="15" customFormat="false" ht="25.5" hidden="false" customHeight="true" outlineLevel="0" collapsed="false">
      <c r="A15" s="42" t="n">
        <v>774</v>
      </c>
      <c r="B15" s="42" t="n">
        <v>10</v>
      </c>
      <c r="C15" s="42" t="s">
        <v>125</v>
      </c>
      <c r="D15" s="45" t="s">
        <v>1821</v>
      </c>
      <c r="E15" s="42" t="s">
        <v>1158</v>
      </c>
      <c r="F15" s="43" t="s">
        <v>994</v>
      </c>
      <c r="G15" s="42" t="s">
        <v>505</v>
      </c>
      <c r="H15" s="42" t="s">
        <v>1794</v>
      </c>
      <c r="I15" s="43" t="s">
        <v>1795</v>
      </c>
      <c r="J15" s="45" t="s">
        <v>1822</v>
      </c>
      <c r="K15" s="44" t="n">
        <f aca="false">ROUND((IF(E15="Transactional",5,IF(E15="Commercial",4,IF(E15="Comparison",3,IF(E15="Informational",2,3))))*LOG10(IF(ISNUMBER(L15),L15,IFERROR(VALUE(LEFT(F15,FIND("-",F15)-1)),100))+1))/IF(IF(ISBLANK(M15),G15,M15)="High",5,IF(IF(ISBLANK(M15),G15,M15)="Medium",3,1)),2)</f>
        <v>4.8</v>
      </c>
      <c r="L15" s="42"/>
      <c r="M15" s="42"/>
      <c r="N15" s="42"/>
      <c r="O15" s="42" t="s">
        <v>123</v>
      </c>
      <c r="P15" s="43"/>
    </row>
    <row r="16" customFormat="false" ht="25.5" hidden="false" customHeight="true" outlineLevel="0" collapsed="false">
      <c r="A16" s="42" t="n">
        <v>775</v>
      </c>
      <c r="B16" s="42" t="n">
        <v>10</v>
      </c>
      <c r="C16" s="42" t="s">
        <v>115</v>
      </c>
      <c r="D16" s="43" t="s">
        <v>1823</v>
      </c>
      <c r="E16" s="42" t="s">
        <v>1158</v>
      </c>
      <c r="F16" s="43" t="s">
        <v>989</v>
      </c>
      <c r="G16" s="42" t="s">
        <v>505</v>
      </c>
      <c r="H16" s="42" t="s">
        <v>1794</v>
      </c>
      <c r="I16" s="43" t="s">
        <v>1795</v>
      </c>
      <c r="J16" s="43" t="s">
        <v>1824</v>
      </c>
      <c r="K16" s="44" t="n">
        <f aca="false">ROUND((IF(E16="Transactional",5,IF(E16="Commercial",4,IF(E16="Comparison",3,IF(E16="Informational",2,3))))*LOG10(IF(ISNUMBER(L16),L16,IFERROR(VALUE(LEFT(F16,FIND("-",F16)-1)),100))+1))/IF(IF(ISBLANK(M16),G16,M16)="High",5,IF(IF(ISBLANK(M16),G16,M16)="Medium",3,1)),2)</f>
        <v>4.96</v>
      </c>
      <c r="L16" s="42"/>
      <c r="M16" s="42"/>
      <c r="N16" s="42"/>
      <c r="O16" s="42" t="s">
        <v>123</v>
      </c>
      <c r="P16" s="43"/>
    </row>
    <row r="17" customFormat="false" ht="25.5" hidden="false" customHeight="true" outlineLevel="0" collapsed="false">
      <c r="A17" s="42" t="n">
        <v>776</v>
      </c>
      <c r="B17" s="42" t="n">
        <v>10</v>
      </c>
      <c r="C17" s="42" t="s">
        <v>125</v>
      </c>
      <c r="D17" s="45" t="s">
        <v>1825</v>
      </c>
      <c r="E17" s="42" t="s">
        <v>1158</v>
      </c>
      <c r="F17" s="43" t="s">
        <v>994</v>
      </c>
      <c r="G17" s="42" t="s">
        <v>505</v>
      </c>
      <c r="H17" s="42" t="s">
        <v>1794</v>
      </c>
      <c r="I17" s="43" t="s">
        <v>1795</v>
      </c>
      <c r="J17" s="45" t="s">
        <v>1826</v>
      </c>
      <c r="K17" s="44" t="n">
        <f aca="false">ROUND((IF(E17="Transactional",5,IF(E17="Commercial",4,IF(E17="Comparison",3,IF(E17="Informational",2,3))))*LOG10(IF(ISNUMBER(L17),L17,IFERROR(VALUE(LEFT(F17,FIND("-",F17)-1)),100))+1))/IF(IF(ISBLANK(M17),G17,M17)="High",5,IF(IF(ISBLANK(M17),G17,M17)="Medium",3,1)),2)</f>
        <v>4.8</v>
      </c>
      <c r="L17" s="42"/>
      <c r="M17" s="42"/>
      <c r="N17" s="42"/>
      <c r="O17" s="42" t="s">
        <v>123</v>
      </c>
      <c r="P17" s="43"/>
    </row>
    <row r="18" customFormat="false" ht="25.5" hidden="false" customHeight="true" outlineLevel="0" collapsed="false">
      <c r="A18" s="42" t="n">
        <v>777</v>
      </c>
      <c r="B18" s="42" t="n">
        <v>10</v>
      </c>
      <c r="C18" s="42" t="s">
        <v>115</v>
      </c>
      <c r="D18" s="43" t="s">
        <v>1827</v>
      </c>
      <c r="E18" s="42" t="s">
        <v>1158</v>
      </c>
      <c r="F18" s="43" t="s">
        <v>1102</v>
      </c>
      <c r="G18" s="42" t="s">
        <v>505</v>
      </c>
      <c r="H18" s="42" t="s">
        <v>1794</v>
      </c>
      <c r="I18" s="43" t="s">
        <v>1794</v>
      </c>
      <c r="J18" s="43" t="s">
        <v>1828</v>
      </c>
      <c r="K18" s="44" t="n">
        <f aca="false">ROUND((IF(E18="Transactional",5,IF(E18="Commercial",4,IF(E18="Comparison",3,IF(E18="Informational",2,3))))*LOG10(IF(ISNUMBER(L18),L18,IFERROR(VALUE(LEFT(F18,FIND("-",F18)-1)),100))+1))/IF(IF(ISBLANK(M18),G18,M18)="High",5,IF(IF(ISBLANK(M18),G18,M18)="Medium",3,1)),2)</f>
        <v>5.4</v>
      </c>
      <c r="L18" s="42"/>
      <c r="M18" s="42"/>
      <c r="N18" s="42"/>
      <c r="O18" s="42" t="s">
        <v>123</v>
      </c>
      <c r="P18" s="43"/>
    </row>
    <row r="19" customFormat="false" ht="25.5" hidden="false" customHeight="true" outlineLevel="0" collapsed="false">
      <c r="A19" s="42" t="n">
        <v>778</v>
      </c>
      <c r="B19" s="42" t="n">
        <v>10</v>
      </c>
      <c r="C19" s="42" t="s">
        <v>125</v>
      </c>
      <c r="D19" s="45" t="s">
        <v>1829</v>
      </c>
      <c r="E19" s="42" t="s">
        <v>1158</v>
      </c>
      <c r="F19" s="43" t="s">
        <v>136</v>
      </c>
      <c r="G19" s="42" t="s">
        <v>505</v>
      </c>
      <c r="H19" s="42" t="s">
        <v>1794</v>
      </c>
      <c r="I19" s="43" t="s">
        <v>1794</v>
      </c>
      <c r="J19" s="45" t="s">
        <v>1830</v>
      </c>
      <c r="K19" s="44" t="n">
        <f aca="false">ROUND((IF(E19="Transactional",5,IF(E19="Commercial",4,IF(E19="Comparison",3,IF(E19="Informational",2,3))))*LOG10(IF(ISNUMBER(L19),L19,IFERROR(VALUE(LEFT(F19,FIND("-",F19)-1)),100))+1))/IF(IF(ISBLANK(M19),G19,M19)="High",5,IF(IF(ISBLANK(M19),G19,M19)="Medium",3,1)),2)</f>
        <v>5.21</v>
      </c>
      <c r="L19" s="42"/>
      <c r="M19" s="42"/>
      <c r="N19" s="42"/>
      <c r="O19" s="42" t="s">
        <v>123</v>
      </c>
      <c r="P19" s="43"/>
    </row>
    <row r="20" customFormat="false" ht="25.5" hidden="false" customHeight="true" outlineLevel="0" collapsed="false">
      <c r="A20" s="42" t="n">
        <v>779</v>
      </c>
      <c r="B20" s="42" t="n">
        <v>10</v>
      </c>
      <c r="C20" s="42" t="s">
        <v>115</v>
      </c>
      <c r="D20" s="43" t="s">
        <v>1831</v>
      </c>
      <c r="E20" s="42" t="s">
        <v>1158</v>
      </c>
      <c r="F20" s="43" t="s">
        <v>989</v>
      </c>
      <c r="G20" s="42" t="s">
        <v>505</v>
      </c>
      <c r="H20" s="42" t="s">
        <v>1794</v>
      </c>
      <c r="I20" s="43" t="s">
        <v>1794</v>
      </c>
      <c r="J20" s="43" t="s">
        <v>1832</v>
      </c>
      <c r="K20" s="44" t="n">
        <f aca="false">ROUND((IF(E20="Transactional",5,IF(E20="Commercial",4,IF(E20="Comparison",3,IF(E20="Informational",2,3))))*LOG10(IF(ISNUMBER(L20),L20,IFERROR(VALUE(LEFT(F20,FIND("-",F20)-1)),100))+1))/IF(IF(ISBLANK(M20),G20,M20)="High",5,IF(IF(ISBLANK(M20),G20,M20)="Medium",3,1)),2)</f>
        <v>4.96</v>
      </c>
      <c r="L20" s="42"/>
      <c r="M20" s="42"/>
      <c r="N20" s="42"/>
      <c r="O20" s="42" t="s">
        <v>123</v>
      </c>
      <c r="P20" s="43"/>
    </row>
    <row r="21" customFormat="false" ht="25.5" hidden="false" customHeight="true" outlineLevel="0" collapsed="false">
      <c r="A21" s="42" t="n">
        <v>780</v>
      </c>
      <c r="B21" s="42" t="n">
        <v>10</v>
      </c>
      <c r="C21" s="42" t="s">
        <v>125</v>
      </c>
      <c r="D21" s="45" t="s">
        <v>1833</v>
      </c>
      <c r="E21" s="42" t="s">
        <v>1158</v>
      </c>
      <c r="F21" s="43" t="s">
        <v>994</v>
      </c>
      <c r="G21" s="42" t="s">
        <v>505</v>
      </c>
      <c r="H21" s="42" t="s">
        <v>1794</v>
      </c>
      <c r="I21" s="43" t="s">
        <v>1794</v>
      </c>
      <c r="J21" s="45" t="s">
        <v>1834</v>
      </c>
      <c r="K21" s="44" t="n">
        <f aca="false">ROUND((IF(E21="Transactional",5,IF(E21="Commercial",4,IF(E21="Comparison",3,IF(E21="Informational",2,3))))*LOG10(IF(ISNUMBER(L21),L21,IFERROR(VALUE(LEFT(F21,FIND("-",F21)-1)),100))+1))/IF(IF(ISBLANK(M21),G21,M21)="High",5,IF(IF(ISBLANK(M21),G21,M21)="Medium",3,1)),2)</f>
        <v>4.8</v>
      </c>
      <c r="L21" s="42"/>
      <c r="M21" s="42"/>
      <c r="N21" s="42"/>
      <c r="O21" s="42" t="s">
        <v>123</v>
      </c>
      <c r="P21" s="43"/>
    </row>
    <row r="22" customFormat="false" ht="25.5" hidden="false" customHeight="true" outlineLevel="0" collapsed="false">
      <c r="A22" s="42" t="n">
        <v>781</v>
      </c>
      <c r="B22" s="42" t="n">
        <v>10</v>
      </c>
      <c r="C22" s="42" t="s">
        <v>115</v>
      </c>
      <c r="D22" s="43" t="s">
        <v>1835</v>
      </c>
      <c r="E22" s="42" t="s">
        <v>1158</v>
      </c>
      <c r="F22" s="43" t="s">
        <v>989</v>
      </c>
      <c r="G22" s="42" t="s">
        <v>505</v>
      </c>
      <c r="H22" s="42" t="s">
        <v>1794</v>
      </c>
      <c r="I22" s="43" t="s">
        <v>1794</v>
      </c>
      <c r="J22" s="43" t="s">
        <v>1836</v>
      </c>
      <c r="K22" s="44" t="n">
        <f aca="false">ROUND((IF(E22="Transactional",5,IF(E22="Commercial",4,IF(E22="Comparison",3,IF(E22="Informational",2,3))))*LOG10(IF(ISNUMBER(L22),L22,IFERROR(VALUE(LEFT(F22,FIND("-",F22)-1)),100))+1))/IF(IF(ISBLANK(M22),G22,M22)="High",5,IF(IF(ISBLANK(M22),G22,M22)="Medium",3,1)),2)</f>
        <v>4.96</v>
      </c>
      <c r="L22" s="42"/>
      <c r="M22" s="42"/>
      <c r="N22" s="42"/>
      <c r="O22" s="42" t="s">
        <v>123</v>
      </c>
      <c r="P22" s="43"/>
    </row>
    <row r="23" customFormat="false" ht="25.5" hidden="false" customHeight="true" outlineLevel="0" collapsed="false">
      <c r="A23" s="42" t="n">
        <v>782</v>
      </c>
      <c r="B23" s="42" t="n">
        <v>10</v>
      </c>
      <c r="C23" s="42" t="s">
        <v>125</v>
      </c>
      <c r="D23" s="45" t="s">
        <v>1837</v>
      </c>
      <c r="E23" s="42" t="s">
        <v>1158</v>
      </c>
      <c r="F23" s="43" t="s">
        <v>994</v>
      </c>
      <c r="G23" s="42" t="s">
        <v>505</v>
      </c>
      <c r="H23" s="42" t="s">
        <v>1794</v>
      </c>
      <c r="I23" s="43" t="s">
        <v>1794</v>
      </c>
      <c r="J23" s="45" t="s">
        <v>1838</v>
      </c>
      <c r="K23" s="44" t="n">
        <f aca="false">ROUND((IF(E23="Transactional",5,IF(E23="Commercial",4,IF(E23="Comparison",3,IF(E23="Informational",2,3))))*LOG10(IF(ISNUMBER(L23),L23,IFERROR(VALUE(LEFT(F23,FIND("-",F23)-1)),100))+1))/IF(IF(ISBLANK(M23),G23,M23)="High",5,IF(IF(ISBLANK(M23),G23,M23)="Medium",3,1)),2)</f>
        <v>4.8</v>
      </c>
      <c r="L23" s="42"/>
      <c r="M23" s="42"/>
      <c r="N23" s="42"/>
      <c r="O23" s="42" t="s">
        <v>123</v>
      </c>
      <c r="P23" s="43"/>
    </row>
    <row r="24" customFormat="false" ht="25.5" hidden="false" customHeight="true" outlineLevel="0" collapsed="false">
      <c r="A24" s="42" t="n">
        <v>783</v>
      </c>
      <c r="B24" s="42" t="n">
        <v>10</v>
      </c>
      <c r="C24" s="42" t="s">
        <v>115</v>
      </c>
      <c r="D24" s="43" t="s">
        <v>1839</v>
      </c>
      <c r="E24" s="42" t="s">
        <v>1158</v>
      </c>
      <c r="F24" s="43" t="s">
        <v>989</v>
      </c>
      <c r="G24" s="42" t="s">
        <v>505</v>
      </c>
      <c r="H24" s="42" t="s">
        <v>1794</v>
      </c>
      <c r="I24" s="43" t="s">
        <v>1794</v>
      </c>
      <c r="J24" s="43" t="s">
        <v>1840</v>
      </c>
      <c r="K24" s="44" t="n">
        <f aca="false">ROUND((IF(E24="Transactional",5,IF(E24="Commercial",4,IF(E24="Comparison",3,IF(E24="Informational",2,3))))*LOG10(IF(ISNUMBER(L24),L24,IFERROR(VALUE(LEFT(F24,FIND("-",F24)-1)),100))+1))/IF(IF(ISBLANK(M24),G24,M24)="High",5,IF(IF(ISBLANK(M24),G24,M24)="Medium",3,1)),2)</f>
        <v>4.96</v>
      </c>
      <c r="L24" s="42"/>
      <c r="M24" s="42"/>
      <c r="N24" s="42"/>
      <c r="O24" s="42" t="s">
        <v>123</v>
      </c>
      <c r="P24" s="43"/>
    </row>
    <row r="25" customFormat="false" ht="25.5" hidden="false" customHeight="true" outlineLevel="0" collapsed="false">
      <c r="A25" s="42" t="n">
        <v>784</v>
      </c>
      <c r="B25" s="42" t="n">
        <v>10</v>
      </c>
      <c r="C25" s="42" t="s">
        <v>125</v>
      </c>
      <c r="D25" s="45" t="s">
        <v>1841</v>
      </c>
      <c r="E25" s="42" t="s">
        <v>1158</v>
      </c>
      <c r="F25" s="43" t="s">
        <v>994</v>
      </c>
      <c r="G25" s="42" t="s">
        <v>505</v>
      </c>
      <c r="H25" s="42" t="s">
        <v>1794</v>
      </c>
      <c r="I25" s="43" t="s">
        <v>1794</v>
      </c>
      <c r="J25" s="45" t="s">
        <v>1842</v>
      </c>
      <c r="K25" s="44" t="n">
        <f aca="false">ROUND((IF(E25="Transactional",5,IF(E25="Commercial",4,IF(E25="Comparison",3,IF(E25="Informational",2,3))))*LOG10(IF(ISNUMBER(L25),L25,IFERROR(VALUE(LEFT(F25,FIND("-",F25)-1)),100))+1))/IF(IF(ISBLANK(M25),G25,M25)="High",5,IF(IF(ISBLANK(M25),G25,M25)="Medium",3,1)),2)</f>
        <v>4.8</v>
      </c>
      <c r="L25" s="42"/>
      <c r="M25" s="42"/>
      <c r="N25" s="42"/>
      <c r="O25" s="42" t="s">
        <v>123</v>
      </c>
      <c r="P25" s="43"/>
    </row>
    <row r="26" customFormat="false" ht="25.5" hidden="false" customHeight="true" outlineLevel="0" collapsed="false">
      <c r="A26" s="42" t="n">
        <v>785</v>
      </c>
      <c r="B26" s="42" t="n">
        <v>10</v>
      </c>
      <c r="C26" s="42" t="s">
        <v>115</v>
      </c>
      <c r="D26" s="43" t="s">
        <v>1843</v>
      </c>
      <c r="E26" s="42" t="s">
        <v>1158</v>
      </c>
      <c r="F26" s="43" t="s">
        <v>989</v>
      </c>
      <c r="G26" s="42" t="s">
        <v>505</v>
      </c>
      <c r="H26" s="42" t="s">
        <v>1794</v>
      </c>
      <c r="I26" s="43" t="s">
        <v>1794</v>
      </c>
      <c r="J26" s="43" t="s">
        <v>1844</v>
      </c>
      <c r="K26" s="44" t="n">
        <f aca="false">ROUND((IF(E26="Transactional",5,IF(E26="Commercial",4,IF(E26="Comparison",3,IF(E26="Informational",2,3))))*LOG10(IF(ISNUMBER(L26),L26,IFERROR(VALUE(LEFT(F26,FIND("-",F26)-1)),100))+1))/IF(IF(ISBLANK(M26),G26,M26)="High",5,IF(IF(ISBLANK(M26),G26,M26)="Medium",3,1)),2)</f>
        <v>4.96</v>
      </c>
      <c r="L26" s="42"/>
      <c r="M26" s="42"/>
      <c r="N26" s="42"/>
      <c r="O26" s="42" t="s">
        <v>123</v>
      </c>
      <c r="P26" s="43"/>
    </row>
    <row r="27" customFormat="false" ht="25.5" hidden="false" customHeight="true" outlineLevel="0" collapsed="false">
      <c r="A27" s="42" t="n">
        <v>786</v>
      </c>
      <c r="B27" s="42" t="n">
        <v>10</v>
      </c>
      <c r="C27" s="42" t="s">
        <v>125</v>
      </c>
      <c r="D27" s="45" t="s">
        <v>1845</v>
      </c>
      <c r="E27" s="42" t="s">
        <v>1158</v>
      </c>
      <c r="F27" s="43" t="s">
        <v>994</v>
      </c>
      <c r="G27" s="42" t="s">
        <v>505</v>
      </c>
      <c r="H27" s="42" t="s">
        <v>1794</v>
      </c>
      <c r="I27" s="43" t="s">
        <v>1794</v>
      </c>
      <c r="J27" s="45" t="s">
        <v>1846</v>
      </c>
      <c r="K27" s="44" t="n">
        <f aca="false">ROUND((IF(E27="Transactional",5,IF(E27="Commercial",4,IF(E27="Comparison",3,IF(E27="Informational",2,3))))*LOG10(IF(ISNUMBER(L27),L27,IFERROR(VALUE(LEFT(F27,FIND("-",F27)-1)),100))+1))/IF(IF(ISBLANK(M27),G27,M27)="High",5,IF(IF(ISBLANK(M27),G27,M27)="Medium",3,1)),2)</f>
        <v>4.8</v>
      </c>
      <c r="L27" s="42"/>
      <c r="M27" s="42"/>
      <c r="N27" s="42"/>
      <c r="O27" s="42" t="s">
        <v>123</v>
      </c>
      <c r="P27" s="43"/>
    </row>
    <row r="28" customFormat="false" ht="25.5" hidden="false" customHeight="true" outlineLevel="0" collapsed="false">
      <c r="A28" s="42" t="n">
        <v>787</v>
      </c>
      <c r="B28" s="42" t="n">
        <v>10</v>
      </c>
      <c r="C28" s="42" t="s">
        <v>115</v>
      </c>
      <c r="D28" s="43" t="s">
        <v>1847</v>
      </c>
      <c r="E28" s="42" t="s">
        <v>1158</v>
      </c>
      <c r="F28" s="43" t="s">
        <v>989</v>
      </c>
      <c r="G28" s="42" t="s">
        <v>505</v>
      </c>
      <c r="H28" s="42" t="s">
        <v>1794</v>
      </c>
      <c r="I28" s="43" t="s">
        <v>1794</v>
      </c>
      <c r="J28" s="43" t="s">
        <v>1848</v>
      </c>
      <c r="K28" s="44" t="n">
        <f aca="false">ROUND((IF(E28="Transactional",5,IF(E28="Commercial",4,IF(E28="Comparison",3,IF(E28="Informational",2,3))))*LOG10(IF(ISNUMBER(L28),L28,IFERROR(VALUE(LEFT(F28,FIND("-",F28)-1)),100))+1))/IF(IF(ISBLANK(M28),G28,M28)="High",5,IF(IF(ISBLANK(M28),G28,M28)="Medium",3,1)),2)</f>
        <v>4.96</v>
      </c>
      <c r="L28" s="42"/>
      <c r="M28" s="42"/>
      <c r="N28" s="42"/>
      <c r="O28" s="42" t="s">
        <v>123</v>
      </c>
      <c r="P28" s="43"/>
    </row>
    <row r="29" customFormat="false" ht="25.5" hidden="false" customHeight="true" outlineLevel="0" collapsed="false">
      <c r="A29" s="42" t="n">
        <v>788</v>
      </c>
      <c r="B29" s="42" t="n">
        <v>10</v>
      </c>
      <c r="C29" s="42" t="s">
        <v>125</v>
      </c>
      <c r="D29" s="45" t="s">
        <v>1849</v>
      </c>
      <c r="E29" s="42" t="s">
        <v>1158</v>
      </c>
      <c r="F29" s="43" t="s">
        <v>994</v>
      </c>
      <c r="G29" s="42" t="s">
        <v>505</v>
      </c>
      <c r="H29" s="42" t="s">
        <v>1794</v>
      </c>
      <c r="I29" s="43" t="s">
        <v>1794</v>
      </c>
      <c r="J29" s="45" t="s">
        <v>1850</v>
      </c>
      <c r="K29" s="44" t="n">
        <f aca="false">ROUND((IF(E29="Transactional",5,IF(E29="Commercial",4,IF(E29="Comparison",3,IF(E29="Informational",2,3))))*LOG10(IF(ISNUMBER(L29),L29,IFERROR(VALUE(LEFT(F29,FIND("-",F29)-1)),100))+1))/IF(IF(ISBLANK(M29),G29,M29)="High",5,IF(IF(ISBLANK(M29),G29,M29)="Medium",3,1)),2)</f>
        <v>4.8</v>
      </c>
      <c r="L29" s="42"/>
      <c r="M29" s="42"/>
      <c r="N29" s="42"/>
      <c r="O29" s="42" t="s">
        <v>123</v>
      </c>
      <c r="P29" s="43"/>
    </row>
    <row r="30" customFormat="false" ht="25.5" hidden="false" customHeight="true" outlineLevel="0" collapsed="false">
      <c r="A30" s="42" t="n">
        <v>789</v>
      </c>
      <c r="B30" s="42" t="n">
        <v>10</v>
      </c>
      <c r="C30" s="42" t="s">
        <v>115</v>
      </c>
      <c r="D30" s="43" t="s">
        <v>1851</v>
      </c>
      <c r="E30" s="42" t="s">
        <v>117</v>
      </c>
      <c r="F30" s="43" t="s">
        <v>989</v>
      </c>
      <c r="G30" s="42" t="s">
        <v>505</v>
      </c>
      <c r="H30" s="42" t="s">
        <v>1794</v>
      </c>
      <c r="I30" s="43" t="s">
        <v>1794</v>
      </c>
      <c r="J30" s="43" t="s">
        <v>1852</v>
      </c>
      <c r="K30" s="44" t="n">
        <f aca="false">ROUND((IF(E30="Transactional",5,IF(E30="Commercial",4,IF(E30="Comparison",3,IF(E30="Informational",2,3))))*LOG10(IF(ISNUMBER(L30),L30,IFERROR(VALUE(LEFT(F30,FIND("-",F30)-1)),100))+1))/IF(IF(ISBLANK(M30),G30,M30)="High",5,IF(IF(ISBLANK(M30),G30,M30)="Medium",3,1)),2)</f>
        <v>9.91</v>
      </c>
      <c r="L30" s="42"/>
      <c r="M30" s="42"/>
      <c r="N30" s="42"/>
      <c r="O30" s="42" t="s">
        <v>123</v>
      </c>
      <c r="P30" s="43"/>
    </row>
    <row r="31" customFormat="false" ht="25.5" hidden="false" customHeight="true" outlineLevel="0" collapsed="false">
      <c r="A31" s="42" t="n">
        <v>790</v>
      </c>
      <c r="B31" s="42" t="n">
        <v>10</v>
      </c>
      <c r="C31" s="42" t="s">
        <v>125</v>
      </c>
      <c r="D31" s="45" t="s">
        <v>1853</v>
      </c>
      <c r="E31" s="42" t="s">
        <v>117</v>
      </c>
      <c r="F31" s="43" t="s">
        <v>994</v>
      </c>
      <c r="G31" s="42" t="s">
        <v>505</v>
      </c>
      <c r="H31" s="42" t="s">
        <v>1794</v>
      </c>
      <c r="I31" s="43" t="s">
        <v>1794</v>
      </c>
      <c r="J31" s="45" t="s">
        <v>1854</v>
      </c>
      <c r="K31" s="44" t="n">
        <f aca="false">ROUND((IF(E31="Transactional",5,IF(E31="Commercial",4,IF(E31="Comparison",3,IF(E31="Informational",2,3))))*LOG10(IF(ISNUMBER(L31),L31,IFERROR(VALUE(LEFT(F31,FIND("-",F31)-1)),100))+1))/IF(IF(ISBLANK(M31),G31,M31)="High",5,IF(IF(ISBLANK(M31),G31,M31)="Medium",3,1)),2)</f>
        <v>9.6</v>
      </c>
      <c r="L31" s="42"/>
      <c r="M31" s="42"/>
      <c r="N31" s="42"/>
      <c r="O31" s="42" t="s">
        <v>123</v>
      </c>
      <c r="P31" s="43"/>
    </row>
    <row r="32" customFormat="false" ht="25.5" hidden="false" customHeight="true" outlineLevel="0" collapsed="false">
      <c r="A32" s="42" t="n">
        <v>791</v>
      </c>
      <c r="B32" s="42" t="n">
        <v>10</v>
      </c>
      <c r="C32" s="42" t="s">
        <v>115</v>
      </c>
      <c r="D32" s="43" t="s">
        <v>1855</v>
      </c>
      <c r="E32" s="42" t="s">
        <v>1101</v>
      </c>
      <c r="F32" s="43" t="s">
        <v>1102</v>
      </c>
      <c r="G32" s="42" t="s">
        <v>505</v>
      </c>
      <c r="H32" s="42" t="s">
        <v>1794</v>
      </c>
      <c r="I32" s="43" t="s">
        <v>1794</v>
      </c>
      <c r="J32" s="43" t="s">
        <v>1856</v>
      </c>
      <c r="K32" s="44" t="n">
        <f aca="false">ROUND((IF(E32="Transactional",5,IF(E32="Commercial",4,IF(E32="Comparison",3,IF(E32="Informational",2,3))))*LOG10(IF(ISNUMBER(L32),L32,IFERROR(VALUE(LEFT(F32,FIND("-",F32)-1)),100))+1))/IF(IF(ISBLANK(M32),G32,M32)="High",5,IF(IF(ISBLANK(M32),G32,M32)="Medium",3,1)),2)</f>
        <v>13.5</v>
      </c>
      <c r="L32" s="42"/>
      <c r="M32" s="42"/>
      <c r="N32" s="42"/>
      <c r="O32" s="42" t="s">
        <v>123</v>
      </c>
      <c r="P32" s="43"/>
    </row>
    <row r="33" customFormat="false" ht="25.5" hidden="false" customHeight="true" outlineLevel="0" collapsed="false">
      <c r="A33" s="42" t="n">
        <v>792</v>
      </c>
      <c r="B33" s="42" t="n">
        <v>10</v>
      </c>
      <c r="C33" s="42" t="s">
        <v>125</v>
      </c>
      <c r="D33" s="45" t="s">
        <v>1857</v>
      </c>
      <c r="E33" s="42" t="s">
        <v>1101</v>
      </c>
      <c r="F33" s="43" t="s">
        <v>136</v>
      </c>
      <c r="G33" s="42" t="s">
        <v>505</v>
      </c>
      <c r="H33" s="42" t="s">
        <v>1794</v>
      </c>
      <c r="I33" s="43" t="s">
        <v>1794</v>
      </c>
      <c r="J33" s="45" t="s">
        <v>1858</v>
      </c>
      <c r="K33" s="44" t="n">
        <f aca="false">ROUND((IF(E33="Transactional",5,IF(E33="Commercial",4,IF(E33="Comparison",3,IF(E33="Informational",2,3))))*LOG10(IF(ISNUMBER(L33),L33,IFERROR(VALUE(LEFT(F33,FIND("-",F33)-1)),100))+1))/IF(IF(ISBLANK(M33),G33,M33)="High",5,IF(IF(ISBLANK(M33),G33,M33)="Medium",3,1)),2)</f>
        <v>13.02</v>
      </c>
      <c r="L33" s="42"/>
      <c r="M33" s="42"/>
      <c r="N33" s="42"/>
      <c r="O33" s="42" t="s">
        <v>123</v>
      </c>
      <c r="P33" s="43"/>
    </row>
  </sheetData>
  <conditionalFormatting sqref="K2:K33">
    <cfRule type="colorScale" priority="2">
      <colorScale>
        <cfvo type="min" val="0"/>
        <cfvo type="percentile" val="50"/>
        <cfvo type="max" val="0"/>
        <color rgb="FFFEE2E2"/>
        <color rgb="FFFEF3C7"/>
        <color rgb="FF86EFAC"/>
      </colorScale>
    </cfRule>
  </conditionalFormatting>
  <dataValidations count="4">
    <dataValidation allowBlank="true" errorStyle="stop" operator="between" showDropDown="false" showErrorMessage="false" showInputMessage="false" sqref="O2:O33" type="list">
      <formula1>"Not Started,In Progress,Page Live,Indexed,Ranking,Page 1,Top 3"</formula1>
      <formula2>0</formula2>
    </dataValidation>
    <dataValidation allowBlank="true" errorStyle="stop" operator="between" showDropDown="false" showErrorMessage="false" showInputMessage="false" sqref="C2:C33" type="list">
      <formula1>"EN,AR,FA"</formula1>
      <formula2>0</formula2>
    </dataValidation>
    <dataValidation allowBlank="true" errorStyle="stop" operator="between" showDropDown="false" showErrorMessage="false" showInputMessage="false" sqref="E2:E33" type="list">
      <formula1>"Transactional,Commercial,Comparison,Informational"</formula1>
      <formula2>0</formula2>
    </dataValidation>
    <dataValidation allowBlank="true" errorStyle="stop" operator="between" showDropDown="false" showErrorMessage="false" showInputMessage="false" sqref="G2:G33 M2:M33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32"/>
    <col collapsed="false" customWidth="true" hidden="false" outlineLevel="0" max="10" min="5" style="0" width="9"/>
    <col collapsed="false" customWidth="true" hidden="false" outlineLevel="0" max="11" min="11" style="0" width="8"/>
    <col collapsed="false" customWidth="true" hidden="false" outlineLevel="0" max="12" min="12" style="0" width="12"/>
  </cols>
  <sheetData>
    <row r="1" customFormat="false" ht="37.5" hidden="false" customHeight="true" outlineLevel="0" collapsed="false">
      <c r="A1" s="5" t="s">
        <v>99</v>
      </c>
      <c r="B1" s="5" t="s">
        <v>100</v>
      </c>
      <c r="C1" s="5" t="s">
        <v>102</v>
      </c>
      <c r="D1" s="5" t="s">
        <v>108</v>
      </c>
      <c r="E1" s="5" t="s">
        <v>2369</v>
      </c>
      <c r="F1" s="5" t="s">
        <v>2370</v>
      </c>
      <c r="G1" s="5" t="s">
        <v>2371</v>
      </c>
      <c r="H1" s="5" t="s">
        <v>2372</v>
      </c>
      <c r="I1" s="5" t="s">
        <v>2373</v>
      </c>
      <c r="J1" s="5" t="s">
        <v>2374</v>
      </c>
      <c r="K1" s="5" t="s">
        <v>2375</v>
      </c>
      <c r="L1" s="5" t="s">
        <v>2376</v>
      </c>
    </row>
    <row r="2" customFormat="false" ht="25.5" hidden="false" customHeight="true" outlineLevel="0" collapsed="false">
      <c r="A2" s="50" t="n">
        <v>1</v>
      </c>
      <c r="B2" s="50" t="n">
        <v>1</v>
      </c>
      <c r="C2" s="7" t="s">
        <v>116</v>
      </c>
      <c r="D2" s="7" t="s">
        <v>122</v>
      </c>
      <c r="E2" s="50"/>
      <c r="F2" s="50"/>
      <c r="G2" s="50"/>
      <c r="H2" s="50"/>
      <c r="I2" s="50"/>
      <c r="J2" s="50"/>
      <c r="K2" s="8" t="n">
        <f aca="false">IFERROR(MIN(E2:J2),"")</f>
        <v>0</v>
      </c>
      <c r="L2" s="50" t="str">
        <f aca="false">IF(COUNT(E2:J2)&lt;2,"-",IF(LOOKUP(2,1/(E2:J2&lt;&gt;""),E2:J2)&lt;INDEX(E2:J2,MATCH(TRUE(),E2:J2&lt;&gt;"",0)),"↑",IF(LOOKUP(2,1/(E2:J2&lt;&gt;""),E2:J2)&gt;INDEX(E2:J2,MATCH(TRUE(),E2:J2&lt;&gt;"",0)),"↓","→")))</f>
        <v>-</v>
      </c>
    </row>
    <row r="3" customFormat="false" ht="25.5" hidden="false" customHeight="true" outlineLevel="0" collapsed="false">
      <c r="A3" s="50" t="n">
        <v>2</v>
      </c>
      <c r="B3" s="50" t="n">
        <v>1</v>
      </c>
      <c r="C3" s="9" t="s">
        <v>126</v>
      </c>
      <c r="D3" s="9" t="s">
        <v>128</v>
      </c>
      <c r="E3" s="50"/>
      <c r="F3" s="50"/>
      <c r="G3" s="50"/>
      <c r="H3" s="50"/>
      <c r="I3" s="50"/>
      <c r="J3" s="50"/>
      <c r="K3" s="8" t="n">
        <f aca="false">IFERROR(MIN(E3:J3),"")</f>
        <v>0</v>
      </c>
      <c r="L3" s="50" t="str">
        <f aca="false">IF(COUNT(E3:J3)&lt;2,"-",IF(LOOKUP(2,1/(E3:J3&lt;&gt;""),E3:J3)&lt;INDEX(E3:J3,MATCH(TRUE(),E3:J3&lt;&gt;"",0)),"↑",IF(LOOKUP(2,1/(E3:J3&lt;&gt;""),E3:J3)&gt;INDEX(E3:J3,MATCH(TRUE(),E3:J3&lt;&gt;"",0)),"↓","→")))</f>
        <v>-</v>
      </c>
    </row>
    <row r="4" customFormat="false" ht="25.5" hidden="false" customHeight="true" outlineLevel="0" collapsed="false">
      <c r="A4" s="50" t="n">
        <v>3</v>
      </c>
      <c r="B4" s="50" t="n">
        <v>1</v>
      </c>
      <c r="C4" s="7" t="s">
        <v>130</v>
      </c>
      <c r="D4" s="7" t="s">
        <v>131</v>
      </c>
      <c r="E4" s="50"/>
      <c r="F4" s="50"/>
      <c r="G4" s="50"/>
      <c r="H4" s="50"/>
      <c r="I4" s="50"/>
      <c r="J4" s="50"/>
      <c r="K4" s="8" t="n">
        <f aca="false">IFERROR(MIN(E4:J4),"")</f>
        <v>0</v>
      </c>
      <c r="L4" s="50" t="str">
        <f aca="false">IF(COUNT(E4:J4)&lt;2,"-",IF(LOOKUP(2,1/(E4:J4&lt;&gt;""),E4:J4)&lt;INDEX(E4:J4,MATCH(TRUE(),E4:J4&lt;&gt;"",0)),"↑",IF(LOOKUP(2,1/(E4:J4&lt;&gt;""),E4:J4)&gt;INDEX(E4:J4,MATCH(TRUE(),E4:J4&lt;&gt;"",0)),"↓","→")))</f>
        <v>-</v>
      </c>
    </row>
    <row r="5" customFormat="false" ht="25.5" hidden="false" customHeight="true" outlineLevel="0" collapsed="false">
      <c r="A5" s="50" t="n">
        <v>4</v>
      </c>
      <c r="B5" s="50" t="n">
        <v>1</v>
      </c>
      <c r="C5" s="9" t="s">
        <v>133</v>
      </c>
      <c r="D5" s="9" t="s">
        <v>134</v>
      </c>
      <c r="E5" s="50"/>
      <c r="F5" s="50"/>
      <c r="G5" s="50"/>
      <c r="H5" s="50"/>
      <c r="I5" s="50"/>
      <c r="J5" s="50"/>
      <c r="K5" s="8" t="n">
        <f aca="false">IFERROR(MIN(E5:J5),"")</f>
        <v>0</v>
      </c>
      <c r="L5" s="50" t="str">
        <f aca="false">IF(COUNT(E5:J5)&lt;2,"-",IF(LOOKUP(2,1/(E5:J5&lt;&gt;""),E5:J5)&lt;INDEX(E5:J5,MATCH(TRUE(),E5:J5&lt;&gt;"",0)),"↑",IF(LOOKUP(2,1/(E5:J5&lt;&gt;""),E5:J5)&gt;INDEX(E5:J5,MATCH(TRUE(),E5:J5&lt;&gt;"",0)),"↓","→")))</f>
        <v>-</v>
      </c>
    </row>
    <row r="6" customFormat="false" ht="25.5" hidden="false" customHeight="true" outlineLevel="0" collapsed="false">
      <c r="A6" s="50" t="n">
        <v>5</v>
      </c>
      <c r="B6" s="50" t="n">
        <v>1</v>
      </c>
      <c r="C6" s="7" t="s">
        <v>135</v>
      </c>
      <c r="D6" s="7" t="s">
        <v>138</v>
      </c>
      <c r="E6" s="50"/>
      <c r="F6" s="50"/>
      <c r="G6" s="50"/>
      <c r="H6" s="50"/>
      <c r="I6" s="50"/>
      <c r="J6" s="50"/>
      <c r="K6" s="8" t="n">
        <f aca="false">IFERROR(MIN(E6:J6),"")</f>
        <v>0</v>
      </c>
      <c r="L6" s="50" t="str">
        <f aca="false">IF(COUNT(E6:J6)&lt;2,"-",IF(LOOKUP(2,1/(E6:J6&lt;&gt;""),E6:J6)&lt;INDEX(E6:J6,MATCH(TRUE(),E6:J6&lt;&gt;"",0)),"↑",IF(LOOKUP(2,1/(E6:J6&lt;&gt;""),E6:J6)&gt;INDEX(E6:J6,MATCH(TRUE(),E6:J6&lt;&gt;"",0)),"↓","→")))</f>
        <v>-</v>
      </c>
    </row>
    <row r="7" customFormat="false" ht="25.5" hidden="false" customHeight="true" outlineLevel="0" collapsed="false">
      <c r="A7" s="50" t="n">
        <v>6</v>
      </c>
      <c r="B7" s="50" t="n">
        <v>1</v>
      </c>
      <c r="C7" s="9" t="s">
        <v>140</v>
      </c>
      <c r="D7" s="9" t="s">
        <v>142</v>
      </c>
      <c r="E7" s="50"/>
      <c r="F7" s="50"/>
      <c r="G7" s="50"/>
      <c r="H7" s="50"/>
      <c r="I7" s="50"/>
      <c r="J7" s="50"/>
      <c r="K7" s="8" t="n">
        <f aca="false">IFERROR(MIN(E7:J7),"")</f>
        <v>0</v>
      </c>
      <c r="L7" s="50" t="str">
        <f aca="false">IF(COUNT(E7:J7)&lt;2,"-",IF(LOOKUP(2,1/(E7:J7&lt;&gt;""),E7:J7)&lt;INDEX(E7:J7,MATCH(TRUE(),E7:J7&lt;&gt;"",0)),"↑",IF(LOOKUP(2,1/(E7:J7&lt;&gt;""),E7:J7)&gt;INDEX(E7:J7,MATCH(TRUE(),E7:J7&lt;&gt;"",0)),"↓","→")))</f>
        <v>-</v>
      </c>
    </row>
    <row r="8" customFormat="false" ht="25.5" hidden="false" customHeight="true" outlineLevel="0" collapsed="false">
      <c r="A8" s="50" t="n">
        <v>7</v>
      </c>
      <c r="B8" s="50" t="n">
        <v>1</v>
      </c>
      <c r="C8" s="7" t="s">
        <v>143</v>
      </c>
      <c r="D8" s="7" t="s">
        <v>144</v>
      </c>
      <c r="E8" s="50"/>
      <c r="F8" s="50"/>
      <c r="G8" s="50"/>
      <c r="H8" s="50"/>
      <c r="I8" s="50"/>
      <c r="J8" s="50"/>
      <c r="K8" s="8" t="n">
        <f aca="false">IFERROR(MIN(E8:J8),"")</f>
        <v>0</v>
      </c>
      <c r="L8" s="50" t="str">
        <f aca="false">IF(COUNT(E8:J8)&lt;2,"-",IF(LOOKUP(2,1/(E8:J8&lt;&gt;""),E8:J8)&lt;INDEX(E8:J8,MATCH(TRUE(),E8:J8&lt;&gt;"",0)),"↑",IF(LOOKUP(2,1/(E8:J8&lt;&gt;""),E8:J8)&gt;INDEX(E8:J8,MATCH(TRUE(),E8:J8&lt;&gt;"",0)),"↓","→")))</f>
        <v>-</v>
      </c>
    </row>
    <row r="9" customFormat="false" ht="25.5" hidden="false" customHeight="true" outlineLevel="0" collapsed="false">
      <c r="A9" s="50" t="n">
        <v>8</v>
      </c>
      <c r="B9" s="50" t="n">
        <v>1</v>
      </c>
      <c r="C9" s="9" t="s">
        <v>146</v>
      </c>
      <c r="D9" s="9" t="s">
        <v>147</v>
      </c>
      <c r="E9" s="50"/>
      <c r="F9" s="50"/>
      <c r="G9" s="50"/>
      <c r="H9" s="50"/>
      <c r="I9" s="50"/>
      <c r="J9" s="50"/>
      <c r="K9" s="8" t="n">
        <f aca="false">IFERROR(MIN(E9:J9),"")</f>
        <v>0</v>
      </c>
      <c r="L9" s="50" t="str">
        <f aca="false">IF(COUNT(E9:J9)&lt;2,"-",IF(LOOKUP(2,1/(E9:J9&lt;&gt;""),E9:J9)&lt;INDEX(E9:J9,MATCH(TRUE(),E9:J9&lt;&gt;"",0)),"↑",IF(LOOKUP(2,1/(E9:J9&lt;&gt;""),E9:J9)&gt;INDEX(E9:J9,MATCH(TRUE(),E9:J9&lt;&gt;"",0)),"↓","→")))</f>
        <v>-</v>
      </c>
    </row>
    <row r="10" customFormat="false" ht="25.5" hidden="false" customHeight="true" outlineLevel="0" collapsed="false">
      <c r="A10" s="50" t="n">
        <v>9</v>
      </c>
      <c r="B10" s="50" t="n">
        <v>1</v>
      </c>
      <c r="C10" s="7" t="s">
        <v>148</v>
      </c>
      <c r="D10" s="7" t="s">
        <v>149</v>
      </c>
      <c r="E10" s="50"/>
      <c r="F10" s="50"/>
      <c r="G10" s="50"/>
      <c r="H10" s="50"/>
      <c r="I10" s="50"/>
      <c r="J10" s="50"/>
      <c r="K10" s="8" t="n">
        <f aca="false">IFERROR(MIN(E10:J10),"")</f>
        <v>0</v>
      </c>
      <c r="L10" s="50" t="str">
        <f aca="false">IF(COUNT(E10:J10)&lt;2,"-",IF(LOOKUP(2,1/(E10:J10&lt;&gt;""),E10:J10)&lt;INDEX(E10:J10,MATCH(TRUE(),E10:J10&lt;&gt;"",0)),"↑",IF(LOOKUP(2,1/(E10:J10&lt;&gt;""),E10:J10)&gt;INDEX(E10:J10,MATCH(TRUE(),E10:J10&lt;&gt;"",0)),"↓","→")))</f>
        <v>-</v>
      </c>
    </row>
    <row r="11" customFormat="false" ht="25.5" hidden="false" customHeight="true" outlineLevel="0" collapsed="false">
      <c r="A11" s="50" t="n">
        <v>10</v>
      </c>
      <c r="B11" s="50" t="n">
        <v>1</v>
      </c>
      <c r="C11" s="9" t="s">
        <v>151</v>
      </c>
      <c r="D11" s="9" t="s">
        <v>152</v>
      </c>
      <c r="E11" s="50"/>
      <c r="F11" s="50"/>
      <c r="G11" s="50"/>
      <c r="H11" s="50"/>
      <c r="I11" s="50"/>
      <c r="J11" s="50"/>
      <c r="K11" s="8" t="n">
        <f aca="false">IFERROR(MIN(E11:J11),"")</f>
        <v>0</v>
      </c>
      <c r="L11" s="50" t="str">
        <f aca="false">IF(COUNT(E11:J11)&lt;2,"-",IF(LOOKUP(2,1/(E11:J11&lt;&gt;""),E11:J11)&lt;INDEX(E11:J11,MATCH(TRUE(),E11:J11&lt;&gt;"",0)),"↑",IF(LOOKUP(2,1/(E11:J11&lt;&gt;""),E11:J11)&gt;INDEX(E11:J11,MATCH(TRUE(),E11:J11&lt;&gt;"",0)),"↓","→")))</f>
        <v>-</v>
      </c>
    </row>
    <row r="12" customFormat="false" ht="25.5" hidden="false" customHeight="true" outlineLevel="0" collapsed="false">
      <c r="A12" s="50" t="n">
        <v>11</v>
      </c>
      <c r="B12" s="50" t="n">
        <v>1</v>
      </c>
      <c r="C12" s="7" t="s">
        <v>153</v>
      </c>
      <c r="D12" s="7" t="s">
        <v>154</v>
      </c>
      <c r="E12" s="50"/>
      <c r="F12" s="50"/>
      <c r="G12" s="50"/>
      <c r="H12" s="50"/>
      <c r="I12" s="50"/>
      <c r="J12" s="50"/>
      <c r="K12" s="8" t="n">
        <f aca="false">IFERROR(MIN(E12:J12),"")</f>
        <v>0</v>
      </c>
      <c r="L12" s="50" t="str">
        <f aca="false">IF(COUNT(E12:J12)&lt;2,"-",IF(LOOKUP(2,1/(E12:J12&lt;&gt;""),E12:J12)&lt;INDEX(E12:J12,MATCH(TRUE(),E12:J12&lt;&gt;"",0)),"↑",IF(LOOKUP(2,1/(E12:J12&lt;&gt;""),E12:J12)&gt;INDEX(E12:J12,MATCH(TRUE(),E12:J12&lt;&gt;"",0)),"↓","→")))</f>
        <v>-</v>
      </c>
    </row>
    <row r="13" customFormat="false" ht="25.5" hidden="false" customHeight="true" outlineLevel="0" collapsed="false">
      <c r="A13" s="50" t="n">
        <v>12</v>
      </c>
      <c r="B13" s="50" t="n">
        <v>1</v>
      </c>
      <c r="C13" s="9" t="s">
        <v>156</v>
      </c>
      <c r="D13" s="9" t="s">
        <v>157</v>
      </c>
      <c r="E13" s="50"/>
      <c r="F13" s="50"/>
      <c r="G13" s="50"/>
      <c r="H13" s="50"/>
      <c r="I13" s="50"/>
      <c r="J13" s="50"/>
      <c r="K13" s="8" t="n">
        <f aca="false">IFERROR(MIN(E13:J13),"")</f>
        <v>0</v>
      </c>
      <c r="L13" s="50" t="str">
        <f aca="false">IF(COUNT(E13:J13)&lt;2,"-",IF(LOOKUP(2,1/(E13:J13&lt;&gt;""),E13:J13)&lt;INDEX(E13:J13,MATCH(TRUE(),E13:J13&lt;&gt;"",0)),"↑",IF(LOOKUP(2,1/(E13:J13&lt;&gt;""),E13:J13)&gt;INDEX(E13:J13,MATCH(TRUE(),E13:J13&lt;&gt;"",0)),"↓","→")))</f>
        <v>-</v>
      </c>
    </row>
    <row r="14" customFormat="false" ht="25.5" hidden="false" customHeight="true" outlineLevel="0" collapsed="false">
      <c r="A14" s="50" t="n">
        <v>13</v>
      </c>
      <c r="B14" s="50" t="n">
        <v>1</v>
      </c>
      <c r="C14" s="7" t="s">
        <v>158</v>
      </c>
      <c r="D14" s="7" t="s">
        <v>159</v>
      </c>
      <c r="E14" s="50"/>
      <c r="F14" s="50"/>
      <c r="G14" s="50"/>
      <c r="H14" s="50"/>
      <c r="I14" s="50"/>
      <c r="J14" s="50"/>
      <c r="K14" s="8" t="n">
        <f aca="false">IFERROR(MIN(E14:J14),"")</f>
        <v>0</v>
      </c>
      <c r="L14" s="50" t="str">
        <f aca="false">IF(COUNT(E14:J14)&lt;2,"-",IF(LOOKUP(2,1/(E14:J14&lt;&gt;""),E14:J14)&lt;INDEX(E14:J14,MATCH(TRUE(),E14:J14&lt;&gt;"",0)),"↑",IF(LOOKUP(2,1/(E14:J14&lt;&gt;""),E14:J14)&gt;INDEX(E14:J14,MATCH(TRUE(),E14:J14&lt;&gt;"",0)),"↓","→")))</f>
        <v>-</v>
      </c>
    </row>
    <row r="15" customFormat="false" ht="25.5" hidden="false" customHeight="true" outlineLevel="0" collapsed="false">
      <c r="A15" s="50" t="n">
        <v>14</v>
      </c>
      <c r="B15" s="50" t="n">
        <v>1</v>
      </c>
      <c r="C15" s="9" t="s">
        <v>161</v>
      </c>
      <c r="D15" s="9" t="s">
        <v>162</v>
      </c>
      <c r="E15" s="50"/>
      <c r="F15" s="50"/>
      <c r="G15" s="50"/>
      <c r="H15" s="50"/>
      <c r="I15" s="50"/>
      <c r="J15" s="50"/>
      <c r="K15" s="8" t="n">
        <f aca="false">IFERROR(MIN(E15:J15),"")</f>
        <v>0</v>
      </c>
      <c r="L15" s="50" t="str">
        <f aca="false">IF(COUNT(E15:J15)&lt;2,"-",IF(LOOKUP(2,1/(E15:J15&lt;&gt;""),E15:J15)&lt;INDEX(E15:J15,MATCH(TRUE(),E15:J15&lt;&gt;"",0)),"↑",IF(LOOKUP(2,1/(E15:J15&lt;&gt;""),E15:J15)&gt;INDEX(E15:J15,MATCH(TRUE(),E15:J15&lt;&gt;"",0)),"↓","→")))</f>
        <v>-</v>
      </c>
    </row>
    <row r="16" customFormat="false" ht="25.5" hidden="false" customHeight="true" outlineLevel="0" collapsed="false">
      <c r="A16" s="50" t="n">
        <v>15</v>
      </c>
      <c r="B16" s="50" t="n">
        <v>1</v>
      </c>
      <c r="C16" s="7" t="s">
        <v>163</v>
      </c>
      <c r="D16" s="7" t="s">
        <v>164</v>
      </c>
      <c r="E16" s="50"/>
      <c r="F16" s="50"/>
      <c r="G16" s="50"/>
      <c r="H16" s="50"/>
      <c r="I16" s="50"/>
      <c r="J16" s="50"/>
      <c r="K16" s="8" t="n">
        <f aca="false">IFERROR(MIN(E16:J16),"")</f>
        <v>0</v>
      </c>
      <c r="L16" s="50" t="str">
        <f aca="false">IF(COUNT(E16:J16)&lt;2,"-",IF(LOOKUP(2,1/(E16:J16&lt;&gt;""),E16:J16)&lt;INDEX(E16:J16,MATCH(TRUE(),E16:J16&lt;&gt;"",0)),"↑",IF(LOOKUP(2,1/(E16:J16&lt;&gt;""),E16:J16)&gt;INDEX(E16:J16,MATCH(TRUE(),E16:J16&lt;&gt;"",0)),"↓","→")))</f>
        <v>-</v>
      </c>
    </row>
    <row r="17" customFormat="false" ht="25.5" hidden="false" customHeight="true" outlineLevel="0" collapsed="false">
      <c r="A17" s="50" t="n">
        <v>16</v>
      </c>
      <c r="B17" s="50" t="n">
        <v>1</v>
      </c>
      <c r="C17" s="9" t="s">
        <v>166</v>
      </c>
      <c r="D17" s="9" t="s">
        <v>167</v>
      </c>
      <c r="E17" s="50"/>
      <c r="F17" s="50"/>
      <c r="G17" s="50"/>
      <c r="H17" s="50"/>
      <c r="I17" s="50"/>
      <c r="J17" s="50"/>
      <c r="K17" s="8" t="n">
        <f aca="false">IFERROR(MIN(E17:J17),"")</f>
        <v>0</v>
      </c>
      <c r="L17" s="50" t="str">
        <f aca="false">IF(COUNT(E17:J17)&lt;2,"-",IF(LOOKUP(2,1/(E17:J17&lt;&gt;""),E17:J17)&lt;INDEX(E17:J17,MATCH(TRUE(),E17:J17&lt;&gt;"",0)),"↑",IF(LOOKUP(2,1/(E17:J17&lt;&gt;""),E17:J17)&gt;INDEX(E17:J17,MATCH(TRUE(),E17:J17&lt;&gt;"",0)),"↓","→")))</f>
        <v>-</v>
      </c>
    </row>
    <row r="18" customFormat="false" ht="25.5" hidden="false" customHeight="true" outlineLevel="0" collapsed="false">
      <c r="A18" s="50" t="n">
        <v>17</v>
      </c>
      <c r="B18" s="50" t="n">
        <v>1</v>
      </c>
      <c r="C18" s="7" t="s">
        <v>168</v>
      </c>
      <c r="D18" s="7" t="s">
        <v>169</v>
      </c>
      <c r="E18" s="50"/>
      <c r="F18" s="50"/>
      <c r="G18" s="50"/>
      <c r="H18" s="50"/>
      <c r="I18" s="50"/>
      <c r="J18" s="50"/>
      <c r="K18" s="8" t="n">
        <f aca="false">IFERROR(MIN(E18:J18),"")</f>
        <v>0</v>
      </c>
      <c r="L18" s="50" t="str">
        <f aca="false">IF(COUNT(E18:J18)&lt;2,"-",IF(LOOKUP(2,1/(E18:J18&lt;&gt;""),E18:J18)&lt;INDEX(E18:J18,MATCH(TRUE(),E18:J18&lt;&gt;"",0)),"↑",IF(LOOKUP(2,1/(E18:J18&lt;&gt;""),E18:J18)&gt;INDEX(E18:J18,MATCH(TRUE(),E18:J18&lt;&gt;"",0)),"↓","→")))</f>
        <v>-</v>
      </c>
    </row>
    <row r="19" customFormat="false" ht="25.5" hidden="false" customHeight="true" outlineLevel="0" collapsed="false">
      <c r="A19" s="50" t="n">
        <v>18</v>
      </c>
      <c r="B19" s="50" t="n">
        <v>1</v>
      </c>
      <c r="C19" s="9" t="s">
        <v>171</v>
      </c>
      <c r="D19" s="9" t="s">
        <v>172</v>
      </c>
      <c r="E19" s="50"/>
      <c r="F19" s="50"/>
      <c r="G19" s="50"/>
      <c r="H19" s="50"/>
      <c r="I19" s="50"/>
      <c r="J19" s="50"/>
      <c r="K19" s="8" t="n">
        <f aca="false">IFERROR(MIN(E19:J19),"")</f>
        <v>0</v>
      </c>
      <c r="L19" s="50" t="str">
        <f aca="false">IF(COUNT(E19:J19)&lt;2,"-",IF(LOOKUP(2,1/(E19:J19&lt;&gt;""),E19:J19)&lt;INDEX(E19:J19,MATCH(TRUE(),E19:J19&lt;&gt;"",0)),"↑",IF(LOOKUP(2,1/(E19:J19&lt;&gt;""),E19:J19)&gt;INDEX(E19:J19,MATCH(TRUE(),E19:J19&lt;&gt;"",0)),"↓","→")))</f>
        <v>-</v>
      </c>
    </row>
    <row r="20" customFormat="false" ht="25.5" hidden="false" customHeight="true" outlineLevel="0" collapsed="false">
      <c r="A20" s="50" t="n">
        <v>19</v>
      </c>
      <c r="B20" s="50" t="n">
        <v>1</v>
      </c>
      <c r="C20" s="7" t="s">
        <v>173</v>
      </c>
      <c r="D20" s="7" t="s">
        <v>175</v>
      </c>
      <c r="E20" s="50"/>
      <c r="F20" s="50"/>
      <c r="G20" s="50"/>
      <c r="H20" s="50"/>
      <c r="I20" s="50"/>
      <c r="J20" s="50"/>
      <c r="K20" s="8" t="n">
        <f aca="false">IFERROR(MIN(E20:J20),"")</f>
        <v>0</v>
      </c>
      <c r="L20" s="50" t="str">
        <f aca="false">IF(COUNT(E20:J20)&lt;2,"-",IF(LOOKUP(2,1/(E20:J20&lt;&gt;""),E20:J20)&lt;INDEX(E20:J20,MATCH(TRUE(),E20:J20&lt;&gt;"",0)),"↑",IF(LOOKUP(2,1/(E20:J20&lt;&gt;""),E20:J20)&gt;INDEX(E20:J20,MATCH(TRUE(),E20:J20&lt;&gt;"",0)),"↓","→")))</f>
        <v>-</v>
      </c>
    </row>
    <row r="21" customFormat="false" ht="25.5" hidden="false" customHeight="true" outlineLevel="0" collapsed="false">
      <c r="A21" s="50" t="n">
        <v>20</v>
      </c>
      <c r="B21" s="50" t="n">
        <v>1</v>
      </c>
      <c r="C21" s="9" t="s">
        <v>177</v>
      </c>
      <c r="D21" s="9" t="s">
        <v>178</v>
      </c>
      <c r="E21" s="50"/>
      <c r="F21" s="50"/>
      <c r="G21" s="50"/>
      <c r="H21" s="50"/>
      <c r="I21" s="50"/>
      <c r="J21" s="50"/>
      <c r="K21" s="8" t="n">
        <f aca="false">IFERROR(MIN(E21:J21),"")</f>
        <v>0</v>
      </c>
      <c r="L21" s="50" t="str">
        <f aca="false">IF(COUNT(E21:J21)&lt;2,"-",IF(LOOKUP(2,1/(E21:J21&lt;&gt;""),E21:J21)&lt;INDEX(E21:J21,MATCH(TRUE(),E21:J21&lt;&gt;"",0)),"↑",IF(LOOKUP(2,1/(E21:J21&lt;&gt;""),E21:J21)&gt;INDEX(E21:J21,MATCH(TRUE(),E21:J21&lt;&gt;"",0)),"↓","→")))</f>
        <v>-</v>
      </c>
    </row>
    <row r="22" customFormat="false" ht="25.5" hidden="false" customHeight="true" outlineLevel="0" collapsed="false">
      <c r="A22" s="50" t="n">
        <v>21</v>
      </c>
      <c r="B22" s="50" t="n">
        <v>1</v>
      </c>
      <c r="C22" s="7" t="s">
        <v>179</v>
      </c>
      <c r="D22" s="7" t="s">
        <v>180</v>
      </c>
      <c r="E22" s="50"/>
      <c r="F22" s="50"/>
      <c r="G22" s="50"/>
      <c r="H22" s="50"/>
      <c r="I22" s="50"/>
      <c r="J22" s="50"/>
      <c r="K22" s="8" t="n">
        <f aca="false">IFERROR(MIN(E22:J22),"")</f>
        <v>0</v>
      </c>
      <c r="L22" s="50" t="str">
        <f aca="false">IF(COUNT(E22:J22)&lt;2,"-",IF(LOOKUP(2,1/(E22:J22&lt;&gt;""),E22:J22)&lt;INDEX(E22:J22,MATCH(TRUE(),E22:J22&lt;&gt;"",0)),"↑",IF(LOOKUP(2,1/(E22:J22&lt;&gt;""),E22:J22)&gt;INDEX(E22:J22,MATCH(TRUE(),E22:J22&lt;&gt;"",0)),"↓","→")))</f>
        <v>-</v>
      </c>
    </row>
    <row r="23" customFormat="false" ht="25.5" hidden="false" customHeight="true" outlineLevel="0" collapsed="false">
      <c r="A23" s="50" t="n">
        <v>22</v>
      </c>
      <c r="B23" s="50" t="n">
        <v>1</v>
      </c>
      <c r="C23" s="9" t="s">
        <v>182</v>
      </c>
      <c r="D23" s="9" t="s">
        <v>183</v>
      </c>
      <c r="E23" s="50"/>
      <c r="F23" s="50"/>
      <c r="G23" s="50"/>
      <c r="H23" s="50"/>
      <c r="I23" s="50"/>
      <c r="J23" s="50"/>
      <c r="K23" s="8" t="n">
        <f aca="false">IFERROR(MIN(E23:J23),"")</f>
        <v>0</v>
      </c>
      <c r="L23" s="50" t="str">
        <f aca="false">IF(COUNT(E23:J23)&lt;2,"-",IF(LOOKUP(2,1/(E23:J23&lt;&gt;""),E23:J23)&lt;INDEX(E23:J23,MATCH(TRUE(),E23:J23&lt;&gt;"",0)),"↑",IF(LOOKUP(2,1/(E23:J23&lt;&gt;""),E23:J23)&gt;INDEX(E23:J23,MATCH(TRUE(),E23:J23&lt;&gt;"",0)),"↓","→")))</f>
        <v>-</v>
      </c>
    </row>
    <row r="24" customFormat="false" ht="25.5" hidden="false" customHeight="true" outlineLevel="0" collapsed="false">
      <c r="A24" s="50" t="n">
        <v>23</v>
      </c>
      <c r="B24" s="50" t="n">
        <v>1</v>
      </c>
      <c r="C24" s="7" t="s">
        <v>184</v>
      </c>
      <c r="D24" s="7" t="s">
        <v>186</v>
      </c>
      <c r="E24" s="50"/>
      <c r="F24" s="50"/>
      <c r="G24" s="50"/>
      <c r="H24" s="50"/>
      <c r="I24" s="50"/>
      <c r="J24" s="50"/>
      <c r="K24" s="8" t="n">
        <f aca="false">IFERROR(MIN(E24:J24),"")</f>
        <v>0</v>
      </c>
      <c r="L24" s="50" t="str">
        <f aca="false">IF(COUNT(E24:J24)&lt;2,"-",IF(LOOKUP(2,1/(E24:J24&lt;&gt;""),E24:J24)&lt;INDEX(E24:J24,MATCH(TRUE(),E24:J24&lt;&gt;"",0)),"↑",IF(LOOKUP(2,1/(E24:J24&lt;&gt;""),E24:J24)&gt;INDEX(E24:J24,MATCH(TRUE(),E24:J24&lt;&gt;"",0)),"↓","→")))</f>
        <v>-</v>
      </c>
    </row>
    <row r="25" customFormat="false" ht="25.5" hidden="false" customHeight="true" outlineLevel="0" collapsed="false">
      <c r="A25" s="50" t="n">
        <v>24</v>
      </c>
      <c r="B25" s="50" t="n">
        <v>1</v>
      </c>
      <c r="C25" s="9" t="s">
        <v>188</v>
      </c>
      <c r="D25" s="9" t="s">
        <v>189</v>
      </c>
      <c r="E25" s="50"/>
      <c r="F25" s="50"/>
      <c r="G25" s="50"/>
      <c r="H25" s="50"/>
      <c r="I25" s="50"/>
      <c r="J25" s="50"/>
      <c r="K25" s="8" t="n">
        <f aca="false">IFERROR(MIN(E25:J25),"")</f>
        <v>0</v>
      </c>
      <c r="L25" s="50" t="str">
        <f aca="false">IF(COUNT(E25:J25)&lt;2,"-",IF(LOOKUP(2,1/(E25:J25&lt;&gt;""),E25:J25)&lt;INDEX(E25:J25,MATCH(TRUE(),E25:J25&lt;&gt;"",0)),"↑",IF(LOOKUP(2,1/(E25:J25&lt;&gt;""),E25:J25)&gt;INDEX(E25:J25,MATCH(TRUE(),E25:J25&lt;&gt;"",0)),"↓","→")))</f>
        <v>-</v>
      </c>
    </row>
    <row r="26" customFormat="false" ht="25.5" hidden="false" customHeight="true" outlineLevel="0" collapsed="false">
      <c r="A26" s="50" t="n">
        <v>25</v>
      </c>
      <c r="B26" s="50" t="n">
        <v>1</v>
      </c>
      <c r="C26" s="7" t="s">
        <v>190</v>
      </c>
      <c r="D26" s="7" t="s">
        <v>191</v>
      </c>
      <c r="E26" s="50"/>
      <c r="F26" s="50"/>
      <c r="G26" s="50"/>
      <c r="H26" s="50"/>
      <c r="I26" s="50"/>
      <c r="J26" s="50"/>
      <c r="K26" s="8" t="n">
        <f aca="false">IFERROR(MIN(E26:J26),"")</f>
        <v>0</v>
      </c>
      <c r="L26" s="50" t="str">
        <f aca="false">IF(COUNT(E26:J26)&lt;2,"-",IF(LOOKUP(2,1/(E26:J26&lt;&gt;""),E26:J26)&lt;INDEX(E26:J26,MATCH(TRUE(),E26:J26&lt;&gt;"",0)),"↑",IF(LOOKUP(2,1/(E26:J26&lt;&gt;""),E26:J26)&gt;INDEX(E26:J26,MATCH(TRUE(),E26:J26&lt;&gt;"",0)),"↓","→")))</f>
        <v>-</v>
      </c>
    </row>
    <row r="27" customFormat="false" ht="25.5" hidden="false" customHeight="true" outlineLevel="0" collapsed="false">
      <c r="A27" s="50" t="n">
        <v>26</v>
      </c>
      <c r="B27" s="50" t="n">
        <v>1</v>
      </c>
      <c r="C27" s="9" t="s">
        <v>193</v>
      </c>
      <c r="D27" s="9" t="s">
        <v>194</v>
      </c>
      <c r="E27" s="50"/>
      <c r="F27" s="50"/>
      <c r="G27" s="50"/>
      <c r="H27" s="50"/>
      <c r="I27" s="50"/>
      <c r="J27" s="50"/>
      <c r="K27" s="8" t="n">
        <f aca="false">IFERROR(MIN(E27:J27),"")</f>
        <v>0</v>
      </c>
      <c r="L27" s="50" t="str">
        <f aca="false">IF(COUNT(E27:J27)&lt;2,"-",IF(LOOKUP(2,1/(E27:J27&lt;&gt;""),E27:J27)&lt;INDEX(E27:J27,MATCH(TRUE(),E27:J27&lt;&gt;"",0)),"↑",IF(LOOKUP(2,1/(E27:J27&lt;&gt;""),E27:J27)&gt;INDEX(E27:J27,MATCH(TRUE(),E27:J27&lt;&gt;"",0)),"↓","→")))</f>
        <v>-</v>
      </c>
    </row>
    <row r="28" customFormat="false" ht="25.5" hidden="false" customHeight="true" outlineLevel="0" collapsed="false">
      <c r="A28" s="50" t="n">
        <v>27</v>
      </c>
      <c r="B28" s="50" t="n">
        <v>1</v>
      </c>
      <c r="C28" s="7" t="s">
        <v>195</v>
      </c>
      <c r="D28" s="7" t="s">
        <v>196</v>
      </c>
      <c r="E28" s="50"/>
      <c r="F28" s="50"/>
      <c r="G28" s="50"/>
      <c r="H28" s="50"/>
      <c r="I28" s="50"/>
      <c r="J28" s="50"/>
      <c r="K28" s="8" t="n">
        <f aca="false">IFERROR(MIN(E28:J28),"")</f>
        <v>0</v>
      </c>
      <c r="L28" s="50" t="str">
        <f aca="false">IF(COUNT(E28:J28)&lt;2,"-",IF(LOOKUP(2,1/(E28:J28&lt;&gt;""),E28:J28)&lt;INDEX(E28:J28,MATCH(TRUE(),E28:J28&lt;&gt;"",0)),"↑",IF(LOOKUP(2,1/(E28:J28&lt;&gt;""),E28:J28)&gt;INDEX(E28:J28,MATCH(TRUE(),E28:J28&lt;&gt;"",0)),"↓","→")))</f>
        <v>-</v>
      </c>
    </row>
    <row r="29" customFormat="false" ht="25.5" hidden="false" customHeight="true" outlineLevel="0" collapsed="false">
      <c r="A29" s="50" t="n">
        <v>28</v>
      </c>
      <c r="B29" s="50" t="n">
        <v>1</v>
      </c>
      <c r="C29" s="9" t="s">
        <v>198</v>
      </c>
      <c r="D29" s="9" t="s">
        <v>199</v>
      </c>
      <c r="E29" s="50"/>
      <c r="F29" s="50"/>
      <c r="G29" s="50"/>
      <c r="H29" s="50"/>
      <c r="I29" s="50"/>
      <c r="J29" s="50"/>
      <c r="K29" s="8" t="n">
        <f aca="false">IFERROR(MIN(E29:J29),"")</f>
        <v>0</v>
      </c>
      <c r="L29" s="50" t="str">
        <f aca="false">IF(COUNT(E29:J29)&lt;2,"-",IF(LOOKUP(2,1/(E29:J29&lt;&gt;""),E29:J29)&lt;INDEX(E29:J29,MATCH(TRUE(),E29:J29&lt;&gt;"",0)),"↑",IF(LOOKUP(2,1/(E29:J29&lt;&gt;""),E29:J29)&gt;INDEX(E29:J29,MATCH(TRUE(),E29:J29&lt;&gt;"",0)),"↓","→")))</f>
        <v>-</v>
      </c>
    </row>
    <row r="30" customFormat="false" ht="25.5" hidden="false" customHeight="true" outlineLevel="0" collapsed="false">
      <c r="A30" s="50" t="n">
        <v>29</v>
      </c>
      <c r="B30" s="50" t="n">
        <v>1</v>
      </c>
      <c r="C30" s="7" t="s">
        <v>200</v>
      </c>
      <c r="D30" s="7" t="s">
        <v>201</v>
      </c>
      <c r="E30" s="50"/>
      <c r="F30" s="50"/>
      <c r="G30" s="50"/>
      <c r="H30" s="50"/>
      <c r="I30" s="50"/>
      <c r="J30" s="50"/>
      <c r="K30" s="8" t="n">
        <f aca="false">IFERROR(MIN(E30:J30),"")</f>
        <v>0</v>
      </c>
      <c r="L30" s="50" t="str">
        <f aca="false">IF(COUNT(E30:J30)&lt;2,"-",IF(LOOKUP(2,1/(E30:J30&lt;&gt;""),E30:J30)&lt;INDEX(E30:J30,MATCH(TRUE(),E30:J30&lt;&gt;"",0)),"↑",IF(LOOKUP(2,1/(E30:J30&lt;&gt;""),E30:J30)&gt;INDEX(E30:J30,MATCH(TRUE(),E30:J30&lt;&gt;"",0)),"↓","→")))</f>
        <v>-</v>
      </c>
    </row>
    <row r="31" customFormat="false" ht="25.5" hidden="false" customHeight="true" outlineLevel="0" collapsed="false">
      <c r="A31" s="50" t="n">
        <v>30</v>
      </c>
      <c r="B31" s="50" t="n">
        <v>1</v>
      </c>
      <c r="C31" s="9" t="s">
        <v>203</v>
      </c>
      <c r="D31" s="9" t="s">
        <v>204</v>
      </c>
      <c r="E31" s="50"/>
      <c r="F31" s="50"/>
      <c r="G31" s="50"/>
      <c r="H31" s="50"/>
      <c r="I31" s="50"/>
      <c r="J31" s="50"/>
      <c r="K31" s="8" t="n">
        <f aca="false">IFERROR(MIN(E31:J31),"")</f>
        <v>0</v>
      </c>
      <c r="L31" s="50" t="str">
        <f aca="false">IF(COUNT(E31:J31)&lt;2,"-",IF(LOOKUP(2,1/(E31:J31&lt;&gt;""),E31:J31)&lt;INDEX(E31:J31,MATCH(TRUE(),E31:J31&lt;&gt;"",0)),"↑",IF(LOOKUP(2,1/(E31:J31&lt;&gt;""),E31:J31)&gt;INDEX(E31:J31,MATCH(TRUE(),E31:J31&lt;&gt;"",0)),"↓","→")))</f>
        <v>-</v>
      </c>
    </row>
    <row r="32" customFormat="false" ht="25.5" hidden="false" customHeight="true" outlineLevel="0" collapsed="false">
      <c r="A32" s="50" t="n">
        <v>31</v>
      </c>
      <c r="B32" s="50" t="n">
        <v>1</v>
      </c>
      <c r="C32" s="7" t="s">
        <v>205</v>
      </c>
      <c r="D32" s="7" t="s">
        <v>206</v>
      </c>
      <c r="E32" s="50"/>
      <c r="F32" s="50"/>
      <c r="G32" s="50"/>
      <c r="H32" s="50"/>
      <c r="I32" s="50"/>
      <c r="J32" s="50"/>
      <c r="K32" s="8" t="n">
        <f aca="false">IFERROR(MIN(E32:J32),"")</f>
        <v>0</v>
      </c>
      <c r="L32" s="50" t="str">
        <f aca="false">IF(COUNT(E32:J32)&lt;2,"-",IF(LOOKUP(2,1/(E32:J32&lt;&gt;""),E32:J32)&lt;INDEX(E32:J32,MATCH(TRUE(),E32:J32&lt;&gt;"",0)),"↑",IF(LOOKUP(2,1/(E32:J32&lt;&gt;""),E32:J32)&gt;INDEX(E32:J32,MATCH(TRUE(),E32:J32&lt;&gt;"",0)),"↓","→")))</f>
        <v>-</v>
      </c>
    </row>
    <row r="33" customFormat="false" ht="25.5" hidden="false" customHeight="true" outlineLevel="0" collapsed="false">
      <c r="A33" s="50" t="n">
        <v>32</v>
      </c>
      <c r="B33" s="50" t="n">
        <v>1</v>
      </c>
      <c r="C33" s="9" t="s">
        <v>208</v>
      </c>
      <c r="D33" s="9" t="s">
        <v>209</v>
      </c>
      <c r="E33" s="50"/>
      <c r="F33" s="50"/>
      <c r="G33" s="50"/>
      <c r="H33" s="50"/>
      <c r="I33" s="50"/>
      <c r="J33" s="50"/>
      <c r="K33" s="8" t="n">
        <f aca="false">IFERROR(MIN(E33:J33),"")</f>
        <v>0</v>
      </c>
      <c r="L33" s="50" t="str">
        <f aca="false">IF(COUNT(E33:J33)&lt;2,"-",IF(LOOKUP(2,1/(E33:J33&lt;&gt;""),E33:J33)&lt;INDEX(E33:J33,MATCH(TRUE(),E33:J33&lt;&gt;"",0)),"↑",IF(LOOKUP(2,1/(E33:J33&lt;&gt;""),E33:J33)&gt;INDEX(E33:J33,MATCH(TRUE(),E33:J33&lt;&gt;"",0)),"↓","→")))</f>
        <v>-</v>
      </c>
    </row>
    <row r="34" customFormat="false" ht="25.5" hidden="false" customHeight="true" outlineLevel="0" collapsed="false">
      <c r="A34" s="50" t="n">
        <v>33</v>
      </c>
      <c r="B34" s="50" t="n">
        <v>1</v>
      </c>
      <c r="C34" s="7" t="s">
        <v>210</v>
      </c>
      <c r="D34" s="7" t="s">
        <v>211</v>
      </c>
      <c r="E34" s="50"/>
      <c r="F34" s="50"/>
      <c r="G34" s="50"/>
      <c r="H34" s="50"/>
      <c r="I34" s="50"/>
      <c r="J34" s="50"/>
      <c r="K34" s="8" t="n">
        <f aca="false">IFERROR(MIN(E34:J34),"")</f>
        <v>0</v>
      </c>
      <c r="L34" s="50" t="str">
        <f aca="false">IF(COUNT(E34:J34)&lt;2,"-",IF(LOOKUP(2,1/(E34:J34&lt;&gt;""),E34:J34)&lt;INDEX(E34:J34,MATCH(TRUE(),E34:J34&lt;&gt;"",0)),"↑",IF(LOOKUP(2,1/(E34:J34&lt;&gt;""),E34:J34)&gt;INDEX(E34:J34,MATCH(TRUE(),E34:J34&lt;&gt;"",0)),"↓","→")))</f>
        <v>-</v>
      </c>
    </row>
    <row r="35" customFormat="false" ht="25.5" hidden="false" customHeight="true" outlineLevel="0" collapsed="false">
      <c r="A35" s="50" t="n">
        <v>34</v>
      </c>
      <c r="B35" s="50" t="n">
        <v>1</v>
      </c>
      <c r="C35" s="9" t="s">
        <v>213</v>
      </c>
      <c r="D35" s="9" t="s">
        <v>214</v>
      </c>
      <c r="E35" s="50"/>
      <c r="F35" s="50"/>
      <c r="G35" s="50"/>
      <c r="H35" s="50"/>
      <c r="I35" s="50"/>
      <c r="J35" s="50"/>
      <c r="K35" s="8" t="n">
        <f aca="false">IFERROR(MIN(E35:J35),"")</f>
        <v>0</v>
      </c>
      <c r="L35" s="50" t="str">
        <f aca="false">IF(COUNT(E35:J35)&lt;2,"-",IF(LOOKUP(2,1/(E35:J35&lt;&gt;""),E35:J35)&lt;INDEX(E35:J35,MATCH(TRUE(),E35:J35&lt;&gt;"",0)),"↑",IF(LOOKUP(2,1/(E35:J35&lt;&gt;""),E35:J35)&gt;INDEX(E35:J35,MATCH(TRUE(),E35:J35&lt;&gt;"",0)),"↓","→")))</f>
        <v>-</v>
      </c>
    </row>
    <row r="36" customFormat="false" ht="25.5" hidden="false" customHeight="true" outlineLevel="0" collapsed="false">
      <c r="A36" s="50" t="n">
        <v>35</v>
      </c>
      <c r="B36" s="50" t="n">
        <v>1</v>
      </c>
      <c r="C36" s="7" t="s">
        <v>215</v>
      </c>
      <c r="D36" s="7" t="s">
        <v>216</v>
      </c>
      <c r="E36" s="50"/>
      <c r="F36" s="50"/>
      <c r="G36" s="50"/>
      <c r="H36" s="50"/>
      <c r="I36" s="50"/>
      <c r="J36" s="50"/>
      <c r="K36" s="8" t="n">
        <f aca="false">IFERROR(MIN(E36:J36),"")</f>
        <v>0</v>
      </c>
      <c r="L36" s="50" t="str">
        <f aca="false">IF(COUNT(E36:J36)&lt;2,"-",IF(LOOKUP(2,1/(E36:J36&lt;&gt;""),E36:J36)&lt;INDEX(E36:J36,MATCH(TRUE(),E36:J36&lt;&gt;"",0)),"↑",IF(LOOKUP(2,1/(E36:J36&lt;&gt;""),E36:J36)&gt;INDEX(E36:J36,MATCH(TRUE(),E36:J36&lt;&gt;"",0)),"↓","→")))</f>
        <v>-</v>
      </c>
    </row>
    <row r="37" customFormat="false" ht="25.5" hidden="false" customHeight="true" outlineLevel="0" collapsed="false">
      <c r="A37" s="50" t="n">
        <v>36</v>
      </c>
      <c r="B37" s="50" t="n">
        <v>1</v>
      </c>
      <c r="C37" s="9" t="s">
        <v>218</v>
      </c>
      <c r="D37" s="9" t="s">
        <v>219</v>
      </c>
      <c r="E37" s="50"/>
      <c r="F37" s="50"/>
      <c r="G37" s="50"/>
      <c r="H37" s="50"/>
      <c r="I37" s="50"/>
      <c r="J37" s="50"/>
      <c r="K37" s="8" t="n">
        <f aca="false">IFERROR(MIN(E37:J37),"")</f>
        <v>0</v>
      </c>
      <c r="L37" s="50" t="str">
        <f aca="false">IF(COUNT(E37:J37)&lt;2,"-",IF(LOOKUP(2,1/(E37:J37&lt;&gt;""),E37:J37)&lt;INDEX(E37:J37,MATCH(TRUE(),E37:J37&lt;&gt;"",0)),"↑",IF(LOOKUP(2,1/(E37:J37&lt;&gt;""),E37:J37)&gt;INDEX(E37:J37,MATCH(TRUE(),E37:J37&lt;&gt;"",0)),"↓","→")))</f>
        <v>-</v>
      </c>
    </row>
    <row r="38" customFormat="false" ht="25.5" hidden="false" customHeight="true" outlineLevel="0" collapsed="false">
      <c r="A38" s="50" t="n">
        <v>37</v>
      </c>
      <c r="B38" s="50" t="n">
        <v>1</v>
      </c>
      <c r="C38" s="7" t="s">
        <v>220</v>
      </c>
      <c r="D38" s="7" t="s">
        <v>221</v>
      </c>
      <c r="E38" s="50"/>
      <c r="F38" s="50"/>
      <c r="G38" s="50"/>
      <c r="H38" s="50"/>
      <c r="I38" s="50"/>
      <c r="J38" s="50"/>
      <c r="K38" s="8" t="n">
        <f aca="false">IFERROR(MIN(E38:J38),"")</f>
        <v>0</v>
      </c>
      <c r="L38" s="50" t="str">
        <f aca="false">IF(COUNT(E38:J38)&lt;2,"-",IF(LOOKUP(2,1/(E38:J38&lt;&gt;""),E38:J38)&lt;INDEX(E38:J38,MATCH(TRUE(),E38:J38&lt;&gt;"",0)),"↑",IF(LOOKUP(2,1/(E38:J38&lt;&gt;""),E38:J38)&gt;INDEX(E38:J38,MATCH(TRUE(),E38:J38&lt;&gt;"",0)),"↓","→")))</f>
        <v>-</v>
      </c>
    </row>
    <row r="39" customFormat="false" ht="25.5" hidden="false" customHeight="true" outlineLevel="0" collapsed="false">
      <c r="A39" s="50" t="n">
        <v>38</v>
      </c>
      <c r="B39" s="50" t="n">
        <v>1</v>
      </c>
      <c r="C39" s="9" t="s">
        <v>223</v>
      </c>
      <c r="D39" s="9" t="s">
        <v>224</v>
      </c>
      <c r="E39" s="50"/>
      <c r="F39" s="50"/>
      <c r="G39" s="50"/>
      <c r="H39" s="50"/>
      <c r="I39" s="50"/>
      <c r="J39" s="50"/>
      <c r="K39" s="8" t="n">
        <f aca="false">IFERROR(MIN(E39:J39),"")</f>
        <v>0</v>
      </c>
      <c r="L39" s="50" t="str">
        <f aca="false">IF(COUNT(E39:J39)&lt;2,"-",IF(LOOKUP(2,1/(E39:J39&lt;&gt;""),E39:J39)&lt;INDEX(E39:J39,MATCH(TRUE(),E39:J39&lt;&gt;"",0)),"↑",IF(LOOKUP(2,1/(E39:J39&lt;&gt;""),E39:J39)&gt;INDEX(E39:J39,MATCH(TRUE(),E39:J39&lt;&gt;"",0)),"↓","→")))</f>
        <v>-</v>
      </c>
    </row>
    <row r="40" customFormat="false" ht="25.5" hidden="false" customHeight="true" outlineLevel="0" collapsed="false">
      <c r="A40" s="50" t="n">
        <v>39</v>
      </c>
      <c r="B40" s="50" t="n">
        <v>1</v>
      </c>
      <c r="C40" s="7" t="s">
        <v>225</v>
      </c>
      <c r="D40" s="7" t="s">
        <v>227</v>
      </c>
      <c r="E40" s="50"/>
      <c r="F40" s="50"/>
      <c r="G40" s="50"/>
      <c r="H40" s="50"/>
      <c r="I40" s="50"/>
      <c r="J40" s="50"/>
      <c r="K40" s="8" t="n">
        <f aca="false">IFERROR(MIN(E40:J40),"")</f>
        <v>0</v>
      </c>
      <c r="L40" s="50" t="str">
        <f aca="false">IF(COUNT(E40:J40)&lt;2,"-",IF(LOOKUP(2,1/(E40:J40&lt;&gt;""),E40:J40)&lt;INDEX(E40:J40,MATCH(TRUE(),E40:J40&lt;&gt;"",0)),"↑",IF(LOOKUP(2,1/(E40:J40&lt;&gt;""),E40:J40)&gt;INDEX(E40:J40,MATCH(TRUE(),E40:J40&lt;&gt;"",0)),"↓","→")))</f>
        <v>-</v>
      </c>
    </row>
    <row r="41" customFormat="false" ht="25.5" hidden="false" customHeight="true" outlineLevel="0" collapsed="false">
      <c r="A41" s="50" t="n">
        <v>40</v>
      </c>
      <c r="B41" s="50" t="n">
        <v>1</v>
      </c>
      <c r="C41" s="9" t="s">
        <v>229</v>
      </c>
      <c r="D41" s="9" t="s">
        <v>230</v>
      </c>
      <c r="E41" s="50"/>
      <c r="F41" s="50"/>
      <c r="G41" s="50"/>
      <c r="H41" s="50"/>
      <c r="I41" s="50"/>
      <c r="J41" s="50"/>
      <c r="K41" s="8" t="n">
        <f aca="false">IFERROR(MIN(E41:J41),"")</f>
        <v>0</v>
      </c>
      <c r="L41" s="50" t="str">
        <f aca="false">IF(COUNT(E41:J41)&lt;2,"-",IF(LOOKUP(2,1/(E41:J41&lt;&gt;""),E41:J41)&lt;INDEX(E41:J41,MATCH(TRUE(),E41:J41&lt;&gt;"",0)),"↑",IF(LOOKUP(2,1/(E41:J41&lt;&gt;""),E41:J41)&gt;INDEX(E41:J41,MATCH(TRUE(),E41:J41&lt;&gt;"",0)),"↓","→")))</f>
        <v>-</v>
      </c>
    </row>
    <row r="42" customFormat="false" ht="25.5" hidden="false" customHeight="true" outlineLevel="0" collapsed="false">
      <c r="A42" s="50" t="n">
        <v>41</v>
      </c>
      <c r="B42" s="50" t="n">
        <v>1</v>
      </c>
      <c r="C42" s="7" t="s">
        <v>231</v>
      </c>
      <c r="D42" s="7" t="s">
        <v>232</v>
      </c>
      <c r="E42" s="50"/>
      <c r="F42" s="50"/>
      <c r="G42" s="50"/>
      <c r="H42" s="50"/>
      <c r="I42" s="50"/>
      <c r="J42" s="50"/>
      <c r="K42" s="8" t="n">
        <f aca="false">IFERROR(MIN(E42:J42),"")</f>
        <v>0</v>
      </c>
      <c r="L42" s="50" t="str">
        <f aca="false">IF(COUNT(E42:J42)&lt;2,"-",IF(LOOKUP(2,1/(E42:J42&lt;&gt;""),E42:J42)&lt;INDEX(E42:J42,MATCH(TRUE(),E42:J42&lt;&gt;"",0)),"↑",IF(LOOKUP(2,1/(E42:J42&lt;&gt;""),E42:J42)&gt;INDEX(E42:J42,MATCH(TRUE(),E42:J42&lt;&gt;"",0)),"↓","→")))</f>
        <v>-</v>
      </c>
    </row>
    <row r="43" customFormat="false" ht="25.5" hidden="false" customHeight="true" outlineLevel="0" collapsed="false">
      <c r="A43" s="50" t="n">
        <v>42</v>
      </c>
      <c r="B43" s="50" t="n">
        <v>1</v>
      </c>
      <c r="C43" s="9" t="s">
        <v>234</v>
      </c>
      <c r="D43" s="9" t="s">
        <v>235</v>
      </c>
      <c r="E43" s="50"/>
      <c r="F43" s="50"/>
      <c r="G43" s="50"/>
      <c r="H43" s="50"/>
      <c r="I43" s="50"/>
      <c r="J43" s="50"/>
      <c r="K43" s="8" t="n">
        <f aca="false">IFERROR(MIN(E43:J43),"")</f>
        <v>0</v>
      </c>
      <c r="L43" s="50" t="str">
        <f aca="false">IF(COUNT(E43:J43)&lt;2,"-",IF(LOOKUP(2,1/(E43:J43&lt;&gt;""),E43:J43)&lt;INDEX(E43:J43,MATCH(TRUE(),E43:J43&lt;&gt;"",0)),"↑",IF(LOOKUP(2,1/(E43:J43&lt;&gt;""),E43:J43)&gt;INDEX(E43:J43,MATCH(TRUE(),E43:J43&lt;&gt;"",0)),"↓","→")))</f>
        <v>-</v>
      </c>
    </row>
    <row r="44" customFormat="false" ht="25.5" hidden="false" customHeight="true" outlineLevel="0" collapsed="false">
      <c r="A44" s="50" t="n">
        <v>43</v>
      </c>
      <c r="B44" s="50" t="n">
        <v>1</v>
      </c>
      <c r="C44" s="7" t="s">
        <v>236</v>
      </c>
      <c r="D44" s="7" t="s">
        <v>237</v>
      </c>
      <c r="E44" s="50"/>
      <c r="F44" s="50"/>
      <c r="G44" s="50"/>
      <c r="H44" s="50"/>
      <c r="I44" s="50"/>
      <c r="J44" s="50"/>
      <c r="K44" s="8" t="n">
        <f aca="false">IFERROR(MIN(E44:J44),"")</f>
        <v>0</v>
      </c>
      <c r="L44" s="50" t="str">
        <f aca="false">IF(COUNT(E44:J44)&lt;2,"-",IF(LOOKUP(2,1/(E44:J44&lt;&gt;""),E44:J44)&lt;INDEX(E44:J44,MATCH(TRUE(),E44:J44&lt;&gt;"",0)),"↑",IF(LOOKUP(2,1/(E44:J44&lt;&gt;""),E44:J44)&gt;INDEX(E44:J44,MATCH(TRUE(),E44:J44&lt;&gt;"",0)),"↓","→")))</f>
        <v>-</v>
      </c>
    </row>
    <row r="45" customFormat="false" ht="25.5" hidden="false" customHeight="true" outlineLevel="0" collapsed="false">
      <c r="A45" s="50" t="n">
        <v>44</v>
      </c>
      <c r="B45" s="50" t="n">
        <v>1</v>
      </c>
      <c r="C45" s="9" t="s">
        <v>239</v>
      </c>
      <c r="D45" s="9" t="s">
        <v>240</v>
      </c>
      <c r="E45" s="50"/>
      <c r="F45" s="50"/>
      <c r="G45" s="50"/>
      <c r="H45" s="50"/>
      <c r="I45" s="50"/>
      <c r="J45" s="50"/>
      <c r="K45" s="8" t="n">
        <f aca="false">IFERROR(MIN(E45:J45),"")</f>
        <v>0</v>
      </c>
      <c r="L45" s="50" t="str">
        <f aca="false">IF(COUNT(E45:J45)&lt;2,"-",IF(LOOKUP(2,1/(E45:J45&lt;&gt;""),E45:J45)&lt;INDEX(E45:J45,MATCH(TRUE(),E45:J45&lt;&gt;"",0)),"↑",IF(LOOKUP(2,1/(E45:J45&lt;&gt;""),E45:J45)&gt;INDEX(E45:J45,MATCH(TRUE(),E45:J45&lt;&gt;"",0)),"↓","→")))</f>
        <v>-</v>
      </c>
    </row>
    <row r="46" customFormat="false" ht="25.5" hidden="false" customHeight="true" outlineLevel="0" collapsed="false">
      <c r="A46" s="50" t="n">
        <v>45</v>
      </c>
      <c r="B46" s="50" t="n">
        <v>1</v>
      </c>
      <c r="C46" s="7" t="s">
        <v>241</v>
      </c>
      <c r="D46" s="7" t="s">
        <v>243</v>
      </c>
      <c r="E46" s="50"/>
      <c r="F46" s="50"/>
      <c r="G46" s="50"/>
      <c r="H46" s="50"/>
      <c r="I46" s="50"/>
      <c r="J46" s="50"/>
      <c r="K46" s="8" t="n">
        <f aca="false">IFERROR(MIN(E46:J46),"")</f>
        <v>0</v>
      </c>
      <c r="L46" s="50" t="str">
        <f aca="false">IF(COUNT(E46:J46)&lt;2,"-",IF(LOOKUP(2,1/(E46:J46&lt;&gt;""),E46:J46)&lt;INDEX(E46:J46,MATCH(TRUE(),E46:J46&lt;&gt;"",0)),"↑",IF(LOOKUP(2,1/(E46:J46&lt;&gt;""),E46:J46)&gt;INDEX(E46:J46,MATCH(TRUE(),E46:J46&lt;&gt;"",0)),"↓","→")))</f>
        <v>-</v>
      </c>
    </row>
    <row r="47" customFormat="false" ht="25.5" hidden="false" customHeight="true" outlineLevel="0" collapsed="false">
      <c r="A47" s="50" t="n">
        <v>46</v>
      </c>
      <c r="B47" s="50" t="n">
        <v>1</v>
      </c>
      <c r="C47" s="9" t="s">
        <v>245</v>
      </c>
      <c r="D47" s="9" t="s">
        <v>246</v>
      </c>
      <c r="E47" s="50"/>
      <c r="F47" s="50"/>
      <c r="G47" s="50"/>
      <c r="H47" s="50"/>
      <c r="I47" s="50"/>
      <c r="J47" s="50"/>
      <c r="K47" s="8" t="n">
        <f aca="false">IFERROR(MIN(E47:J47),"")</f>
        <v>0</v>
      </c>
      <c r="L47" s="50" t="str">
        <f aca="false">IF(COUNT(E47:J47)&lt;2,"-",IF(LOOKUP(2,1/(E47:J47&lt;&gt;""),E47:J47)&lt;INDEX(E47:J47,MATCH(TRUE(),E47:J47&lt;&gt;"",0)),"↑",IF(LOOKUP(2,1/(E47:J47&lt;&gt;""),E47:J47)&gt;INDEX(E47:J47,MATCH(TRUE(),E47:J47&lt;&gt;"",0)),"↓","→")))</f>
        <v>-</v>
      </c>
    </row>
    <row r="48" customFormat="false" ht="25.5" hidden="false" customHeight="true" outlineLevel="0" collapsed="false">
      <c r="A48" s="50" t="n">
        <v>47</v>
      </c>
      <c r="B48" s="50" t="n">
        <v>1</v>
      </c>
      <c r="C48" s="7" t="s">
        <v>247</v>
      </c>
      <c r="D48" s="7" t="s">
        <v>249</v>
      </c>
      <c r="E48" s="50"/>
      <c r="F48" s="50"/>
      <c r="G48" s="50"/>
      <c r="H48" s="50"/>
      <c r="I48" s="50"/>
      <c r="J48" s="50"/>
      <c r="K48" s="8" t="n">
        <f aca="false">IFERROR(MIN(E48:J48),"")</f>
        <v>0</v>
      </c>
      <c r="L48" s="50" t="str">
        <f aca="false">IF(COUNT(E48:J48)&lt;2,"-",IF(LOOKUP(2,1/(E48:J48&lt;&gt;""),E48:J48)&lt;INDEX(E48:J48,MATCH(TRUE(),E48:J48&lt;&gt;"",0)),"↑",IF(LOOKUP(2,1/(E48:J48&lt;&gt;""),E48:J48)&gt;INDEX(E48:J48,MATCH(TRUE(),E48:J48&lt;&gt;"",0)),"↓","→")))</f>
        <v>-</v>
      </c>
    </row>
    <row r="49" customFormat="false" ht="25.5" hidden="false" customHeight="true" outlineLevel="0" collapsed="false">
      <c r="A49" s="50" t="n">
        <v>48</v>
      </c>
      <c r="B49" s="50" t="n">
        <v>1</v>
      </c>
      <c r="C49" s="9" t="s">
        <v>251</v>
      </c>
      <c r="D49" s="9" t="s">
        <v>252</v>
      </c>
      <c r="E49" s="50"/>
      <c r="F49" s="50"/>
      <c r="G49" s="50"/>
      <c r="H49" s="50"/>
      <c r="I49" s="50"/>
      <c r="J49" s="50"/>
      <c r="K49" s="8" t="n">
        <f aca="false">IFERROR(MIN(E49:J49),"")</f>
        <v>0</v>
      </c>
      <c r="L49" s="50" t="str">
        <f aca="false">IF(COUNT(E49:J49)&lt;2,"-",IF(LOOKUP(2,1/(E49:J49&lt;&gt;""),E49:J49)&lt;INDEX(E49:J49,MATCH(TRUE(),E49:J49&lt;&gt;"",0)),"↑",IF(LOOKUP(2,1/(E49:J49&lt;&gt;""),E49:J49)&gt;INDEX(E49:J49,MATCH(TRUE(),E49:J49&lt;&gt;"",0)),"↓","→")))</f>
        <v>-</v>
      </c>
    </row>
    <row r="50" customFormat="false" ht="25.5" hidden="false" customHeight="true" outlineLevel="0" collapsed="false">
      <c r="A50" s="50" t="n">
        <v>49</v>
      </c>
      <c r="B50" s="50" t="n">
        <v>1</v>
      </c>
      <c r="C50" s="7" t="s">
        <v>253</v>
      </c>
      <c r="D50" s="7" t="s">
        <v>255</v>
      </c>
      <c r="E50" s="50"/>
      <c r="F50" s="50"/>
      <c r="G50" s="50"/>
      <c r="H50" s="50"/>
      <c r="I50" s="50"/>
      <c r="J50" s="50"/>
      <c r="K50" s="8" t="n">
        <f aca="false">IFERROR(MIN(E50:J50),"")</f>
        <v>0</v>
      </c>
      <c r="L50" s="50" t="str">
        <f aca="false">IF(COUNT(E50:J50)&lt;2,"-",IF(LOOKUP(2,1/(E50:J50&lt;&gt;""),E50:J50)&lt;INDEX(E50:J50,MATCH(TRUE(),E50:J50&lt;&gt;"",0)),"↑",IF(LOOKUP(2,1/(E50:J50&lt;&gt;""),E50:J50)&gt;INDEX(E50:J50,MATCH(TRUE(),E50:J50&lt;&gt;"",0)),"↓","→")))</f>
        <v>-</v>
      </c>
    </row>
    <row r="51" customFormat="false" ht="25.5" hidden="false" customHeight="true" outlineLevel="0" collapsed="false">
      <c r="A51" s="50" t="n">
        <v>50</v>
      </c>
      <c r="B51" s="50" t="n">
        <v>1</v>
      </c>
      <c r="C51" s="9" t="s">
        <v>257</v>
      </c>
      <c r="D51" s="9" t="s">
        <v>258</v>
      </c>
      <c r="E51" s="50"/>
      <c r="F51" s="50"/>
      <c r="G51" s="50"/>
      <c r="H51" s="50"/>
      <c r="I51" s="50"/>
      <c r="J51" s="50"/>
      <c r="K51" s="8" t="n">
        <f aca="false">IFERROR(MIN(E51:J51),"")</f>
        <v>0</v>
      </c>
      <c r="L51" s="50" t="str">
        <f aca="false">IF(COUNT(E51:J51)&lt;2,"-",IF(LOOKUP(2,1/(E51:J51&lt;&gt;""),E51:J51)&lt;INDEX(E51:J51,MATCH(TRUE(),E51:J51&lt;&gt;"",0)),"↑",IF(LOOKUP(2,1/(E51:J51&lt;&gt;""),E51:J51)&gt;INDEX(E51:J51,MATCH(TRUE(),E51:J51&lt;&gt;"",0)),"↓","→")))</f>
        <v>-</v>
      </c>
    </row>
    <row r="52" customFormat="false" ht="25.5" hidden="false" customHeight="true" outlineLevel="0" collapsed="false">
      <c r="A52" s="50" t="n">
        <v>51</v>
      </c>
      <c r="B52" s="50" t="n">
        <v>1</v>
      </c>
      <c r="C52" s="7" t="s">
        <v>259</v>
      </c>
      <c r="D52" s="7" t="s">
        <v>261</v>
      </c>
      <c r="E52" s="50"/>
      <c r="F52" s="50"/>
      <c r="G52" s="50"/>
      <c r="H52" s="50"/>
      <c r="I52" s="50"/>
      <c r="J52" s="50"/>
      <c r="K52" s="8" t="n">
        <f aca="false">IFERROR(MIN(E52:J52),"")</f>
        <v>0</v>
      </c>
      <c r="L52" s="50" t="str">
        <f aca="false">IF(COUNT(E52:J52)&lt;2,"-",IF(LOOKUP(2,1/(E52:J52&lt;&gt;""),E52:J52)&lt;INDEX(E52:J52,MATCH(TRUE(),E52:J52&lt;&gt;"",0)),"↑",IF(LOOKUP(2,1/(E52:J52&lt;&gt;""),E52:J52)&gt;INDEX(E52:J52,MATCH(TRUE(),E52:J52&lt;&gt;"",0)),"↓","→")))</f>
        <v>-</v>
      </c>
    </row>
    <row r="53" customFormat="false" ht="25.5" hidden="false" customHeight="true" outlineLevel="0" collapsed="false">
      <c r="A53" s="50" t="n">
        <v>52</v>
      </c>
      <c r="B53" s="50" t="n">
        <v>1</v>
      </c>
      <c r="C53" s="9" t="s">
        <v>263</v>
      </c>
      <c r="D53" s="9" t="s">
        <v>264</v>
      </c>
      <c r="E53" s="50"/>
      <c r="F53" s="50"/>
      <c r="G53" s="50"/>
      <c r="H53" s="50"/>
      <c r="I53" s="50"/>
      <c r="J53" s="50"/>
      <c r="K53" s="8" t="n">
        <f aca="false">IFERROR(MIN(E53:J53),"")</f>
        <v>0</v>
      </c>
      <c r="L53" s="50" t="str">
        <f aca="false">IF(COUNT(E53:J53)&lt;2,"-",IF(LOOKUP(2,1/(E53:J53&lt;&gt;""),E53:J53)&lt;INDEX(E53:J53,MATCH(TRUE(),E53:J53&lt;&gt;"",0)),"↑",IF(LOOKUP(2,1/(E53:J53&lt;&gt;""),E53:J53)&gt;INDEX(E53:J53,MATCH(TRUE(),E53:J53&lt;&gt;"",0)),"↓","→")))</f>
        <v>-</v>
      </c>
    </row>
    <row r="54" customFormat="false" ht="25.5" hidden="false" customHeight="true" outlineLevel="0" collapsed="false">
      <c r="A54" s="50" t="n">
        <v>53</v>
      </c>
      <c r="B54" s="50" t="n">
        <v>1</v>
      </c>
      <c r="C54" s="7" t="s">
        <v>265</v>
      </c>
      <c r="D54" s="7" t="s">
        <v>267</v>
      </c>
      <c r="E54" s="50"/>
      <c r="F54" s="50"/>
      <c r="G54" s="50"/>
      <c r="H54" s="50"/>
      <c r="I54" s="50"/>
      <c r="J54" s="50"/>
      <c r="K54" s="8" t="n">
        <f aca="false">IFERROR(MIN(E54:J54),"")</f>
        <v>0</v>
      </c>
      <c r="L54" s="50" t="str">
        <f aca="false">IF(COUNT(E54:J54)&lt;2,"-",IF(LOOKUP(2,1/(E54:J54&lt;&gt;""),E54:J54)&lt;INDEX(E54:J54,MATCH(TRUE(),E54:J54&lt;&gt;"",0)),"↑",IF(LOOKUP(2,1/(E54:J54&lt;&gt;""),E54:J54)&gt;INDEX(E54:J54,MATCH(TRUE(),E54:J54&lt;&gt;"",0)),"↓","→")))</f>
        <v>-</v>
      </c>
    </row>
    <row r="55" customFormat="false" ht="25.5" hidden="false" customHeight="true" outlineLevel="0" collapsed="false">
      <c r="A55" s="50" t="n">
        <v>54</v>
      </c>
      <c r="B55" s="50" t="n">
        <v>1</v>
      </c>
      <c r="C55" s="9" t="s">
        <v>269</v>
      </c>
      <c r="D55" s="9" t="s">
        <v>270</v>
      </c>
      <c r="E55" s="50"/>
      <c r="F55" s="50"/>
      <c r="G55" s="50"/>
      <c r="H55" s="50"/>
      <c r="I55" s="50"/>
      <c r="J55" s="50"/>
      <c r="K55" s="8" t="n">
        <f aca="false">IFERROR(MIN(E55:J55),"")</f>
        <v>0</v>
      </c>
      <c r="L55" s="50" t="str">
        <f aca="false">IF(COUNT(E55:J55)&lt;2,"-",IF(LOOKUP(2,1/(E55:J55&lt;&gt;""),E55:J55)&lt;INDEX(E55:J55,MATCH(TRUE(),E55:J55&lt;&gt;"",0)),"↑",IF(LOOKUP(2,1/(E55:J55&lt;&gt;""),E55:J55)&gt;INDEX(E55:J55,MATCH(TRUE(),E55:J55&lt;&gt;"",0)),"↓","→")))</f>
        <v>-</v>
      </c>
    </row>
    <row r="56" customFormat="false" ht="25.5" hidden="false" customHeight="true" outlineLevel="0" collapsed="false">
      <c r="A56" s="50" t="n">
        <v>55</v>
      </c>
      <c r="B56" s="50" t="n">
        <v>1</v>
      </c>
      <c r="C56" s="7" t="s">
        <v>271</v>
      </c>
      <c r="D56" s="7" t="s">
        <v>273</v>
      </c>
      <c r="E56" s="50"/>
      <c r="F56" s="50"/>
      <c r="G56" s="50"/>
      <c r="H56" s="50"/>
      <c r="I56" s="50"/>
      <c r="J56" s="50"/>
      <c r="K56" s="8" t="n">
        <f aca="false">IFERROR(MIN(E56:J56),"")</f>
        <v>0</v>
      </c>
      <c r="L56" s="50" t="str">
        <f aca="false">IF(COUNT(E56:J56)&lt;2,"-",IF(LOOKUP(2,1/(E56:J56&lt;&gt;""),E56:J56)&lt;INDEX(E56:J56,MATCH(TRUE(),E56:J56&lt;&gt;"",0)),"↑",IF(LOOKUP(2,1/(E56:J56&lt;&gt;""),E56:J56)&gt;INDEX(E56:J56,MATCH(TRUE(),E56:J56&lt;&gt;"",0)),"↓","→")))</f>
        <v>-</v>
      </c>
    </row>
    <row r="57" customFormat="false" ht="25.5" hidden="false" customHeight="true" outlineLevel="0" collapsed="false">
      <c r="A57" s="50" t="n">
        <v>56</v>
      </c>
      <c r="B57" s="50" t="n">
        <v>1</v>
      </c>
      <c r="C57" s="9" t="s">
        <v>275</v>
      </c>
      <c r="D57" s="9" t="s">
        <v>276</v>
      </c>
      <c r="E57" s="50"/>
      <c r="F57" s="50"/>
      <c r="G57" s="50"/>
      <c r="H57" s="50"/>
      <c r="I57" s="50"/>
      <c r="J57" s="50"/>
      <c r="K57" s="8" t="n">
        <f aca="false">IFERROR(MIN(E57:J57),"")</f>
        <v>0</v>
      </c>
      <c r="L57" s="50" t="str">
        <f aca="false">IF(COUNT(E57:J57)&lt;2,"-",IF(LOOKUP(2,1/(E57:J57&lt;&gt;""),E57:J57)&lt;INDEX(E57:J57,MATCH(TRUE(),E57:J57&lt;&gt;"",0)),"↑",IF(LOOKUP(2,1/(E57:J57&lt;&gt;""),E57:J57)&gt;INDEX(E57:J57,MATCH(TRUE(),E57:J57&lt;&gt;"",0)),"↓","→")))</f>
        <v>-</v>
      </c>
    </row>
    <row r="58" customFormat="false" ht="25.5" hidden="false" customHeight="true" outlineLevel="0" collapsed="false">
      <c r="A58" s="50" t="n">
        <v>57</v>
      </c>
      <c r="B58" s="50" t="n">
        <v>1</v>
      </c>
      <c r="C58" s="7" t="s">
        <v>277</v>
      </c>
      <c r="D58" s="7" t="s">
        <v>278</v>
      </c>
      <c r="E58" s="50"/>
      <c r="F58" s="50"/>
      <c r="G58" s="50"/>
      <c r="H58" s="50"/>
      <c r="I58" s="50"/>
      <c r="J58" s="50"/>
      <c r="K58" s="8" t="n">
        <f aca="false">IFERROR(MIN(E58:J58),"")</f>
        <v>0</v>
      </c>
      <c r="L58" s="50" t="str">
        <f aca="false">IF(COUNT(E58:J58)&lt;2,"-",IF(LOOKUP(2,1/(E58:J58&lt;&gt;""),E58:J58)&lt;INDEX(E58:J58,MATCH(TRUE(),E58:J58&lt;&gt;"",0)),"↑",IF(LOOKUP(2,1/(E58:J58&lt;&gt;""),E58:J58)&gt;INDEX(E58:J58,MATCH(TRUE(),E58:J58&lt;&gt;"",0)),"↓","→")))</f>
        <v>-</v>
      </c>
    </row>
    <row r="59" customFormat="false" ht="25.5" hidden="false" customHeight="true" outlineLevel="0" collapsed="false">
      <c r="A59" s="50" t="n">
        <v>58</v>
      </c>
      <c r="B59" s="50" t="n">
        <v>1</v>
      </c>
      <c r="C59" s="9" t="s">
        <v>280</v>
      </c>
      <c r="D59" s="9" t="s">
        <v>281</v>
      </c>
      <c r="E59" s="50"/>
      <c r="F59" s="50"/>
      <c r="G59" s="50"/>
      <c r="H59" s="50"/>
      <c r="I59" s="50"/>
      <c r="J59" s="50"/>
      <c r="K59" s="8" t="n">
        <f aca="false">IFERROR(MIN(E59:J59),"")</f>
        <v>0</v>
      </c>
      <c r="L59" s="50" t="str">
        <f aca="false">IF(COUNT(E59:J59)&lt;2,"-",IF(LOOKUP(2,1/(E59:J59&lt;&gt;""),E59:J59)&lt;INDEX(E59:J59,MATCH(TRUE(),E59:J59&lt;&gt;"",0)),"↑",IF(LOOKUP(2,1/(E59:J59&lt;&gt;""),E59:J59)&gt;INDEX(E59:J59,MATCH(TRUE(),E59:J59&lt;&gt;"",0)),"↓","→")))</f>
        <v>-</v>
      </c>
    </row>
    <row r="60" customFormat="false" ht="25.5" hidden="false" customHeight="true" outlineLevel="0" collapsed="false">
      <c r="A60" s="50" t="n">
        <v>59</v>
      </c>
      <c r="B60" s="50" t="n">
        <v>1</v>
      </c>
      <c r="C60" s="7" t="s">
        <v>282</v>
      </c>
      <c r="D60" s="7" t="s">
        <v>283</v>
      </c>
      <c r="E60" s="50"/>
      <c r="F60" s="50"/>
      <c r="G60" s="50"/>
      <c r="H60" s="50"/>
      <c r="I60" s="50"/>
      <c r="J60" s="50"/>
      <c r="K60" s="8" t="n">
        <f aca="false">IFERROR(MIN(E60:J60),"")</f>
        <v>0</v>
      </c>
      <c r="L60" s="50" t="str">
        <f aca="false">IF(COUNT(E60:J60)&lt;2,"-",IF(LOOKUP(2,1/(E60:J60&lt;&gt;""),E60:J60)&lt;INDEX(E60:J60,MATCH(TRUE(),E60:J60&lt;&gt;"",0)),"↑",IF(LOOKUP(2,1/(E60:J60&lt;&gt;""),E60:J60)&gt;INDEX(E60:J60,MATCH(TRUE(),E60:J60&lt;&gt;"",0)),"↓","→")))</f>
        <v>-</v>
      </c>
    </row>
    <row r="61" customFormat="false" ht="25.5" hidden="false" customHeight="true" outlineLevel="0" collapsed="false">
      <c r="A61" s="50" t="n">
        <v>60</v>
      </c>
      <c r="B61" s="50" t="n">
        <v>1</v>
      </c>
      <c r="C61" s="9" t="s">
        <v>285</v>
      </c>
      <c r="D61" s="9" t="s">
        <v>286</v>
      </c>
      <c r="E61" s="50"/>
      <c r="F61" s="50"/>
      <c r="G61" s="50"/>
      <c r="H61" s="50"/>
      <c r="I61" s="50"/>
      <c r="J61" s="50"/>
      <c r="K61" s="8" t="n">
        <f aca="false">IFERROR(MIN(E61:J61),"")</f>
        <v>0</v>
      </c>
      <c r="L61" s="50" t="str">
        <f aca="false">IF(COUNT(E61:J61)&lt;2,"-",IF(LOOKUP(2,1/(E61:J61&lt;&gt;""),E61:J61)&lt;INDEX(E61:J61,MATCH(TRUE(),E61:J61&lt;&gt;"",0)),"↑",IF(LOOKUP(2,1/(E61:J61&lt;&gt;""),E61:J61)&gt;INDEX(E61:J61,MATCH(TRUE(),E61:J61&lt;&gt;"",0)),"↓","→")))</f>
        <v>-</v>
      </c>
    </row>
    <row r="62" customFormat="false" ht="25.5" hidden="false" customHeight="true" outlineLevel="0" collapsed="false">
      <c r="A62" s="50" t="n">
        <v>61</v>
      </c>
      <c r="B62" s="50" t="n">
        <v>1</v>
      </c>
      <c r="C62" s="7" t="s">
        <v>287</v>
      </c>
      <c r="D62" s="7" t="s">
        <v>288</v>
      </c>
      <c r="E62" s="50"/>
      <c r="F62" s="50"/>
      <c r="G62" s="50"/>
      <c r="H62" s="50"/>
      <c r="I62" s="50"/>
      <c r="J62" s="50"/>
      <c r="K62" s="8" t="n">
        <f aca="false">IFERROR(MIN(E62:J62),"")</f>
        <v>0</v>
      </c>
      <c r="L62" s="50" t="str">
        <f aca="false">IF(COUNT(E62:J62)&lt;2,"-",IF(LOOKUP(2,1/(E62:J62&lt;&gt;""),E62:J62)&lt;INDEX(E62:J62,MATCH(TRUE(),E62:J62&lt;&gt;"",0)),"↑",IF(LOOKUP(2,1/(E62:J62&lt;&gt;""),E62:J62)&gt;INDEX(E62:J62,MATCH(TRUE(),E62:J62&lt;&gt;"",0)),"↓","→")))</f>
        <v>-</v>
      </c>
    </row>
    <row r="63" customFormat="false" ht="25.5" hidden="false" customHeight="true" outlineLevel="0" collapsed="false">
      <c r="A63" s="50" t="n">
        <v>62</v>
      </c>
      <c r="B63" s="50" t="n">
        <v>1</v>
      </c>
      <c r="C63" s="9" t="s">
        <v>290</v>
      </c>
      <c r="D63" s="9" t="s">
        <v>291</v>
      </c>
      <c r="E63" s="50"/>
      <c r="F63" s="50"/>
      <c r="G63" s="50"/>
      <c r="H63" s="50"/>
      <c r="I63" s="50"/>
      <c r="J63" s="50"/>
      <c r="K63" s="8" t="n">
        <f aca="false">IFERROR(MIN(E63:J63),"")</f>
        <v>0</v>
      </c>
      <c r="L63" s="50" t="str">
        <f aca="false">IF(COUNT(E63:J63)&lt;2,"-",IF(LOOKUP(2,1/(E63:J63&lt;&gt;""),E63:J63)&lt;INDEX(E63:J63,MATCH(TRUE(),E63:J63&lt;&gt;"",0)),"↑",IF(LOOKUP(2,1/(E63:J63&lt;&gt;""),E63:J63)&gt;INDEX(E63:J63,MATCH(TRUE(),E63:J63&lt;&gt;"",0)),"↓","→")))</f>
        <v>-</v>
      </c>
    </row>
    <row r="64" customFormat="false" ht="25.5" hidden="false" customHeight="true" outlineLevel="0" collapsed="false">
      <c r="A64" s="50" t="n">
        <v>63</v>
      </c>
      <c r="B64" s="50" t="n">
        <v>1</v>
      </c>
      <c r="C64" s="7" t="s">
        <v>292</v>
      </c>
      <c r="D64" s="7" t="s">
        <v>293</v>
      </c>
      <c r="E64" s="50"/>
      <c r="F64" s="50"/>
      <c r="G64" s="50"/>
      <c r="H64" s="50"/>
      <c r="I64" s="50"/>
      <c r="J64" s="50"/>
      <c r="K64" s="8" t="n">
        <f aca="false">IFERROR(MIN(E64:J64),"")</f>
        <v>0</v>
      </c>
      <c r="L64" s="50" t="str">
        <f aca="false">IF(COUNT(E64:J64)&lt;2,"-",IF(LOOKUP(2,1/(E64:J64&lt;&gt;""),E64:J64)&lt;INDEX(E64:J64,MATCH(TRUE(),E64:J64&lt;&gt;"",0)),"↑",IF(LOOKUP(2,1/(E64:J64&lt;&gt;""),E64:J64)&gt;INDEX(E64:J64,MATCH(TRUE(),E64:J64&lt;&gt;"",0)),"↓","→")))</f>
        <v>-</v>
      </c>
    </row>
    <row r="65" customFormat="false" ht="25.5" hidden="false" customHeight="true" outlineLevel="0" collapsed="false">
      <c r="A65" s="50" t="n">
        <v>64</v>
      </c>
      <c r="B65" s="50" t="n">
        <v>1</v>
      </c>
      <c r="C65" s="9" t="s">
        <v>295</v>
      </c>
      <c r="D65" s="9" t="s">
        <v>296</v>
      </c>
      <c r="E65" s="50"/>
      <c r="F65" s="50"/>
      <c r="G65" s="50"/>
      <c r="H65" s="50"/>
      <c r="I65" s="50"/>
      <c r="J65" s="50"/>
      <c r="K65" s="8" t="n">
        <f aca="false">IFERROR(MIN(E65:J65),"")</f>
        <v>0</v>
      </c>
      <c r="L65" s="50" t="str">
        <f aca="false">IF(COUNT(E65:J65)&lt;2,"-",IF(LOOKUP(2,1/(E65:J65&lt;&gt;""),E65:J65)&lt;INDEX(E65:J65,MATCH(TRUE(),E65:J65&lt;&gt;"",0)),"↑",IF(LOOKUP(2,1/(E65:J65&lt;&gt;""),E65:J65)&gt;INDEX(E65:J65,MATCH(TRUE(),E65:J65&lt;&gt;"",0)),"↓","→")))</f>
        <v>-</v>
      </c>
    </row>
    <row r="66" customFormat="false" ht="25.5" hidden="false" customHeight="true" outlineLevel="0" collapsed="false">
      <c r="A66" s="50" t="n">
        <v>65</v>
      </c>
      <c r="B66" s="50" t="n">
        <v>1</v>
      </c>
      <c r="C66" s="7" t="s">
        <v>297</v>
      </c>
      <c r="D66" s="7" t="s">
        <v>299</v>
      </c>
      <c r="E66" s="50"/>
      <c r="F66" s="50"/>
      <c r="G66" s="50"/>
      <c r="H66" s="50"/>
      <c r="I66" s="50"/>
      <c r="J66" s="50"/>
      <c r="K66" s="8" t="n">
        <f aca="false">IFERROR(MIN(E66:J66),"")</f>
        <v>0</v>
      </c>
      <c r="L66" s="50" t="str">
        <f aca="false">IF(COUNT(E66:J66)&lt;2,"-",IF(LOOKUP(2,1/(E66:J66&lt;&gt;""),E66:J66)&lt;INDEX(E66:J66,MATCH(TRUE(),E66:J66&lt;&gt;"",0)),"↑",IF(LOOKUP(2,1/(E66:J66&lt;&gt;""),E66:J66)&gt;INDEX(E66:J66,MATCH(TRUE(),E66:J66&lt;&gt;"",0)),"↓","→")))</f>
        <v>-</v>
      </c>
    </row>
    <row r="67" customFormat="false" ht="25.5" hidden="false" customHeight="true" outlineLevel="0" collapsed="false">
      <c r="A67" s="50" t="n">
        <v>66</v>
      </c>
      <c r="B67" s="50" t="n">
        <v>1</v>
      </c>
      <c r="C67" s="9" t="s">
        <v>301</v>
      </c>
      <c r="D67" s="9" t="s">
        <v>302</v>
      </c>
      <c r="E67" s="50"/>
      <c r="F67" s="50"/>
      <c r="G67" s="50"/>
      <c r="H67" s="50"/>
      <c r="I67" s="50"/>
      <c r="J67" s="50"/>
      <c r="K67" s="8" t="n">
        <f aca="false">IFERROR(MIN(E67:J67),"")</f>
        <v>0</v>
      </c>
      <c r="L67" s="50" t="str">
        <f aca="false">IF(COUNT(E67:J67)&lt;2,"-",IF(LOOKUP(2,1/(E67:J67&lt;&gt;""),E67:J67)&lt;INDEX(E67:J67,MATCH(TRUE(),E67:J67&lt;&gt;"",0)),"↑",IF(LOOKUP(2,1/(E67:J67&lt;&gt;""),E67:J67)&gt;INDEX(E67:J67,MATCH(TRUE(),E67:J67&lt;&gt;"",0)),"↓","→")))</f>
        <v>-</v>
      </c>
    </row>
    <row r="68" customFormat="false" ht="25.5" hidden="false" customHeight="true" outlineLevel="0" collapsed="false">
      <c r="A68" s="50" t="n">
        <v>67</v>
      </c>
      <c r="B68" s="50" t="n">
        <v>1</v>
      </c>
      <c r="C68" s="7" t="s">
        <v>303</v>
      </c>
      <c r="D68" s="7" t="s">
        <v>304</v>
      </c>
      <c r="E68" s="50"/>
      <c r="F68" s="50"/>
      <c r="G68" s="50"/>
      <c r="H68" s="50"/>
      <c r="I68" s="50"/>
      <c r="J68" s="50"/>
      <c r="K68" s="8" t="n">
        <f aca="false">IFERROR(MIN(E68:J68),"")</f>
        <v>0</v>
      </c>
      <c r="L68" s="50" t="str">
        <f aca="false">IF(COUNT(E68:J68)&lt;2,"-",IF(LOOKUP(2,1/(E68:J68&lt;&gt;""),E68:J68)&lt;INDEX(E68:J68,MATCH(TRUE(),E68:J68&lt;&gt;"",0)),"↑",IF(LOOKUP(2,1/(E68:J68&lt;&gt;""),E68:J68)&gt;INDEX(E68:J68,MATCH(TRUE(),E68:J68&lt;&gt;"",0)),"↓","→")))</f>
        <v>-</v>
      </c>
    </row>
    <row r="69" customFormat="false" ht="25.5" hidden="false" customHeight="true" outlineLevel="0" collapsed="false">
      <c r="A69" s="50" t="n">
        <v>68</v>
      </c>
      <c r="B69" s="50" t="n">
        <v>1</v>
      </c>
      <c r="C69" s="9" t="s">
        <v>306</v>
      </c>
      <c r="D69" s="9" t="s">
        <v>307</v>
      </c>
      <c r="E69" s="50"/>
      <c r="F69" s="50"/>
      <c r="G69" s="50"/>
      <c r="H69" s="50"/>
      <c r="I69" s="50"/>
      <c r="J69" s="50"/>
      <c r="K69" s="8" t="n">
        <f aca="false">IFERROR(MIN(E69:J69),"")</f>
        <v>0</v>
      </c>
      <c r="L69" s="50" t="str">
        <f aca="false">IF(COUNT(E69:J69)&lt;2,"-",IF(LOOKUP(2,1/(E69:J69&lt;&gt;""),E69:J69)&lt;INDEX(E69:J69,MATCH(TRUE(),E69:J69&lt;&gt;"",0)),"↑",IF(LOOKUP(2,1/(E69:J69&lt;&gt;""),E69:J69)&gt;INDEX(E69:J69,MATCH(TRUE(),E69:J69&lt;&gt;"",0)),"↓","→")))</f>
        <v>-</v>
      </c>
    </row>
    <row r="70" customFormat="false" ht="25.5" hidden="false" customHeight="true" outlineLevel="0" collapsed="false">
      <c r="A70" s="50" t="n">
        <v>69</v>
      </c>
      <c r="B70" s="50" t="n">
        <v>1</v>
      </c>
      <c r="C70" s="7" t="s">
        <v>308</v>
      </c>
      <c r="D70" s="7" t="s">
        <v>310</v>
      </c>
      <c r="E70" s="50"/>
      <c r="F70" s="50"/>
      <c r="G70" s="50"/>
      <c r="H70" s="50"/>
      <c r="I70" s="50"/>
      <c r="J70" s="50"/>
      <c r="K70" s="8" t="n">
        <f aca="false">IFERROR(MIN(E70:J70),"")</f>
        <v>0</v>
      </c>
      <c r="L70" s="50" t="str">
        <f aca="false">IF(COUNT(E70:J70)&lt;2,"-",IF(LOOKUP(2,1/(E70:J70&lt;&gt;""),E70:J70)&lt;INDEX(E70:J70,MATCH(TRUE(),E70:J70&lt;&gt;"",0)),"↑",IF(LOOKUP(2,1/(E70:J70&lt;&gt;""),E70:J70)&gt;INDEX(E70:J70,MATCH(TRUE(),E70:J70&lt;&gt;"",0)),"↓","→")))</f>
        <v>-</v>
      </c>
    </row>
    <row r="71" customFormat="false" ht="25.5" hidden="false" customHeight="true" outlineLevel="0" collapsed="false">
      <c r="A71" s="50" t="n">
        <v>70</v>
      </c>
      <c r="B71" s="50" t="n">
        <v>1</v>
      </c>
      <c r="C71" s="9" t="s">
        <v>312</v>
      </c>
      <c r="D71" s="9" t="s">
        <v>313</v>
      </c>
      <c r="E71" s="50"/>
      <c r="F71" s="50"/>
      <c r="G71" s="50"/>
      <c r="H71" s="50"/>
      <c r="I71" s="50"/>
      <c r="J71" s="50"/>
      <c r="K71" s="8" t="n">
        <f aca="false">IFERROR(MIN(E71:J71),"")</f>
        <v>0</v>
      </c>
      <c r="L71" s="50" t="str">
        <f aca="false">IF(COUNT(E71:J71)&lt;2,"-",IF(LOOKUP(2,1/(E71:J71&lt;&gt;""),E71:J71)&lt;INDEX(E71:J71,MATCH(TRUE(),E71:J71&lt;&gt;"",0)),"↑",IF(LOOKUP(2,1/(E71:J71&lt;&gt;""),E71:J71)&gt;INDEX(E71:J71,MATCH(TRUE(),E71:J71&lt;&gt;"",0)),"↓","→")))</f>
        <v>-</v>
      </c>
    </row>
    <row r="72" customFormat="false" ht="25.5" hidden="false" customHeight="true" outlineLevel="0" collapsed="false">
      <c r="A72" s="50" t="n">
        <v>71</v>
      </c>
      <c r="B72" s="50" t="n">
        <v>1</v>
      </c>
      <c r="C72" s="7" t="s">
        <v>314</v>
      </c>
      <c r="D72" s="7" t="s">
        <v>315</v>
      </c>
      <c r="E72" s="50"/>
      <c r="F72" s="50"/>
      <c r="G72" s="50"/>
      <c r="H72" s="50"/>
      <c r="I72" s="50"/>
      <c r="J72" s="50"/>
      <c r="K72" s="8" t="n">
        <f aca="false">IFERROR(MIN(E72:J72),"")</f>
        <v>0</v>
      </c>
      <c r="L72" s="50" t="str">
        <f aca="false">IF(COUNT(E72:J72)&lt;2,"-",IF(LOOKUP(2,1/(E72:J72&lt;&gt;""),E72:J72)&lt;INDEX(E72:J72,MATCH(TRUE(),E72:J72&lt;&gt;"",0)),"↑",IF(LOOKUP(2,1/(E72:J72&lt;&gt;""),E72:J72)&gt;INDEX(E72:J72,MATCH(TRUE(),E72:J72&lt;&gt;"",0)),"↓","→")))</f>
        <v>-</v>
      </c>
    </row>
    <row r="73" customFormat="false" ht="25.5" hidden="false" customHeight="true" outlineLevel="0" collapsed="false">
      <c r="A73" s="50" t="n">
        <v>72</v>
      </c>
      <c r="B73" s="50" t="n">
        <v>1</v>
      </c>
      <c r="C73" s="9" t="s">
        <v>317</v>
      </c>
      <c r="D73" s="9" t="s">
        <v>318</v>
      </c>
      <c r="E73" s="50"/>
      <c r="F73" s="50"/>
      <c r="G73" s="50"/>
      <c r="H73" s="50"/>
      <c r="I73" s="50"/>
      <c r="J73" s="50"/>
      <c r="K73" s="8" t="n">
        <f aca="false">IFERROR(MIN(E73:J73),"")</f>
        <v>0</v>
      </c>
      <c r="L73" s="50" t="str">
        <f aca="false">IF(COUNT(E73:J73)&lt;2,"-",IF(LOOKUP(2,1/(E73:J73&lt;&gt;""),E73:J73)&lt;INDEX(E73:J73,MATCH(TRUE(),E73:J73&lt;&gt;"",0)),"↑",IF(LOOKUP(2,1/(E73:J73&lt;&gt;""),E73:J73)&gt;INDEX(E73:J73,MATCH(TRUE(),E73:J73&lt;&gt;"",0)),"↓","→")))</f>
        <v>-</v>
      </c>
    </row>
    <row r="74" customFormat="false" ht="25.5" hidden="false" customHeight="true" outlineLevel="0" collapsed="false">
      <c r="A74" s="50" t="n">
        <v>73</v>
      </c>
      <c r="B74" s="50" t="n">
        <v>1</v>
      </c>
      <c r="C74" s="7" t="s">
        <v>319</v>
      </c>
      <c r="D74" s="7" t="s">
        <v>320</v>
      </c>
      <c r="E74" s="50"/>
      <c r="F74" s="50"/>
      <c r="G74" s="50"/>
      <c r="H74" s="50"/>
      <c r="I74" s="50"/>
      <c r="J74" s="50"/>
      <c r="K74" s="8" t="n">
        <f aca="false">IFERROR(MIN(E74:J74),"")</f>
        <v>0</v>
      </c>
      <c r="L74" s="50" t="str">
        <f aca="false">IF(COUNT(E74:J74)&lt;2,"-",IF(LOOKUP(2,1/(E74:J74&lt;&gt;""),E74:J74)&lt;INDEX(E74:J74,MATCH(TRUE(),E74:J74&lt;&gt;"",0)),"↑",IF(LOOKUP(2,1/(E74:J74&lt;&gt;""),E74:J74)&gt;INDEX(E74:J74,MATCH(TRUE(),E74:J74&lt;&gt;"",0)),"↓","→")))</f>
        <v>-</v>
      </c>
    </row>
    <row r="75" customFormat="false" ht="25.5" hidden="false" customHeight="true" outlineLevel="0" collapsed="false">
      <c r="A75" s="50" t="n">
        <v>74</v>
      </c>
      <c r="B75" s="50" t="n">
        <v>1</v>
      </c>
      <c r="C75" s="9" t="s">
        <v>322</v>
      </c>
      <c r="D75" s="9" t="s">
        <v>323</v>
      </c>
      <c r="E75" s="50"/>
      <c r="F75" s="50"/>
      <c r="G75" s="50"/>
      <c r="H75" s="50"/>
      <c r="I75" s="50"/>
      <c r="J75" s="50"/>
      <c r="K75" s="8" t="n">
        <f aca="false">IFERROR(MIN(E75:J75),"")</f>
        <v>0</v>
      </c>
      <c r="L75" s="50" t="str">
        <f aca="false">IF(COUNT(E75:J75)&lt;2,"-",IF(LOOKUP(2,1/(E75:J75&lt;&gt;""),E75:J75)&lt;INDEX(E75:J75,MATCH(TRUE(),E75:J75&lt;&gt;"",0)),"↑",IF(LOOKUP(2,1/(E75:J75&lt;&gt;""),E75:J75)&gt;INDEX(E75:J75,MATCH(TRUE(),E75:J75&lt;&gt;"",0)),"↓","→")))</f>
        <v>-</v>
      </c>
    </row>
    <row r="76" customFormat="false" ht="25.5" hidden="false" customHeight="true" outlineLevel="0" collapsed="false">
      <c r="A76" s="50" t="n">
        <v>75</v>
      </c>
      <c r="B76" s="50" t="n">
        <v>1</v>
      </c>
      <c r="C76" s="7" t="s">
        <v>324</v>
      </c>
      <c r="D76" s="7" t="s">
        <v>326</v>
      </c>
      <c r="E76" s="50"/>
      <c r="F76" s="50"/>
      <c r="G76" s="50"/>
      <c r="H76" s="50"/>
      <c r="I76" s="50"/>
      <c r="J76" s="50"/>
      <c r="K76" s="8" t="n">
        <f aca="false">IFERROR(MIN(E76:J76),"")</f>
        <v>0</v>
      </c>
      <c r="L76" s="50" t="str">
        <f aca="false">IF(COUNT(E76:J76)&lt;2,"-",IF(LOOKUP(2,1/(E76:J76&lt;&gt;""),E76:J76)&lt;INDEX(E76:J76,MATCH(TRUE(),E76:J76&lt;&gt;"",0)),"↑",IF(LOOKUP(2,1/(E76:J76&lt;&gt;""),E76:J76)&gt;INDEX(E76:J76,MATCH(TRUE(),E76:J76&lt;&gt;"",0)),"↓","→")))</f>
        <v>-</v>
      </c>
    </row>
    <row r="77" customFormat="false" ht="25.5" hidden="false" customHeight="true" outlineLevel="0" collapsed="false">
      <c r="A77" s="50" t="n">
        <v>76</v>
      </c>
      <c r="B77" s="50" t="n">
        <v>1</v>
      </c>
      <c r="C77" s="9" t="s">
        <v>328</v>
      </c>
      <c r="D77" s="9" t="s">
        <v>329</v>
      </c>
      <c r="E77" s="50"/>
      <c r="F77" s="50"/>
      <c r="G77" s="50"/>
      <c r="H77" s="50"/>
      <c r="I77" s="50"/>
      <c r="J77" s="50"/>
      <c r="K77" s="8" t="n">
        <f aca="false">IFERROR(MIN(E77:J77),"")</f>
        <v>0</v>
      </c>
      <c r="L77" s="50" t="str">
        <f aca="false">IF(COUNT(E77:J77)&lt;2,"-",IF(LOOKUP(2,1/(E77:J77&lt;&gt;""),E77:J77)&lt;INDEX(E77:J77,MATCH(TRUE(),E77:J77&lt;&gt;"",0)),"↑",IF(LOOKUP(2,1/(E77:J77&lt;&gt;""),E77:J77)&gt;INDEX(E77:J77,MATCH(TRUE(),E77:J77&lt;&gt;"",0)),"↓","→")))</f>
        <v>-</v>
      </c>
    </row>
    <row r="78" customFormat="false" ht="25.5" hidden="false" customHeight="true" outlineLevel="0" collapsed="false">
      <c r="A78" s="50" t="n">
        <v>77</v>
      </c>
      <c r="B78" s="50" t="n">
        <v>1</v>
      </c>
      <c r="C78" s="7" t="s">
        <v>330</v>
      </c>
      <c r="D78" s="7" t="s">
        <v>331</v>
      </c>
      <c r="E78" s="50"/>
      <c r="F78" s="50"/>
      <c r="G78" s="50"/>
      <c r="H78" s="50"/>
      <c r="I78" s="50"/>
      <c r="J78" s="50"/>
      <c r="K78" s="8" t="n">
        <f aca="false">IFERROR(MIN(E78:J78),"")</f>
        <v>0</v>
      </c>
      <c r="L78" s="50" t="str">
        <f aca="false">IF(COUNT(E78:J78)&lt;2,"-",IF(LOOKUP(2,1/(E78:J78&lt;&gt;""),E78:J78)&lt;INDEX(E78:J78,MATCH(TRUE(),E78:J78&lt;&gt;"",0)),"↑",IF(LOOKUP(2,1/(E78:J78&lt;&gt;""),E78:J78)&gt;INDEX(E78:J78,MATCH(TRUE(),E78:J78&lt;&gt;"",0)),"↓","→")))</f>
        <v>-</v>
      </c>
    </row>
    <row r="79" customFormat="false" ht="25.5" hidden="false" customHeight="true" outlineLevel="0" collapsed="false">
      <c r="A79" s="50" t="n">
        <v>78</v>
      </c>
      <c r="B79" s="50" t="n">
        <v>1</v>
      </c>
      <c r="C79" s="9" t="s">
        <v>333</v>
      </c>
      <c r="D79" s="9" t="s">
        <v>334</v>
      </c>
      <c r="E79" s="50"/>
      <c r="F79" s="50"/>
      <c r="G79" s="50"/>
      <c r="H79" s="50"/>
      <c r="I79" s="50"/>
      <c r="J79" s="50"/>
      <c r="K79" s="8" t="n">
        <f aca="false">IFERROR(MIN(E79:J79),"")</f>
        <v>0</v>
      </c>
      <c r="L79" s="50" t="str">
        <f aca="false">IF(COUNT(E79:J79)&lt;2,"-",IF(LOOKUP(2,1/(E79:J79&lt;&gt;""),E79:J79)&lt;INDEX(E79:J79,MATCH(TRUE(),E79:J79&lt;&gt;"",0)),"↑",IF(LOOKUP(2,1/(E79:J79&lt;&gt;""),E79:J79)&gt;INDEX(E79:J79,MATCH(TRUE(),E79:J79&lt;&gt;"",0)),"↓","→")))</f>
        <v>-</v>
      </c>
    </row>
    <row r="80" customFormat="false" ht="25.5" hidden="false" customHeight="true" outlineLevel="0" collapsed="false">
      <c r="A80" s="50" t="n">
        <v>79</v>
      </c>
      <c r="B80" s="50" t="n">
        <v>1</v>
      </c>
      <c r="C80" s="7" t="s">
        <v>335</v>
      </c>
      <c r="D80" s="7" t="s">
        <v>336</v>
      </c>
      <c r="E80" s="50"/>
      <c r="F80" s="50"/>
      <c r="G80" s="50"/>
      <c r="H80" s="50"/>
      <c r="I80" s="50"/>
      <c r="J80" s="50"/>
      <c r="K80" s="8" t="n">
        <f aca="false">IFERROR(MIN(E80:J80),"")</f>
        <v>0</v>
      </c>
      <c r="L80" s="50" t="str">
        <f aca="false">IF(COUNT(E80:J80)&lt;2,"-",IF(LOOKUP(2,1/(E80:J80&lt;&gt;""),E80:J80)&lt;INDEX(E80:J80,MATCH(TRUE(),E80:J80&lt;&gt;"",0)),"↑",IF(LOOKUP(2,1/(E80:J80&lt;&gt;""),E80:J80)&gt;INDEX(E80:J80,MATCH(TRUE(),E80:J80&lt;&gt;"",0)),"↓","→")))</f>
        <v>-</v>
      </c>
    </row>
    <row r="81" customFormat="false" ht="25.5" hidden="false" customHeight="true" outlineLevel="0" collapsed="false">
      <c r="A81" s="50" t="n">
        <v>80</v>
      </c>
      <c r="B81" s="50" t="n">
        <v>1</v>
      </c>
      <c r="C81" s="9" t="s">
        <v>338</v>
      </c>
      <c r="D81" s="9" t="s">
        <v>339</v>
      </c>
      <c r="E81" s="50"/>
      <c r="F81" s="50"/>
      <c r="G81" s="50"/>
      <c r="H81" s="50"/>
      <c r="I81" s="50"/>
      <c r="J81" s="50"/>
      <c r="K81" s="8" t="n">
        <f aca="false">IFERROR(MIN(E81:J81),"")</f>
        <v>0</v>
      </c>
      <c r="L81" s="50" t="str">
        <f aca="false">IF(COUNT(E81:J81)&lt;2,"-",IF(LOOKUP(2,1/(E81:J81&lt;&gt;""),E81:J81)&lt;INDEX(E81:J81,MATCH(TRUE(),E81:J81&lt;&gt;"",0)),"↑",IF(LOOKUP(2,1/(E81:J81&lt;&gt;""),E81:J81)&gt;INDEX(E81:J81,MATCH(TRUE(),E81:J81&lt;&gt;"",0)),"↓","→")))</f>
        <v>-</v>
      </c>
    </row>
    <row r="82" customFormat="false" ht="25.5" hidden="false" customHeight="true" outlineLevel="0" collapsed="false">
      <c r="A82" s="50" t="n">
        <v>81</v>
      </c>
      <c r="B82" s="50" t="n">
        <v>1</v>
      </c>
      <c r="C82" s="7" t="s">
        <v>340</v>
      </c>
      <c r="D82" s="7" t="s">
        <v>342</v>
      </c>
      <c r="E82" s="50"/>
      <c r="F82" s="50"/>
      <c r="G82" s="50"/>
      <c r="H82" s="50"/>
      <c r="I82" s="50"/>
      <c r="J82" s="50"/>
      <c r="K82" s="8" t="n">
        <f aca="false">IFERROR(MIN(E82:J82),"")</f>
        <v>0</v>
      </c>
      <c r="L82" s="50" t="str">
        <f aca="false">IF(COUNT(E82:J82)&lt;2,"-",IF(LOOKUP(2,1/(E82:J82&lt;&gt;""),E82:J82)&lt;INDEX(E82:J82,MATCH(TRUE(),E82:J82&lt;&gt;"",0)),"↑",IF(LOOKUP(2,1/(E82:J82&lt;&gt;""),E82:J82)&gt;INDEX(E82:J82,MATCH(TRUE(),E82:J82&lt;&gt;"",0)),"↓","→")))</f>
        <v>-</v>
      </c>
    </row>
    <row r="83" customFormat="false" ht="25.5" hidden="false" customHeight="true" outlineLevel="0" collapsed="false">
      <c r="A83" s="50" t="n">
        <v>82</v>
      </c>
      <c r="B83" s="50" t="n">
        <v>1</v>
      </c>
      <c r="C83" s="9" t="s">
        <v>344</v>
      </c>
      <c r="D83" s="9" t="s">
        <v>345</v>
      </c>
      <c r="E83" s="50"/>
      <c r="F83" s="50"/>
      <c r="G83" s="50"/>
      <c r="H83" s="50"/>
      <c r="I83" s="50"/>
      <c r="J83" s="50"/>
      <c r="K83" s="8" t="n">
        <f aca="false">IFERROR(MIN(E83:J83),"")</f>
        <v>0</v>
      </c>
      <c r="L83" s="50" t="str">
        <f aca="false">IF(COUNT(E83:J83)&lt;2,"-",IF(LOOKUP(2,1/(E83:J83&lt;&gt;""),E83:J83)&lt;INDEX(E83:J83,MATCH(TRUE(),E83:J83&lt;&gt;"",0)),"↑",IF(LOOKUP(2,1/(E83:J83&lt;&gt;""),E83:J83)&gt;INDEX(E83:J83,MATCH(TRUE(),E83:J83&lt;&gt;"",0)),"↓","→")))</f>
        <v>-</v>
      </c>
    </row>
    <row r="84" customFormat="false" ht="25.5" hidden="false" customHeight="true" outlineLevel="0" collapsed="false">
      <c r="A84" s="50" t="n">
        <v>83</v>
      </c>
      <c r="B84" s="50" t="n">
        <v>1</v>
      </c>
      <c r="C84" s="7" t="s">
        <v>346</v>
      </c>
      <c r="D84" s="7" t="s">
        <v>347</v>
      </c>
      <c r="E84" s="50"/>
      <c r="F84" s="50"/>
      <c r="G84" s="50"/>
      <c r="H84" s="50"/>
      <c r="I84" s="50"/>
      <c r="J84" s="50"/>
      <c r="K84" s="8" t="n">
        <f aca="false">IFERROR(MIN(E84:J84),"")</f>
        <v>0</v>
      </c>
      <c r="L84" s="50" t="str">
        <f aca="false">IF(COUNT(E84:J84)&lt;2,"-",IF(LOOKUP(2,1/(E84:J84&lt;&gt;""),E84:J84)&lt;INDEX(E84:J84,MATCH(TRUE(),E84:J84&lt;&gt;"",0)),"↑",IF(LOOKUP(2,1/(E84:J84&lt;&gt;""),E84:J84)&gt;INDEX(E84:J84,MATCH(TRUE(),E84:J84&lt;&gt;"",0)),"↓","→")))</f>
        <v>-</v>
      </c>
    </row>
    <row r="85" customFormat="false" ht="25.5" hidden="false" customHeight="true" outlineLevel="0" collapsed="false">
      <c r="A85" s="50" t="n">
        <v>84</v>
      </c>
      <c r="B85" s="50" t="n">
        <v>1</v>
      </c>
      <c r="C85" s="9" t="s">
        <v>349</v>
      </c>
      <c r="D85" s="9" t="s">
        <v>350</v>
      </c>
      <c r="E85" s="50"/>
      <c r="F85" s="50"/>
      <c r="G85" s="50"/>
      <c r="H85" s="50"/>
      <c r="I85" s="50"/>
      <c r="J85" s="50"/>
      <c r="K85" s="8" t="n">
        <f aca="false">IFERROR(MIN(E85:J85),"")</f>
        <v>0</v>
      </c>
      <c r="L85" s="50" t="str">
        <f aca="false">IF(COUNT(E85:J85)&lt;2,"-",IF(LOOKUP(2,1/(E85:J85&lt;&gt;""),E85:J85)&lt;INDEX(E85:J85,MATCH(TRUE(),E85:J85&lt;&gt;"",0)),"↑",IF(LOOKUP(2,1/(E85:J85&lt;&gt;""),E85:J85)&gt;INDEX(E85:J85,MATCH(TRUE(),E85:J85&lt;&gt;"",0)),"↓","→")))</f>
        <v>-</v>
      </c>
    </row>
    <row r="86" customFormat="false" ht="25.5" hidden="false" customHeight="true" outlineLevel="0" collapsed="false">
      <c r="A86" s="50" t="n">
        <v>85</v>
      </c>
      <c r="B86" s="50" t="n">
        <v>1</v>
      </c>
      <c r="C86" s="7" t="s">
        <v>351</v>
      </c>
      <c r="D86" s="7" t="s">
        <v>353</v>
      </c>
      <c r="E86" s="50"/>
      <c r="F86" s="50"/>
      <c r="G86" s="50"/>
      <c r="H86" s="50"/>
      <c r="I86" s="50"/>
      <c r="J86" s="50"/>
      <c r="K86" s="8" t="n">
        <f aca="false">IFERROR(MIN(E86:J86),"")</f>
        <v>0</v>
      </c>
      <c r="L86" s="50" t="str">
        <f aca="false">IF(COUNT(E86:J86)&lt;2,"-",IF(LOOKUP(2,1/(E86:J86&lt;&gt;""),E86:J86)&lt;INDEX(E86:J86,MATCH(TRUE(),E86:J86&lt;&gt;"",0)),"↑",IF(LOOKUP(2,1/(E86:J86&lt;&gt;""),E86:J86)&gt;INDEX(E86:J86,MATCH(TRUE(),E86:J86&lt;&gt;"",0)),"↓","→")))</f>
        <v>-</v>
      </c>
    </row>
    <row r="87" customFormat="false" ht="25.5" hidden="false" customHeight="true" outlineLevel="0" collapsed="false">
      <c r="A87" s="50" t="n">
        <v>86</v>
      </c>
      <c r="B87" s="50" t="n">
        <v>1</v>
      </c>
      <c r="C87" s="9" t="s">
        <v>355</v>
      </c>
      <c r="D87" s="9" t="s">
        <v>356</v>
      </c>
      <c r="E87" s="50"/>
      <c r="F87" s="50"/>
      <c r="G87" s="50"/>
      <c r="H87" s="50"/>
      <c r="I87" s="50"/>
      <c r="J87" s="50"/>
      <c r="K87" s="8" t="n">
        <f aca="false">IFERROR(MIN(E87:J87),"")</f>
        <v>0</v>
      </c>
      <c r="L87" s="50" t="str">
        <f aca="false">IF(COUNT(E87:J87)&lt;2,"-",IF(LOOKUP(2,1/(E87:J87&lt;&gt;""),E87:J87)&lt;INDEX(E87:J87,MATCH(TRUE(),E87:J87&lt;&gt;"",0)),"↑",IF(LOOKUP(2,1/(E87:J87&lt;&gt;""),E87:J87)&gt;INDEX(E87:J87,MATCH(TRUE(),E87:J87&lt;&gt;"",0)),"↓","→")))</f>
        <v>-</v>
      </c>
    </row>
    <row r="88" customFormat="false" ht="25.5" hidden="false" customHeight="true" outlineLevel="0" collapsed="false">
      <c r="A88" s="50" t="n">
        <v>87</v>
      </c>
      <c r="B88" s="50" t="n">
        <v>1</v>
      </c>
      <c r="C88" s="7" t="s">
        <v>357</v>
      </c>
      <c r="D88" s="7" t="s">
        <v>358</v>
      </c>
      <c r="E88" s="50"/>
      <c r="F88" s="50"/>
      <c r="G88" s="50"/>
      <c r="H88" s="50"/>
      <c r="I88" s="50"/>
      <c r="J88" s="50"/>
      <c r="K88" s="8" t="n">
        <f aca="false">IFERROR(MIN(E88:J88),"")</f>
        <v>0</v>
      </c>
      <c r="L88" s="50" t="str">
        <f aca="false">IF(COUNT(E88:J88)&lt;2,"-",IF(LOOKUP(2,1/(E88:J88&lt;&gt;""),E88:J88)&lt;INDEX(E88:J88,MATCH(TRUE(),E88:J88&lt;&gt;"",0)),"↑",IF(LOOKUP(2,1/(E88:J88&lt;&gt;""),E88:J88)&gt;INDEX(E88:J88,MATCH(TRUE(),E88:J88&lt;&gt;"",0)),"↓","→")))</f>
        <v>-</v>
      </c>
    </row>
    <row r="89" customFormat="false" ht="25.5" hidden="false" customHeight="true" outlineLevel="0" collapsed="false">
      <c r="A89" s="50" t="n">
        <v>88</v>
      </c>
      <c r="B89" s="50" t="n">
        <v>1</v>
      </c>
      <c r="C89" s="9" t="s">
        <v>360</v>
      </c>
      <c r="D89" s="9" t="s">
        <v>361</v>
      </c>
      <c r="E89" s="50"/>
      <c r="F89" s="50"/>
      <c r="G89" s="50"/>
      <c r="H89" s="50"/>
      <c r="I89" s="50"/>
      <c r="J89" s="50"/>
      <c r="K89" s="8" t="n">
        <f aca="false">IFERROR(MIN(E89:J89),"")</f>
        <v>0</v>
      </c>
      <c r="L89" s="50" t="str">
        <f aca="false">IF(COUNT(E89:J89)&lt;2,"-",IF(LOOKUP(2,1/(E89:J89&lt;&gt;""),E89:J89)&lt;INDEX(E89:J89,MATCH(TRUE(),E89:J89&lt;&gt;"",0)),"↑",IF(LOOKUP(2,1/(E89:J89&lt;&gt;""),E89:J89)&gt;INDEX(E89:J89,MATCH(TRUE(),E89:J89&lt;&gt;"",0)),"↓","→")))</f>
        <v>-</v>
      </c>
    </row>
    <row r="90" customFormat="false" ht="25.5" hidden="false" customHeight="true" outlineLevel="0" collapsed="false">
      <c r="A90" s="50" t="n">
        <v>89</v>
      </c>
      <c r="B90" s="50" t="n">
        <v>1</v>
      </c>
      <c r="C90" s="7" t="s">
        <v>362</v>
      </c>
      <c r="D90" s="7" t="s">
        <v>363</v>
      </c>
      <c r="E90" s="50"/>
      <c r="F90" s="50"/>
      <c r="G90" s="50"/>
      <c r="H90" s="50"/>
      <c r="I90" s="50"/>
      <c r="J90" s="50"/>
      <c r="K90" s="8" t="n">
        <f aca="false">IFERROR(MIN(E90:J90),"")</f>
        <v>0</v>
      </c>
      <c r="L90" s="50" t="str">
        <f aca="false">IF(COUNT(E90:J90)&lt;2,"-",IF(LOOKUP(2,1/(E90:J90&lt;&gt;""),E90:J90)&lt;INDEX(E90:J90,MATCH(TRUE(),E90:J90&lt;&gt;"",0)),"↑",IF(LOOKUP(2,1/(E90:J90&lt;&gt;""),E90:J90)&gt;INDEX(E90:J90,MATCH(TRUE(),E90:J90&lt;&gt;"",0)),"↓","→")))</f>
        <v>-</v>
      </c>
    </row>
    <row r="91" customFormat="false" ht="25.5" hidden="false" customHeight="true" outlineLevel="0" collapsed="false">
      <c r="A91" s="50" t="n">
        <v>90</v>
      </c>
      <c r="B91" s="50" t="n">
        <v>1</v>
      </c>
      <c r="C91" s="9" t="s">
        <v>365</v>
      </c>
      <c r="D91" s="9" t="s">
        <v>366</v>
      </c>
      <c r="E91" s="50"/>
      <c r="F91" s="50"/>
      <c r="G91" s="50"/>
      <c r="H91" s="50"/>
      <c r="I91" s="50"/>
      <c r="J91" s="50"/>
      <c r="K91" s="8" t="n">
        <f aca="false">IFERROR(MIN(E91:J91),"")</f>
        <v>0</v>
      </c>
      <c r="L91" s="50" t="str">
        <f aca="false">IF(COUNT(E91:J91)&lt;2,"-",IF(LOOKUP(2,1/(E91:J91&lt;&gt;""),E91:J91)&lt;INDEX(E91:J91,MATCH(TRUE(),E91:J91&lt;&gt;"",0)),"↑",IF(LOOKUP(2,1/(E91:J91&lt;&gt;""),E91:J91)&gt;INDEX(E91:J91,MATCH(TRUE(),E91:J91&lt;&gt;"",0)),"↓","→")))</f>
        <v>-</v>
      </c>
    </row>
    <row r="92" customFormat="false" ht="25.5" hidden="false" customHeight="true" outlineLevel="0" collapsed="false">
      <c r="A92" s="50" t="n">
        <v>91</v>
      </c>
      <c r="B92" s="50" t="n">
        <v>1</v>
      </c>
      <c r="C92" s="7" t="s">
        <v>367</v>
      </c>
      <c r="D92" s="7" t="s">
        <v>369</v>
      </c>
      <c r="E92" s="50"/>
      <c r="F92" s="50"/>
      <c r="G92" s="50"/>
      <c r="H92" s="50"/>
      <c r="I92" s="50"/>
      <c r="J92" s="50"/>
      <c r="K92" s="8" t="n">
        <f aca="false">IFERROR(MIN(E92:J92),"")</f>
        <v>0</v>
      </c>
      <c r="L92" s="50" t="str">
        <f aca="false">IF(COUNT(E92:J92)&lt;2,"-",IF(LOOKUP(2,1/(E92:J92&lt;&gt;""),E92:J92)&lt;INDEX(E92:J92,MATCH(TRUE(),E92:J92&lt;&gt;"",0)),"↑",IF(LOOKUP(2,1/(E92:J92&lt;&gt;""),E92:J92)&gt;INDEX(E92:J92,MATCH(TRUE(),E92:J92&lt;&gt;"",0)),"↓","→")))</f>
        <v>-</v>
      </c>
    </row>
    <row r="93" customFormat="false" ht="25.5" hidden="false" customHeight="true" outlineLevel="0" collapsed="false">
      <c r="A93" s="50" t="n">
        <v>92</v>
      </c>
      <c r="B93" s="50" t="n">
        <v>1</v>
      </c>
      <c r="C93" s="9" t="s">
        <v>371</v>
      </c>
      <c r="D93" s="9" t="s">
        <v>372</v>
      </c>
      <c r="E93" s="50"/>
      <c r="F93" s="50"/>
      <c r="G93" s="50"/>
      <c r="H93" s="50"/>
      <c r="I93" s="50"/>
      <c r="J93" s="50"/>
      <c r="K93" s="8" t="n">
        <f aca="false">IFERROR(MIN(E93:J93),"")</f>
        <v>0</v>
      </c>
      <c r="L93" s="50" t="str">
        <f aca="false">IF(COUNT(E93:J93)&lt;2,"-",IF(LOOKUP(2,1/(E93:J93&lt;&gt;""),E93:J93)&lt;INDEX(E93:J93,MATCH(TRUE(),E93:J93&lt;&gt;"",0)),"↑",IF(LOOKUP(2,1/(E93:J93&lt;&gt;""),E93:J93)&gt;INDEX(E93:J93,MATCH(TRUE(),E93:J93&lt;&gt;"",0)),"↓","→")))</f>
        <v>-</v>
      </c>
    </row>
    <row r="94" customFormat="false" ht="25.5" hidden="false" customHeight="true" outlineLevel="0" collapsed="false">
      <c r="A94" s="50" t="n">
        <v>93</v>
      </c>
      <c r="B94" s="50" t="n">
        <v>1</v>
      </c>
      <c r="C94" s="7" t="s">
        <v>373</v>
      </c>
      <c r="D94" s="7" t="s">
        <v>374</v>
      </c>
      <c r="E94" s="50"/>
      <c r="F94" s="50"/>
      <c r="G94" s="50"/>
      <c r="H94" s="50"/>
      <c r="I94" s="50"/>
      <c r="J94" s="50"/>
      <c r="K94" s="8" t="n">
        <f aca="false">IFERROR(MIN(E94:J94),"")</f>
        <v>0</v>
      </c>
      <c r="L94" s="50" t="str">
        <f aca="false">IF(COUNT(E94:J94)&lt;2,"-",IF(LOOKUP(2,1/(E94:J94&lt;&gt;""),E94:J94)&lt;INDEX(E94:J94,MATCH(TRUE(),E94:J94&lt;&gt;"",0)),"↑",IF(LOOKUP(2,1/(E94:J94&lt;&gt;""),E94:J94)&gt;INDEX(E94:J94,MATCH(TRUE(),E94:J94&lt;&gt;"",0)),"↓","→")))</f>
        <v>-</v>
      </c>
    </row>
    <row r="95" customFormat="false" ht="25.5" hidden="false" customHeight="true" outlineLevel="0" collapsed="false">
      <c r="A95" s="50" t="n">
        <v>94</v>
      </c>
      <c r="B95" s="50" t="n">
        <v>1</v>
      </c>
      <c r="C95" s="9" t="s">
        <v>376</v>
      </c>
      <c r="D95" s="9" t="s">
        <v>377</v>
      </c>
      <c r="E95" s="50"/>
      <c r="F95" s="50"/>
      <c r="G95" s="50"/>
      <c r="H95" s="50"/>
      <c r="I95" s="50"/>
      <c r="J95" s="50"/>
      <c r="K95" s="8" t="n">
        <f aca="false">IFERROR(MIN(E95:J95),"")</f>
        <v>0</v>
      </c>
      <c r="L95" s="50" t="str">
        <f aca="false">IF(COUNT(E95:J95)&lt;2,"-",IF(LOOKUP(2,1/(E95:J95&lt;&gt;""),E95:J95)&lt;INDEX(E95:J95,MATCH(TRUE(),E95:J95&lt;&gt;"",0)),"↑",IF(LOOKUP(2,1/(E95:J95&lt;&gt;""),E95:J95)&gt;INDEX(E95:J95,MATCH(TRUE(),E95:J95&lt;&gt;"",0)),"↓","→")))</f>
        <v>-</v>
      </c>
    </row>
    <row r="96" customFormat="false" ht="25.5" hidden="false" customHeight="true" outlineLevel="0" collapsed="false">
      <c r="A96" s="50" t="n">
        <v>95</v>
      </c>
      <c r="B96" s="50" t="n">
        <v>1</v>
      </c>
      <c r="C96" s="7" t="s">
        <v>378</v>
      </c>
      <c r="D96" s="7" t="s">
        <v>380</v>
      </c>
      <c r="E96" s="50"/>
      <c r="F96" s="50"/>
      <c r="G96" s="50"/>
      <c r="H96" s="50"/>
      <c r="I96" s="50"/>
      <c r="J96" s="50"/>
      <c r="K96" s="8" t="n">
        <f aca="false">IFERROR(MIN(E96:J96),"")</f>
        <v>0</v>
      </c>
      <c r="L96" s="50" t="str">
        <f aca="false">IF(COUNT(E96:J96)&lt;2,"-",IF(LOOKUP(2,1/(E96:J96&lt;&gt;""),E96:J96)&lt;INDEX(E96:J96,MATCH(TRUE(),E96:J96&lt;&gt;"",0)),"↑",IF(LOOKUP(2,1/(E96:J96&lt;&gt;""),E96:J96)&gt;INDEX(E96:J96,MATCH(TRUE(),E96:J96&lt;&gt;"",0)),"↓","→")))</f>
        <v>-</v>
      </c>
    </row>
    <row r="97" customFormat="false" ht="25.5" hidden="false" customHeight="true" outlineLevel="0" collapsed="false">
      <c r="A97" s="50" t="n">
        <v>96</v>
      </c>
      <c r="B97" s="50" t="n">
        <v>1</v>
      </c>
      <c r="C97" s="9" t="s">
        <v>382</v>
      </c>
      <c r="D97" s="9" t="s">
        <v>383</v>
      </c>
      <c r="E97" s="50"/>
      <c r="F97" s="50"/>
      <c r="G97" s="50"/>
      <c r="H97" s="50"/>
      <c r="I97" s="50"/>
      <c r="J97" s="50"/>
      <c r="K97" s="8" t="n">
        <f aca="false">IFERROR(MIN(E97:J97),"")</f>
        <v>0</v>
      </c>
      <c r="L97" s="50" t="str">
        <f aca="false">IF(COUNT(E97:J97)&lt;2,"-",IF(LOOKUP(2,1/(E97:J97&lt;&gt;""),E97:J97)&lt;INDEX(E97:J97,MATCH(TRUE(),E97:J97&lt;&gt;"",0)),"↑",IF(LOOKUP(2,1/(E97:J97&lt;&gt;""),E97:J97)&gt;INDEX(E97:J97,MATCH(TRUE(),E97:J97&lt;&gt;"",0)),"↓","→")))</f>
        <v>-</v>
      </c>
    </row>
    <row r="98" customFormat="false" ht="25.5" hidden="false" customHeight="true" outlineLevel="0" collapsed="false">
      <c r="A98" s="50" t="n">
        <v>97</v>
      </c>
      <c r="B98" s="50" t="n">
        <v>1</v>
      </c>
      <c r="C98" s="7" t="s">
        <v>384</v>
      </c>
      <c r="D98" s="7" t="s">
        <v>386</v>
      </c>
      <c r="E98" s="50"/>
      <c r="F98" s="50"/>
      <c r="G98" s="50"/>
      <c r="H98" s="50"/>
      <c r="I98" s="50"/>
      <c r="J98" s="50"/>
      <c r="K98" s="8" t="n">
        <f aca="false">IFERROR(MIN(E98:J98),"")</f>
        <v>0</v>
      </c>
      <c r="L98" s="50" t="str">
        <f aca="false">IF(COUNT(E98:J98)&lt;2,"-",IF(LOOKUP(2,1/(E98:J98&lt;&gt;""),E98:J98)&lt;INDEX(E98:J98,MATCH(TRUE(),E98:J98&lt;&gt;"",0)),"↑",IF(LOOKUP(2,1/(E98:J98&lt;&gt;""),E98:J98)&gt;INDEX(E98:J98,MATCH(TRUE(),E98:J98&lt;&gt;"",0)),"↓","→")))</f>
        <v>-</v>
      </c>
    </row>
    <row r="99" customFormat="false" ht="25.5" hidden="false" customHeight="true" outlineLevel="0" collapsed="false">
      <c r="A99" s="50" t="n">
        <v>98</v>
      </c>
      <c r="B99" s="50" t="n">
        <v>1</v>
      </c>
      <c r="C99" s="9" t="s">
        <v>388</v>
      </c>
      <c r="D99" s="9" t="s">
        <v>389</v>
      </c>
      <c r="E99" s="50"/>
      <c r="F99" s="50"/>
      <c r="G99" s="50"/>
      <c r="H99" s="50"/>
      <c r="I99" s="50"/>
      <c r="J99" s="50"/>
      <c r="K99" s="8" t="n">
        <f aca="false">IFERROR(MIN(E99:J99),"")</f>
        <v>0</v>
      </c>
      <c r="L99" s="50" t="str">
        <f aca="false">IF(COUNT(E99:J99)&lt;2,"-",IF(LOOKUP(2,1/(E99:J99&lt;&gt;""),E99:J99)&lt;INDEX(E99:J99,MATCH(TRUE(),E99:J99&lt;&gt;"",0)),"↑",IF(LOOKUP(2,1/(E99:J99&lt;&gt;""),E99:J99)&gt;INDEX(E99:J99,MATCH(TRUE(),E99:J99&lt;&gt;"",0)),"↓","→")))</f>
        <v>-</v>
      </c>
    </row>
    <row r="100" customFormat="false" ht="25.5" hidden="false" customHeight="true" outlineLevel="0" collapsed="false">
      <c r="A100" s="50" t="n">
        <v>99</v>
      </c>
      <c r="B100" s="50" t="n">
        <v>1</v>
      </c>
      <c r="C100" s="7" t="s">
        <v>390</v>
      </c>
      <c r="D100" s="7" t="s">
        <v>392</v>
      </c>
      <c r="E100" s="50"/>
      <c r="F100" s="50"/>
      <c r="G100" s="50"/>
      <c r="H100" s="50"/>
      <c r="I100" s="50"/>
      <c r="J100" s="50"/>
      <c r="K100" s="8" t="n">
        <f aca="false">IFERROR(MIN(E100:J100),"")</f>
        <v>0</v>
      </c>
      <c r="L100" s="50" t="str">
        <f aca="false">IF(COUNT(E100:J100)&lt;2,"-",IF(LOOKUP(2,1/(E100:J100&lt;&gt;""),E100:J100)&lt;INDEX(E100:J100,MATCH(TRUE(),E100:J100&lt;&gt;"",0)),"↑",IF(LOOKUP(2,1/(E100:J100&lt;&gt;""),E100:J100)&gt;INDEX(E100:J100,MATCH(TRUE(),E100:J100&lt;&gt;"",0)),"↓","→")))</f>
        <v>-</v>
      </c>
    </row>
    <row r="101" customFormat="false" ht="25.5" hidden="false" customHeight="true" outlineLevel="0" collapsed="false">
      <c r="A101" s="50" t="n">
        <v>100</v>
      </c>
      <c r="B101" s="50" t="n">
        <v>1</v>
      </c>
      <c r="C101" s="9" t="s">
        <v>394</v>
      </c>
      <c r="D101" s="9" t="s">
        <v>395</v>
      </c>
      <c r="E101" s="50"/>
      <c r="F101" s="50"/>
      <c r="G101" s="50"/>
      <c r="H101" s="50"/>
      <c r="I101" s="50"/>
      <c r="J101" s="50"/>
      <c r="K101" s="8" t="n">
        <f aca="false">IFERROR(MIN(E101:J101),"")</f>
        <v>0</v>
      </c>
      <c r="L101" s="50" t="str">
        <f aca="false">IF(COUNT(E101:J101)&lt;2,"-",IF(LOOKUP(2,1/(E101:J101&lt;&gt;""),E101:J101)&lt;INDEX(E101:J101,MATCH(TRUE(),E101:J101&lt;&gt;"",0)),"↑",IF(LOOKUP(2,1/(E101:J101&lt;&gt;""),E101:J101)&gt;INDEX(E101:J101,MATCH(TRUE(),E101:J101&lt;&gt;"",0)),"↓","→")))</f>
        <v>-</v>
      </c>
    </row>
    <row r="102" customFormat="false" ht="25.5" hidden="false" customHeight="true" outlineLevel="0" collapsed="false">
      <c r="A102" s="50" t="n">
        <v>101</v>
      </c>
      <c r="B102" s="50" t="n">
        <v>1</v>
      </c>
      <c r="C102" s="7" t="s">
        <v>396</v>
      </c>
      <c r="D102" s="7" t="s">
        <v>398</v>
      </c>
      <c r="E102" s="50"/>
      <c r="F102" s="50"/>
      <c r="G102" s="50"/>
      <c r="H102" s="50"/>
      <c r="I102" s="50"/>
      <c r="J102" s="50"/>
      <c r="K102" s="8" t="n">
        <f aca="false">IFERROR(MIN(E102:J102),"")</f>
        <v>0</v>
      </c>
      <c r="L102" s="50" t="str">
        <f aca="false">IF(COUNT(E102:J102)&lt;2,"-",IF(LOOKUP(2,1/(E102:J102&lt;&gt;""),E102:J102)&lt;INDEX(E102:J102,MATCH(TRUE(),E102:J102&lt;&gt;"",0)),"↑",IF(LOOKUP(2,1/(E102:J102&lt;&gt;""),E102:J102)&gt;INDEX(E102:J102,MATCH(TRUE(),E102:J102&lt;&gt;"",0)),"↓","→")))</f>
        <v>-</v>
      </c>
    </row>
    <row r="103" customFormat="false" ht="25.5" hidden="false" customHeight="true" outlineLevel="0" collapsed="false">
      <c r="A103" s="50" t="n">
        <v>102</v>
      </c>
      <c r="B103" s="50" t="n">
        <v>1</v>
      </c>
      <c r="C103" s="9" t="s">
        <v>400</v>
      </c>
      <c r="D103" s="9" t="s">
        <v>401</v>
      </c>
      <c r="E103" s="50"/>
      <c r="F103" s="50"/>
      <c r="G103" s="50"/>
      <c r="H103" s="50"/>
      <c r="I103" s="50"/>
      <c r="J103" s="50"/>
      <c r="K103" s="8" t="n">
        <f aca="false">IFERROR(MIN(E103:J103),"")</f>
        <v>0</v>
      </c>
      <c r="L103" s="50" t="str">
        <f aca="false">IF(COUNT(E103:J103)&lt;2,"-",IF(LOOKUP(2,1/(E103:J103&lt;&gt;""),E103:J103)&lt;INDEX(E103:J103,MATCH(TRUE(),E103:J103&lt;&gt;"",0)),"↑",IF(LOOKUP(2,1/(E103:J103&lt;&gt;""),E103:J103)&gt;INDEX(E103:J103,MATCH(TRUE(),E103:J103&lt;&gt;"",0)),"↓","→")))</f>
        <v>-</v>
      </c>
    </row>
    <row r="104" customFormat="false" ht="25.5" hidden="false" customHeight="true" outlineLevel="0" collapsed="false">
      <c r="A104" s="50" t="n">
        <v>103</v>
      </c>
      <c r="B104" s="50" t="n">
        <v>1</v>
      </c>
      <c r="C104" s="7" t="s">
        <v>402</v>
      </c>
      <c r="D104" s="7" t="s">
        <v>404</v>
      </c>
      <c r="E104" s="50"/>
      <c r="F104" s="50"/>
      <c r="G104" s="50"/>
      <c r="H104" s="50"/>
      <c r="I104" s="50"/>
      <c r="J104" s="50"/>
      <c r="K104" s="8" t="n">
        <f aca="false">IFERROR(MIN(E104:J104),"")</f>
        <v>0</v>
      </c>
      <c r="L104" s="50" t="str">
        <f aca="false">IF(COUNT(E104:J104)&lt;2,"-",IF(LOOKUP(2,1/(E104:J104&lt;&gt;""),E104:J104)&lt;INDEX(E104:J104,MATCH(TRUE(),E104:J104&lt;&gt;"",0)),"↑",IF(LOOKUP(2,1/(E104:J104&lt;&gt;""),E104:J104)&gt;INDEX(E104:J104,MATCH(TRUE(),E104:J104&lt;&gt;"",0)),"↓","→")))</f>
        <v>-</v>
      </c>
    </row>
    <row r="105" customFormat="false" ht="25.5" hidden="false" customHeight="true" outlineLevel="0" collapsed="false">
      <c r="A105" s="50" t="n">
        <v>104</v>
      </c>
      <c r="B105" s="50" t="n">
        <v>1</v>
      </c>
      <c r="C105" s="9" t="s">
        <v>406</v>
      </c>
      <c r="D105" s="9" t="s">
        <v>407</v>
      </c>
      <c r="E105" s="50"/>
      <c r="F105" s="50"/>
      <c r="G105" s="50"/>
      <c r="H105" s="50"/>
      <c r="I105" s="50"/>
      <c r="J105" s="50"/>
      <c r="K105" s="8" t="n">
        <f aca="false">IFERROR(MIN(E105:J105),"")</f>
        <v>0</v>
      </c>
      <c r="L105" s="50" t="str">
        <f aca="false">IF(COUNT(E105:J105)&lt;2,"-",IF(LOOKUP(2,1/(E105:J105&lt;&gt;""),E105:J105)&lt;INDEX(E105:J105,MATCH(TRUE(),E105:J105&lt;&gt;"",0)),"↑",IF(LOOKUP(2,1/(E105:J105&lt;&gt;""),E105:J105)&gt;INDEX(E105:J105,MATCH(TRUE(),E105:J105&lt;&gt;"",0)),"↓","→")))</f>
        <v>-</v>
      </c>
    </row>
    <row r="106" customFormat="false" ht="25.5" hidden="false" customHeight="true" outlineLevel="0" collapsed="false">
      <c r="A106" s="50" t="n">
        <v>105</v>
      </c>
      <c r="B106" s="50" t="n">
        <v>1</v>
      </c>
      <c r="C106" s="7" t="s">
        <v>408</v>
      </c>
      <c r="D106" s="7" t="s">
        <v>409</v>
      </c>
      <c r="E106" s="50"/>
      <c r="F106" s="50"/>
      <c r="G106" s="50"/>
      <c r="H106" s="50"/>
      <c r="I106" s="50"/>
      <c r="J106" s="50"/>
      <c r="K106" s="8" t="n">
        <f aca="false">IFERROR(MIN(E106:J106),"")</f>
        <v>0</v>
      </c>
      <c r="L106" s="50" t="str">
        <f aca="false">IF(COUNT(E106:J106)&lt;2,"-",IF(LOOKUP(2,1/(E106:J106&lt;&gt;""),E106:J106)&lt;INDEX(E106:J106,MATCH(TRUE(),E106:J106&lt;&gt;"",0)),"↑",IF(LOOKUP(2,1/(E106:J106&lt;&gt;""),E106:J106)&gt;INDEX(E106:J106,MATCH(TRUE(),E106:J106&lt;&gt;"",0)),"↓","→")))</f>
        <v>-</v>
      </c>
    </row>
    <row r="107" customFormat="false" ht="25.5" hidden="false" customHeight="true" outlineLevel="0" collapsed="false">
      <c r="A107" s="50" t="n">
        <v>106</v>
      </c>
      <c r="B107" s="50" t="n">
        <v>1</v>
      </c>
      <c r="C107" s="9" t="s">
        <v>411</v>
      </c>
      <c r="D107" s="9" t="s">
        <v>412</v>
      </c>
      <c r="E107" s="50"/>
      <c r="F107" s="50"/>
      <c r="G107" s="50"/>
      <c r="H107" s="50"/>
      <c r="I107" s="50"/>
      <c r="J107" s="50"/>
      <c r="K107" s="8" t="n">
        <f aca="false">IFERROR(MIN(E107:J107),"")</f>
        <v>0</v>
      </c>
      <c r="L107" s="50" t="str">
        <f aca="false">IF(COUNT(E107:J107)&lt;2,"-",IF(LOOKUP(2,1/(E107:J107&lt;&gt;""),E107:J107)&lt;INDEX(E107:J107,MATCH(TRUE(),E107:J107&lt;&gt;"",0)),"↑",IF(LOOKUP(2,1/(E107:J107&lt;&gt;""),E107:J107)&gt;INDEX(E107:J107,MATCH(TRUE(),E107:J107&lt;&gt;"",0)),"↓","→")))</f>
        <v>-</v>
      </c>
    </row>
    <row r="108" customFormat="false" ht="25.5" hidden="false" customHeight="true" outlineLevel="0" collapsed="false">
      <c r="A108" s="50" t="n">
        <v>107</v>
      </c>
      <c r="B108" s="50" t="n">
        <v>1</v>
      </c>
      <c r="C108" s="7" t="s">
        <v>413</v>
      </c>
      <c r="D108" s="7" t="s">
        <v>414</v>
      </c>
      <c r="E108" s="50"/>
      <c r="F108" s="50"/>
      <c r="G108" s="50"/>
      <c r="H108" s="50"/>
      <c r="I108" s="50"/>
      <c r="J108" s="50"/>
      <c r="K108" s="8" t="n">
        <f aca="false">IFERROR(MIN(E108:J108),"")</f>
        <v>0</v>
      </c>
      <c r="L108" s="50" t="str">
        <f aca="false">IF(COUNT(E108:J108)&lt;2,"-",IF(LOOKUP(2,1/(E108:J108&lt;&gt;""),E108:J108)&lt;INDEX(E108:J108,MATCH(TRUE(),E108:J108&lt;&gt;"",0)),"↑",IF(LOOKUP(2,1/(E108:J108&lt;&gt;""),E108:J108)&gt;INDEX(E108:J108,MATCH(TRUE(),E108:J108&lt;&gt;"",0)),"↓","→")))</f>
        <v>-</v>
      </c>
    </row>
    <row r="109" customFormat="false" ht="25.5" hidden="false" customHeight="true" outlineLevel="0" collapsed="false">
      <c r="A109" s="50" t="n">
        <v>108</v>
      </c>
      <c r="B109" s="50" t="n">
        <v>1</v>
      </c>
      <c r="C109" s="9" t="s">
        <v>416</v>
      </c>
      <c r="D109" s="9" t="s">
        <v>417</v>
      </c>
      <c r="E109" s="50"/>
      <c r="F109" s="50"/>
      <c r="G109" s="50"/>
      <c r="H109" s="50"/>
      <c r="I109" s="50"/>
      <c r="J109" s="50"/>
      <c r="K109" s="8" t="n">
        <f aca="false">IFERROR(MIN(E109:J109),"")</f>
        <v>0</v>
      </c>
      <c r="L109" s="50" t="str">
        <f aca="false">IF(COUNT(E109:J109)&lt;2,"-",IF(LOOKUP(2,1/(E109:J109&lt;&gt;""),E109:J109)&lt;INDEX(E109:J109,MATCH(TRUE(),E109:J109&lt;&gt;"",0)),"↑",IF(LOOKUP(2,1/(E109:J109&lt;&gt;""),E109:J109)&gt;INDEX(E109:J109,MATCH(TRUE(),E109:J109&lt;&gt;"",0)),"↓","→")))</f>
        <v>-</v>
      </c>
    </row>
    <row r="110" customFormat="false" ht="25.5" hidden="false" customHeight="true" outlineLevel="0" collapsed="false">
      <c r="A110" s="50" t="n">
        <v>109</v>
      </c>
      <c r="B110" s="50" t="n">
        <v>1</v>
      </c>
      <c r="C110" s="7" t="s">
        <v>418</v>
      </c>
      <c r="D110" s="7" t="s">
        <v>420</v>
      </c>
      <c r="E110" s="50"/>
      <c r="F110" s="50"/>
      <c r="G110" s="50"/>
      <c r="H110" s="50"/>
      <c r="I110" s="50"/>
      <c r="J110" s="50"/>
      <c r="K110" s="8" t="n">
        <f aca="false">IFERROR(MIN(E110:J110),"")</f>
        <v>0</v>
      </c>
      <c r="L110" s="50" t="str">
        <f aca="false">IF(COUNT(E110:J110)&lt;2,"-",IF(LOOKUP(2,1/(E110:J110&lt;&gt;""),E110:J110)&lt;INDEX(E110:J110,MATCH(TRUE(),E110:J110&lt;&gt;"",0)),"↑",IF(LOOKUP(2,1/(E110:J110&lt;&gt;""),E110:J110)&gt;INDEX(E110:J110,MATCH(TRUE(),E110:J110&lt;&gt;"",0)),"↓","→")))</f>
        <v>-</v>
      </c>
    </row>
    <row r="111" customFormat="false" ht="25.5" hidden="false" customHeight="true" outlineLevel="0" collapsed="false">
      <c r="A111" s="50" t="n">
        <v>110</v>
      </c>
      <c r="B111" s="50" t="n">
        <v>1</v>
      </c>
      <c r="C111" s="9" t="s">
        <v>422</v>
      </c>
      <c r="D111" s="9" t="s">
        <v>423</v>
      </c>
      <c r="E111" s="50"/>
      <c r="F111" s="50"/>
      <c r="G111" s="50"/>
      <c r="H111" s="50"/>
      <c r="I111" s="50"/>
      <c r="J111" s="50"/>
      <c r="K111" s="8" t="n">
        <f aca="false">IFERROR(MIN(E111:J111),"")</f>
        <v>0</v>
      </c>
      <c r="L111" s="50" t="str">
        <f aca="false">IF(COUNT(E111:J111)&lt;2,"-",IF(LOOKUP(2,1/(E111:J111&lt;&gt;""),E111:J111)&lt;INDEX(E111:J111,MATCH(TRUE(),E111:J111&lt;&gt;"",0)),"↑",IF(LOOKUP(2,1/(E111:J111&lt;&gt;""),E111:J111)&gt;INDEX(E111:J111,MATCH(TRUE(),E111:J111&lt;&gt;"",0)),"↓","→")))</f>
        <v>-</v>
      </c>
    </row>
    <row r="112" customFormat="false" ht="25.5" hidden="false" customHeight="true" outlineLevel="0" collapsed="false">
      <c r="A112" s="50" t="n">
        <v>111</v>
      </c>
      <c r="B112" s="50" t="n">
        <v>1</v>
      </c>
      <c r="C112" s="7" t="s">
        <v>424</v>
      </c>
      <c r="D112" s="7" t="s">
        <v>425</v>
      </c>
      <c r="E112" s="50"/>
      <c r="F112" s="50"/>
      <c r="G112" s="50"/>
      <c r="H112" s="50"/>
      <c r="I112" s="50"/>
      <c r="J112" s="50"/>
      <c r="K112" s="8" t="n">
        <f aca="false">IFERROR(MIN(E112:J112),"")</f>
        <v>0</v>
      </c>
      <c r="L112" s="50" t="str">
        <f aca="false">IF(COUNT(E112:J112)&lt;2,"-",IF(LOOKUP(2,1/(E112:J112&lt;&gt;""),E112:J112)&lt;INDEX(E112:J112,MATCH(TRUE(),E112:J112&lt;&gt;"",0)),"↑",IF(LOOKUP(2,1/(E112:J112&lt;&gt;""),E112:J112)&gt;INDEX(E112:J112,MATCH(TRUE(),E112:J112&lt;&gt;"",0)),"↓","→")))</f>
        <v>-</v>
      </c>
    </row>
    <row r="113" customFormat="false" ht="25.5" hidden="false" customHeight="true" outlineLevel="0" collapsed="false">
      <c r="A113" s="50" t="n">
        <v>112</v>
      </c>
      <c r="B113" s="50" t="n">
        <v>1</v>
      </c>
      <c r="C113" s="9" t="s">
        <v>427</v>
      </c>
      <c r="D113" s="9" t="s">
        <v>428</v>
      </c>
      <c r="E113" s="50"/>
      <c r="F113" s="50"/>
      <c r="G113" s="50"/>
      <c r="H113" s="50"/>
      <c r="I113" s="50"/>
      <c r="J113" s="50"/>
      <c r="K113" s="8" t="n">
        <f aca="false">IFERROR(MIN(E113:J113),"")</f>
        <v>0</v>
      </c>
      <c r="L113" s="50" t="str">
        <f aca="false">IF(COUNT(E113:J113)&lt;2,"-",IF(LOOKUP(2,1/(E113:J113&lt;&gt;""),E113:J113)&lt;INDEX(E113:J113,MATCH(TRUE(),E113:J113&lt;&gt;"",0)),"↑",IF(LOOKUP(2,1/(E113:J113&lt;&gt;""),E113:J113)&gt;INDEX(E113:J113,MATCH(TRUE(),E113:J113&lt;&gt;"",0)),"↓","→")))</f>
        <v>-</v>
      </c>
    </row>
    <row r="114" customFormat="false" ht="25.5" hidden="false" customHeight="true" outlineLevel="0" collapsed="false">
      <c r="A114" s="50" t="n">
        <v>113</v>
      </c>
      <c r="B114" s="50" t="n">
        <v>1</v>
      </c>
      <c r="C114" s="7" t="s">
        <v>429</v>
      </c>
      <c r="D114" s="7" t="s">
        <v>430</v>
      </c>
      <c r="E114" s="50"/>
      <c r="F114" s="50"/>
      <c r="G114" s="50"/>
      <c r="H114" s="50"/>
      <c r="I114" s="50"/>
      <c r="J114" s="50"/>
      <c r="K114" s="8" t="n">
        <f aca="false">IFERROR(MIN(E114:J114),"")</f>
        <v>0</v>
      </c>
      <c r="L114" s="50" t="str">
        <f aca="false">IF(COUNT(E114:J114)&lt;2,"-",IF(LOOKUP(2,1/(E114:J114&lt;&gt;""),E114:J114)&lt;INDEX(E114:J114,MATCH(TRUE(),E114:J114&lt;&gt;"",0)),"↑",IF(LOOKUP(2,1/(E114:J114&lt;&gt;""),E114:J114)&gt;INDEX(E114:J114,MATCH(TRUE(),E114:J114&lt;&gt;"",0)),"↓","→")))</f>
        <v>-</v>
      </c>
    </row>
    <row r="115" customFormat="false" ht="25.5" hidden="false" customHeight="true" outlineLevel="0" collapsed="false">
      <c r="A115" s="50" t="n">
        <v>114</v>
      </c>
      <c r="B115" s="50" t="n">
        <v>1</v>
      </c>
      <c r="C115" s="9" t="s">
        <v>432</v>
      </c>
      <c r="D115" s="9" t="s">
        <v>433</v>
      </c>
      <c r="E115" s="50"/>
      <c r="F115" s="50"/>
      <c r="G115" s="50"/>
      <c r="H115" s="50"/>
      <c r="I115" s="50"/>
      <c r="J115" s="50"/>
      <c r="K115" s="8" t="n">
        <f aca="false">IFERROR(MIN(E115:J115),"")</f>
        <v>0</v>
      </c>
      <c r="L115" s="50" t="str">
        <f aca="false">IF(COUNT(E115:J115)&lt;2,"-",IF(LOOKUP(2,1/(E115:J115&lt;&gt;""),E115:J115)&lt;INDEX(E115:J115,MATCH(TRUE(),E115:J115&lt;&gt;"",0)),"↑",IF(LOOKUP(2,1/(E115:J115&lt;&gt;""),E115:J115)&gt;INDEX(E115:J115,MATCH(TRUE(),E115:J115&lt;&gt;"",0)),"↓","→")))</f>
        <v>-</v>
      </c>
    </row>
    <row r="116" customFormat="false" ht="25.5" hidden="false" customHeight="true" outlineLevel="0" collapsed="false">
      <c r="A116" s="50" t="n">
        <v>115</v>
      </c>
      <c r="B116" s="50" t="n">
        <v>1</v>
      </c>
      <c r="C116" s="7" t="s">
        <v>434</v>
      </c>
      <c r="D116" s="7" t="s">
        <v>435</v>
      </c>
      <c r="E116" s="50"/>
      <c r="F116" s="50"/>
      <c r="G116" s="50"/>
      <c r="H116" s="50"/>
      <c r="I116" s="50"/>
      <c r="J116" s="50"/>
      <c r="K116" s="8" t="n">
        <f aca="false">IFERROR(MIN(E116:J116),"")</f>
        <v>0</v>
      </c>
      <c r="L116" s="50" t="str">
        <f aca="false">IF(COUNT(E116:J116)&lt;2,"-",IF(LOOKUP(2,1/(E116:J116&lt;&gt;""),E116:J116)&lt;INDEX(E116:J116,MATCH(TRUE(),E116:J116&lt;&gt;"",0)),"↑",IF(LOOKUP(2,1/(E116:J116&lt;&gt;""),E116:J116)&gt;INDEX(E116:J116,MATCH(TRUE(),E116:J116&lt;&gt;"",0)),"↓","→")))</f>
        <v>-</v>
      </c>
    </row>
    <row r="117" customFormat="false" ht="25.5" hidden="false" customHeight="true" outlineLevel="0" collapsed="false">
      <c r="A117" s="50" t="n">
        <v>116</v>
      </c>
      <c r="B117" s="50" t="n">
        <v>1</v>
      </c>
      <c r="C117" s="9" t="s">
        <v>437</v>
      </c>
      <c r="D117" s="9" t="s">
        <v>438</v>
      </c>
      <c r="E117" s="50"/>
      <c r="F117" s="50"/>
      <c r="G117" s="50"/>
      <c r="H117" s="50"/>
      <c r="I117" s="50"/>
      <c r="J117" s="50"/>
      <c r="K117" s="8" t="n">
        <f aca="false">IFERROR(MIN(E117:J117),"")</f>
        <v>0</v>
      </c>
      <c r="L117" s="50" t="str">
        <f aca="false">IF(COUNT(E117:J117)&lt;2,"-",IF(LOOKUP(2,1/(E117:J117&lt;&gt;""),E117:J117)&lt;INDEX(E117:J117,MATCH(TRUE(),E117:J117&lt;&gt;"",0)),"↑",IF(LOOKUP(2,1/(E117:J117&lt;&gt;""),E117:J117)&gt;INDEX(E117:J117,MATCH(TRUE(),E117:J117&lt;&gt;"",0)),"↓","→")))</f>
        <v>-</v>
      </c>
    </row>
    <row r="118" customFormat="false" ht="25.5" hidden="false" customHeight="true" outlineLevel="0" collapsed="false">
      <c r="A118" s="50" t="n">
        <v>117</v>
      </c>
      <c r="B118" s="50" t="n">
        <v>1</v>
      </c>
      <c r="C118" s="7" t="s">
        <v>439</v>
      </c>
      <c r="D118" s="7" t="s">
        <v>440</v>
      </c>
      <c r="E118" s="50"/>
      <c r="F118" s="50"/>
      <c r="G118" s="50"/>
      <c r="H118" s="50"/>
      <c r="I118" s="50"/>
      <c r="J118" s="50"/>
      <c r="K118" s="8" t="n">
        <f aca="false">IFERROR(MIN(E118:J118),"")</f>
        <v>0</v>
      </c>
      <c r="L118" s="50" t="str">
        <f aca="false">IF(COUNT(E118:J118)&lt;2,"-",IF(LOOKUP(2,1/(E118:J118&lt;&gt;""),E118:J118)&lt;INDEX(E118:J118,MATCH(TRUE(),E118:J118&lt;&gt;"",0)),"↑",IF(LOOKUP(2,1/(E118:J118&lt;&gt;""),E118:J118)&gt;INDEX(E118:J118,MATCH(TRUE(),E118:J118&lt;&gt;"",0)),"↓","→")))</f>
        <v>-</v>
      </c>
    </row>
    <row r="119" customFormat="false" ht="25.5" hidden="false" customHeight="true" outlineLevel="0" collapsed="false">
      <c r="A119" s="50" t="n">
        <v>118</v>
      </c>
      <c r="B119" s="50" t="n">
        <v>1</v>
      </c>
      <c r="C119" s="9" t="s">
        <v>442</v>
      </c>
      <c r="D119" s="9" t="s">
        <v>443</v>
      </c>
      <c r="E119" s="50"/>
      <c r="F119" s="50"/>
      <c r="G119" s="50"/>
      <c r="H119" s="50"/>
      <c r="I119" s="50"/>
      <c r="J119" s="50"/>
      <c r="K119" s="8" t="n">
        <f aca="false">IFERROR(MIN(E119:J119),"")</f>
        <v>0</v>
      </c>
      <c r="L119" s="50" t="str">
        <f aca="false">IF(COUNT(E119:J119)&lt;2,"-",IF(LOOKUP(2,1/(E119:J119&lt;&gt;""),E119:J119)&lt;INDEX(E119:J119,MATCH(TRUE(),E119:J119&lt;&gt;"",0)),"↑",IF(LOOKUP(2,1/(E119:J119&lt;&gt;""),E119:J119)&gt;INDEX(E119:J119,MATCH(TRUE(),E119:J119&lt;&gt;"",0)),"↓","→")))</f>
        <v>-</v>
      </c>
    </row>
    <row r="120" customFormat="false" ht="25.5" hidden="false" customHeight="true" outlineLevel="0" collapsed="false">
      <c r="A120" s="50" t="n">
        <v>119</v>
      </c>
      <c r="B120" s="50" t="n">
        <v>1</v>
      </c>
      <c r="C120" s="7" t="s">
        <v>444</v>
      </c>
      <c r="D120" s="7" t="s">
        <v>446</v>
      </c>
      <c r="E120" s="50"/>
      <c r="F120" s="50"/>
      <c r="G120" s="50"/>
      <c r="H120" s="50"/>
      <c r="I120" s="50"/>
      <c r="J120" s="50"/>
      <c r="K120" s="8" t="n">
        <f aca="false">IFERROR(MIN(E120:J120),"")</f>
        <v>0</v>
      </c>
      <c r="L120" s="50" t="str">
        <f aca="false">IF(COUNT(E120:J120)&lt;2,"-",IF(LOOKUP(2,1/(E120:J120&lt;&gt;""),E120:J120)&lt;INDEX(E120:J120,MATCH(TRUE(),E120:J120&lt;&gt;"",0)),"↑",IF(LOOKUP(2,1/(E120:J120&lt;&gt;""),E120:J120)&gt;INDEX(E120:J120,MATCH(TRUE(),E120:J120&lt;&gt;"",0)),"↓","→")))</f>
        <v>-</v>
      </c>
    </row>
    <row r="121" customFormat="false" ht="25.5" hidden="false" customHeight="true" outlineLevel="0" collapsed="false">
      <c r="A121" s="50" t="n">
        <v>120</v>
      </c>
      <c r="B121" s="50" t="n">
        <v>1</v>
      </c>
      <c r="C121" s="9" t="s">
        <v>448</v>
      </c>
      <c r="D121" s="9" t="s">
        <v>449</v>
      </c>
      <c r="E121" s="50"/>
      <c r="F121" s="50"/>
      <c r="G121" s="50"/>
      <c r="H121" s="50"/>
      <c r="I121" s="50"/>
      <c r="J121" s="50"/>
      <c r="K121" s="8" t="n">
        <f aca="false">IFERROR(MIN(E121:J121),"")</f>
        <v>0</v>
      </c>
      <c r="L121" s="50" t="str">
        <f aca="false">IF(COUNT(E121:J121)&lt;2,"-",IF(LOOKUP(2,1/(E121:J121&lt;&gt;""),E121:J121)&lt;INDEX(E121:J121,MATCH(TRUE(),E121:J121&lt;&gt;"",0)),"↑",IF(LOOKUP(2,1/(E121:J121&lt;&gt;""),E121:J121)&gt;INDEX(E121:J121,MATCH(TRUE(),E121:J121&lt;&gt;"",0)),"↓","→")))</f>
        <v>-</v>
      </c>
    </row>
    <row r="122" customFormat="false" ht="25.5" hidden="false" customHeight="true" outlineLevel="0" collapsed="false">
      <c r="A122" s="50" t="n">
        <v>121</v>
      </c>
      <c r="B122" s="50" t="n">
        <v>1</v>
      </c>
      <c r="C122" s="7" t="s">
        <v>450</v>
      </c>
      <c r="D122" s="7" t="s">
        <v>451</v>
      </c>
      <c r="E122" s="50"/>
      <c r="F122" s="50"/>
      <c r="G122" s="50"/>
      <c r="H122" s="50"/>
      <c r="I122" s="50"/>
      <c r="J122" s="50"/>
      <c r="K122" s="8" t="n">
        <f aca="false">IFERROR(MIN(E122:J122),"")</f>
        <v>0</v>
      </c>
      <c r="L122" s="50" t="str">
        <f aca="false">IF(COUNT(E122:J122)&lt;2,"-",IF(LOOKUP(2,1/(E122:J122&lt;&gt;""),E122:J122)&lt;INDEX(E122:J122,MATCH(TRUE(),E122:J122&lt;&gt;"",0)),"↑",IF(LOOKUP(2,1/(E122:J122&lt;&gt;""),E122:J122)&gt;INDEX(E122:J122,MATCH(TRUE(),E122:J122&lt;&gt;"",0)),"↓","→")))</f>
        <v>-</v>
      </c>
    </row>
    <row r="123" customFormat="false" ht="25.5" hidden="false" customHeight="true" outlineLevel="0" collapsed="false">
      <c r="A123" s="50" t="n">
        <v>122</v>
      </c>
      <c r="B123" s="50" t="n">
        <v>1</v>
      </c>
      <c r="C123" s="9" t="s">
        <v>453</v>
      </c>
      <c r="D123" s="9" t="s">
        <v>454</v>
      </c>
      <c r="E123" s="50"/>
      <c r="F123" s="50"/>
      <c r="G123" s="50"/>
      <c r="H123" s="50"/>
      <c r="I123" s="50"/>
      <c r="J123" s="50"/>
      <c r="K123" s="8" t="n">
        <f aca="false">IFERROR(MIN(E123:J123),"")</f>
        <v>0</v>
      </c>
      <c r="L123" s="50" t="str">
        <f aca="false">IF(COUNT(E123:J123)&lt;2,"-",IF(LOOKUP(2,1/(E123:J123&lt;&gt;""),E123:J123)&lt;INDEX(E123:J123,MATCH(TRUE(),E123:J123&lt;&gt;"",0)),"↑",IF(LOOKUP(2,1/(E123:J123&lt;&gt;""),E123:J123)&gt;INDEX(E123:J123,MATCH(TRUE(),E123:J123&lt;&gt;"",0)),"↓","→")))</f>
        <v>-</v>
      </c>
    </row>
    <row r="124" customFormat="false" ht="25.5" hidden="false" customHeight="true" outlineLevel="0" collapsed="false">
      <c r="A124" s="50" t="n">
        <v>123</v>
      </c>
      <c r="B124" s="50" t="n">
        <v>1</v>
      </c>
      <c r="C124" s="7" t="s">
        <v>455</v>
      </c>
      <c r="D124" s="7" t="s">
        <v>456</v>
      </c>
      <c r="E124" s="50"/>
      <c r="F124" s="50"/>
      <c r="G124" s="50"/>
      <c r="H124" s="50"/>
      <c r="I124" s="50"/>
      <c r="J124" s="50"/>
      <c r="K124" s="8" t="n">
        <f aca="false">IFERROR(MIN(E124:J124),"")</f>
        <v>0</v>
      </c>
      <c r="L124" s="50" t="str">
        <f aca="false">IF(COUNT(E124:J124)&lt;2,"-",IF(LOOKUP(2,1/(E124:J124&lt;&gt;""),E124:J124)&lt;INDEX(E124:J124,MATCH(TRUE(),E124:J124&lt;&gt;"",0)),"↑",IF(LOOKUP(2,1/(E124:J124&lt;&gt;""),E124:J124)&gt;INDEX(E124:J124,MATCH(TRUE(),E124:J124&lt;&gt;"",0)),"↓","→")))</f>
        <v>-</v>
      </c>
    </row>
    <row r="125" customFormat="false" ht="25.5" hidden="false" customHeight="true" outlineLevel="0" collapsed="false">
      <c r="A125" s="50" t="n">
        <v>124</v>
      </c>
      <c r="B125" s="50" t="n">
        <v>1</v>
      </c>
      <c r="C125" s="9" t="s">
        <v>458</v>
      </c>
      <c r="D125" s="9" t="s">
        <v>459</v>
      </c>
      <c r="E125" s="50"/>
      <c r="F125" s="50"/>
      <c r="G125" s="50"/>
      <c r="H125" s="50"/>
      <c r="I125" s="50"/>
      <c r="J125" s="50"/>
      <c r="K125" s="8" t="n">
        <f aca="false">IFERROR(MIN(E125:J125),"")</f>
        <v>0</v>
      </c>
      <c r="L125" s="50" t="str">
        <f aca="false">IF(COUNT(E125:J125)&lt;2,"-",IF(LOOKUP(2,1/(E125:J125&lt;&gt;""),E125:J125)&lt;INDEX(E125:J125,MATCH(TRUE(),E125:J125&lt;&gt;"",0)),"↑",IF(LOOKUP(2,1/(E125:J125&lt;&gt;""),E125:J125)&gt;INDEX(E125:J125,MATCH(TRUE(),E125:J125&lt;&gt;"",0)),"↓","→")))</f>
        <v>-</v>
      </c>
    </row>
    <row r="126" customFormat="false" ht="25.5" hidden="false" customHeight="true" outlineLevel="0" collapsed="false">
      <c r="A126" s="50" t="n">
        <v>125</v>
      </c>
      <c r="B126" s="50" t="n">
        <v>1</v>
      </c>
      <c r="C126" s="7" t="s">
        <v>460</v>
      </c>
      <c r="D126" s="7" t="s">
        <v>462</v>
      </c>
      <c r="E126" s="50"/>
      <c r="F126" s="50"/>
      <c r="G126" s="50"/>
      <c r="H126" s="50"/>
      <c r="I126" s="50"/>
      <c r="J126" s="50"/>
      <c r="K126" s="8" t="n">
        <f aca="false">IFERROR(MIN(E126:J126),"")</f>
        <v>0</v>
      </c>
      <c r="L126" s="50" t="str">
        <f aca="false">IF(COUNT(E126:J126)&lt;2,"-",IF(LOOKUP(2,1/(E126:J126&lt;&gt;""),E126:J126)&lt;INDEX(E126:J126,MATCH(TRUE(),E126:J126&lt;&gt;"",0)),"↑",IF(LOOKUP(2,1/(E126:J126&lt;&gt;""),E126:J126)&gt;INDEX(E126:J126,MATCH(TRUE(),E126:J126&lt;&gt;"",0)),"↓","→")))</f>
        <v>-</v>
      </c>
    </row>
    <row r="127" customFormat="false" ht="25.5" hidden="false" customHeight="true" outlineLevel="0" collapsed="false">
      <c r="A127" s="50" t="n">
        <v>126</v>
      </c>
      <c r="B127" s="50" t="n">
        <v>1</v>
      </c>
      <c r="C127" s="9" t="s">
        <v>464</v>
      </c>
      <c r="D127" s="9" t="s">
        <v>465</v>
      </c>
      <c r="E127" s="50"/>
      <c r="F127" s="50"/>
      <c r="G127" s="50"/>
      <c r="H127" s="50"/>
      <c r="I127" s="50"/>
      <c r="J127" s="50"/>
      <c r="K127" s="8" t="n">
        <f aca="false">IFERROR(MIN(E127:J127),"")</f>
        <v>0</v>
      </c>
      <c r="L127" s="50" t="str">
        <f aca="false">IF(COUNT(E127:J127)&lt;2,"-",IF(LOOKUP(2,1/(E127:J127&lt;&gt;""),E127:J127)&lt;INDEX(E127:J127,MATCH(TRUE(),E127:J127&lt;&gt;"",0)),"↑",IF(LOOKUP(2,1/(E127:J127&lt;&gt;""),E127:J127)&gt;INDEX(E127:J127,MATCH(TRUE(),E127:J127&lt;&gt;"",0)),"↓","→")))</f>
        <v>-</v>
      </c>
    </row>
    <row r="128" customFormat="false" ht="25.5" hidden="false" customHeight="true" outlineLevel="0" collapsed="false">
      <c r="A128" s="50" t="n">
        <v>127</v>
      </c>
      <c r="B128" s="50" t="n">
        <v>1</v>
      </c>
      <c r="C128" s="7" t="s">
        <v>466</v>
      </c>
      <c r="D128" s="7" t="s">
        <v>467</v>
      </c>
      <c r="E128" s="50"/>
      <c r="F128" s="50"/>
      <c r="G128" s="50"/>
      <c r="H128" s="50"/>
      <c r="I128" s="50"/>
      <c r="J128" s="50"/>
      <c r="K128" s="8" t="n">
        <f aca="false">IFERROR(MIN(E128:J128),"")</f>
        <v>0</v>
      </c>
      <c r="L128" s="50" t="str">
        <f aca="false">IF(COUNT(E128:J128)&lt;2,"-",IF(LOOKUP(2,1/(E128:J128&lt;&gt;""),E128:J128)&lt;INDEX(E128:J128,MATCH(TRUE(),E128:J128&lt;&gt;"",0)),"↑",IF(LOOKUP(2,1/(E128:J128&lt;&gt;""),E128:J128)&gt;INDEX(E128:J128,MATCH(TRUE(),E128:J128&lt;&gt;"",0)),"↓","→")))</f>
        <v>-</v>
      </c>
    </row>
    <row r="129" customFormat="false" ht="25.5" hidden="false" customHeight="true" outlineLevel="0" collapsed="false">
      <c r="A129" s="50" t="n">
        <v>128</v>
      </c>
      <c r="B129" s="50" t="n">
        <v>1</v>
      </c>
      <c r="C129" s="9" t="s">
        <v>469</v>
      </c>
      <c r="D129" s="9" t="s">
        <v>470</v>
      </c>
      <c r="E129" s="50"/>
      <c r="F129" s="50"/>
      <c r="G129" s="50"/>
      <c r="H129" s="50"/>
      <c r="I129" s="50"/>
      <c r="J129" s="50"/>
      <c r="K129" s="8" t="n">
        <f aca="false">IFERROR(MIN(E129:J129),"")</f>
        <v>0</v>
      </c>
      <c r="L129" s="50" t="str">
        <f aca="false">IF(COUNT(E129:J129)&lt;2,"-",IF(LOOKUP(2,1/(E129:J129&lt;&gt;""),E129:J129)&lt;INDEX(E129:J129,MATCH(TRUE(),E129:J129&lt;&gt;"",0)),"↑",IF(LOOKUP(2,1/(E129:J129&lt;&gt;""),E129:J129)&gt;INDEX(E129:J129,MATCH(TRUE(),E129:J129&lt;&gt;"",0)),"↓","→")))</f>
        <v>-</v>
      </c>
    </row>
    <row r="130" customFormat="false" ht="25.5" hidden="false" customHeight="true" outlineLevel="0" collapsed="false">
      <c r="A130" s="50" t="n">
        <v>129</v>
      </c>
      <c r="B130" s="50" t="n">
        <v>1</v>
      </c>
      <c r="C130" s="7" t="s">
        <v>471</v>
      </c>
      <c r="D130" s="7" t="s">
        <v>473</v>
      </c>
      <c r="E130" s="50"/>
      <c r="F130" s="50"/>
      <c r="G130" s="50"/>
      <c r="H130" s="50"/>
      <c r="I130" s="50"/>
      <c r="J130" s="50"/>
      <c r="K130" s="8" t="n">
        <f aca="false">IFERROR(MIN(E130:J130),"")</f>
        <v>0</v>
      </c>
      <c r="L130" s="50" t="str">
        <f aca="false">IF(COUNT(E130:J130)&lt;2,"-",IF(LOOKUP(2,1/(E130:J130&lt;&gt;""),E130:J130)&lt;INDEX(E130:J130,MATCH(TRUE(),E130:J130&lt;&gt;"",0)),"↑",IF(LOOKUP(2,1/(E130:J130&lt;&gt;""),E130:J130)&gt;INDEX(E130:J130,MATCH(TRUE(),E130:J130&lt;&gt;"",0)),"↓","→")))</f>
        <v>-</v>
      </c>
    </row>
    <row r="131" customFormat="false" ht="25.5" hidden="false" customHeight="true" outlineLevel="0" collapsed="false">
      <c r="A131" s="50" t="n">
        <v>130</v>
      </c>
      <c r="B131" s="50" t="n">
        <v>1</v>
      </c>
      <c r="C131" s="9" t="s">
        <v>475</v>
      </c>
      <c r="D131" s="9" t="s">
        <v>476</v>
      </c>
      <c r="E131" s="50"/>
      <c r="F131" s="50"/>
      <c r="G131" s="50"/>
      <c r="H131" s="50"/>
      <c r="I131" s="50"/>
      <c r="J131" s="50"/>
      <c r="K131" s="8" t="n">
        <f aca="false">IFERROR(MIN(E131:J131),"")</f>
        <v>0</v>
      </c>
      <c r="L131" s="50" t="str">
        <f aca="false">IF(COUNT(E131:J131)&lt;2,"-",IF(LOOKUP(2,1/(E131:J131&lt;&gt;""),E131:J131)&lt;INDEX(E131:J131,MATCH(TRUE(),E131:J131&lt;&gt;"",0)),"↑",IF(LOOKUP(2,1/(E131:J131&lt;&gt;""),E131:J131)&gt;INDEX(E131:J131,MATCH(TRUE(),E131:J131&lt;&gt;"",0)),"↓","→")))</f>
        <v>-</v>
      </c>
    </row>
    <row r="132" customFormat="false" ht="25.5" hidden="false" customHeight="true" outlineLevel="0" collapsed="false">
      <c r="A132" s="50" t="n">
        <v>131</v>
      </c>
      <c r="B132" s="50" t="n">
        <v>1</v>
      </c>
      <c r="C132" s="7" t="s">
        <v>477</v>
      </c>
      <c r="D132" s="7" t="s">
        <v>478</v>
      </c>
      <c r="E132" s="50"/>
      <c r="F132" s="50"/>
      <c r="G132" s="50"/>
      <c r="H132" s="50"/>
      <c r="I132" s="50"/>
      <c r="J132" s="50"/>
      <c r="K132" s="8" t="n">
        <f aca="false">IFERROR(MIN(E132:J132),"")</f>
        <v>0</v>
      </c>
      <c r="L132" s="50" t="str">
        <f aca="false">IF(COUNT(E132:J132)&lt;2,"-",IF(LOOKUP(2,1/(E132:J132&lt;&gt;""),E132:J132)&lt;INDEX(E132:J132,MATCH(TRUE(),E132:J132&lt;&gt;"",0)),"↑",IF(LOOKUP(2,1/(E132:J132&lt;&gt;""),E132:J132)&gt;INDEX(E132:J132,MATCH(TRUE(),E132:J132&lt;&gt;"",0)),"↓","→")))</f>
        <v>-</v>
      </c>
    </row>
    <row r="133" customFormat="false" ht="25.5" hidden="false" customHeight="true" outlineLevel="0" collapsed="false">
      <c r="A133" s="50" t="n">
        <v>132</v>
      </c>
      <c r="B133" s="50" t="n">
        <v>1</v>
      </c>
      <c r="C133" s="9" t="s">
        <v>480</v>
      </c>
      <c r="D133" s="9" t="s">
        <v>481</v>
      </c>
      <c r="E133" s="50"/>
      <c r="F133" s="50"/>
      <c r="G133" s="50"/>
      <c r="H133" s="50"/>
      <c r="I133" s="50"/>
      <c r="J133" s="50"/>
      <c r="K133" s="8" t="n">
        <f aca="false">IFERROR(MIN(E133:J133),"")</f>
        <v>0</v>
      </c>
      <c r="L133" s="50" t="str">
        <f aca="false">IF(COUNT(E133:J133)&lt;2,"-",IF(LOOKUP(2,1/(E133:J133&lt;&gt;""),E133:J133)&lt;INDEX(E133:J133,MATCH(TRUE(),E133:J133&lt;&gt;"",0)),"↑",IF(LOOKUP(2,1/(E133:J133&lt;&gt;""),E133:J133)&gt;INDEX(E133:J133,MATCH(TRUE(),E133:J133&lt;&gt;"",0)),"↓","→")))</f>
        <v>-</v>
      </c>
    </row>
    <row r="134" customFormat="false" ht="25.5" hidden="false" customHeight="true" outlineLevel="0" collapsed="false">
      <c r="A134" s="50" t="n">
        <v>133</v>
      </c>
      <c r="B134" s="50" t="n">
        <v>1</v>
      </c>
      <c r="C134" s="7" t="s">
        <v>482</v>
      </c>
      <c r="D134" s="7" t="s">
        <v>483</v>
      </c>
      <c r="E134" s="50"/>
      <c r="F134" s="50"/>
      <c r="G134" s="50"/>
      <c r="H134" s="50"/>
      <c r="I134" s="50"/>
      <c r="J134" s="50"/>
      <c r="K134" s="8" t="n">
        <f aca="false">IFERROR(MIN(E134:J134),"")</f>
        <v>0</v>
      </c>
      <c r="L134" s="50" t="str">
        <f aca="false">IF(COUNT(E134:J134)&lt;2,"-",IF(LOOKUP(2,1/(E134:J134&lt;&gt;""),E134:J134)&lt;INDEX(E134:J134,MATCH(TRUE(),E134:J134&lt;&gt;"",0)),"↑",IF(LOOKUP(2,1/(E134:J134&lt;&gt;""),E134:J134)&gt;INDEX(E134:J134,MATCH(TRUE(),E134:J134&lt;&gt;"",0)),"↓","→")))</f>
        <v>-</v>
      </c>
    </row>
    <row r="135" customFormat="false" ht="25.5" hidden="false" customHeight="true" outlineLevel="0" collapsed="false">
      <c r="A135" s="50" t="n">
        <v>134</v>
      </c>
      <c r="B135" s="50" t="n">
        <v>1</v>
      </c>
      <c r="C135" s="9" t="s">
        <v>485</v>
      </c>
      <c r="D135" s="9" t="s">
        <v>486</v>
      </c>
      <c r="E135" s="50"/>
      <c r="F135" s="50"/>
      <c r="G135" s="50"/>
      <c r="H135" s="50"/>
      <c r="I135" s="50"/>
      <c r="J135" s="50"/>
      <c r="K135" s="8" t="n">
        <f aca="false">IFERROR(MIN(E135:J135),"")</f>
        <v>0</v>
      </c>
      <c r="L135" s="50" t="str">
        <f aca="false">IF(COUNT(E135:J135)&lt;2,"-",IF(LOOKUP(2,1/(E135:J135&lt;&gt;""),E135:J135)&lt;INDEX(E135:J135,MATCH(TRUE(),E135:J135&lt;&gt;"",0)),"↑",IF(LOOKUP(2,1/(E135:J135&lt;&gt;""),E135:J135)&gt;INDEX(E135:J135,MATCH(TRUE(),E135:J135&lt;&gt;"",0)),"↓","→")))</f>
        <v>-</v>
      </c>
    </row>
    <row r="136" customFormat="false" ht="25.5" hidden="false" customHeight="true" outlineLevel="0" collapsed="false">
      <c r="A136" s="50" t="n">
        <v>135</v>
      </c>
      <c r="B136" s="50" t="n">
        <v>1</v>
      </c>
      <c r="C136" s="7" t="s">
        <v>487</v>
      </c>
      <c r="D136" s="7" t="s">
        <v>488</v>
      </c>
      <c r="E136" s="50"/>
      <c r="F136" s="50"/>
      <c r="G136" s="50"/>
      <c r="H136" s="50"/>
      <c r="I136" s="50"/>
      <c r="J136" s="50"/>
      <c r="K136" s="8" t="n">
        <f aca="false">IFERROR(MIN(E136:J136),"")</f>
        <v>0</v>
      </c>
      <c r="L136" s="50" t="str">
        <f aca="false">IF(COUNT(E136:J136)&lt;2,"-",IF(LOOKUP(2,1/(E136:J136&lt;&gt;""),E136:J136)&lt;INDEX(E136:J136,MATCH(TRUE(),E136:J136&lt;&gt;"",0)),"↑",IF(LOOKUP(2,1/(E136:J136&lt;&gt;""),E136:J136)&gt;INDEX(E136:J136,MATCH(TRUE(),E136:J136&lt;&gt;"",0)),"↓","→")))</f>
        <v>-</v>
      </c>
    </row>
    <row r="137" customFormat="false" ht="25.5" hidden="false" customHeight="true" outlineLevel="0" collapsed="false">
      <c r="A137" s="50" t="n">
        <v>136</v>
      </c>
      <c r="B137" s="50" t="n">
        <v>1</v>
      </c>
      <c r="C137" s="9" t="s">
        <v>490</v>
      </c>
      <c r="D137" s="9" t="s">
        <v>491</v>
      </c>
      <c r="E137" s="50"/>
      <c r="F137" s="50"/>
      <c r="G137" s="50"/>
      <c r="H137" s="50"/>
      <c r="I137" s="50"/>
      <c r="J137" s="50"/>
      <c r="K137" s="8" t="n">
        <f aca="false">IFERROR(MIN(E137:J137),"")</f>
        <v>0</v>
      </c>
      <c r="L137" s="50" t="str">
        <f aca="false">IF(COUNT(E137:J137)&lt;2,"-",IF(LOOKUP(2,1/(E137:J137&lt;&gt;""),E137:J137)&lt;INDEX(E137:J137,MATCH(TRUE(),E137:J137&lt;&gt;"",0)),"↑",IF(LOOKUP(2,1/(E137:J137&lt;&gt;""),E137:J137)&gt;INDEX(E137:J137,MATCH(TRUE(),E137:J137&lt;&gt;"",0)),"↓","→")))</f>
        <v>-</v>
      </c>
    </row>
    <row r="138" customFormat="false" ht="25.5" hidden="false" customHeight="true" outlineLevel="0" collapsed="false">
      <c r="A138" s="50" t="n">
        <v>137</v>
      </c>
      <c r="B138" s="50" t="n">
        <v>1</v>
      </c>
      <c r="C138" s="7" t="s">
        <v>492</v>
      </c>
      <c r="D138" s="7" t="s">
        <v>493</v>
      </c>
      <c r="E138" s="50"/>
      <c r="F138" s="50"/>
      <c r="G138" s="50"/>
      <c r="H138" s="50"/>
      <c r="I138" s="50"/>
      <c r="J138" s="50"/>
      <c r="K138" s="8" t="n">
        <f aca="false">IFERROR(MIN(E138:J138),"")</f>
        <v>0</v>
      </c>
      <c r="L138" s="50" t="str">
        <f aca="false">IF(COUNT(E138:J138)&lt;2,"-",IF(LOOKUP(2,1/(E138:J138&lt;&gt;""),E138:J138)&lt;INDEX(E138:J138,MATCH(TRUE(),E138:J138&lt;&gt;"",0)),"↑",IF(LOOKUP(2,1/(E138:J138&lt;&gt;""),E138:J138)&gt;INDEX(E138:J138,MATCH(TRUE(),E138:J138&lt;&gt;"",0)),"↓","→")))</f>
        <v>-</v>
      </c>
    </row>
    <row r="139" customFormat="false" ht="25.5" hidden="false" customHeight="true" outlineLevel="0" collapsed="false">
      <c r="A139" s="50" t="n">
        <v>138</v>
      </c>
      <c r="B139" s="50" t="n">
        <v>1</v>
      </c>
      <c r="C139" s="9" t="s">
        <v>495</v>
      </c>
      <c r="D139" s="9" t="s">
        <v>496</v>
      </c>
      <c r="E139" s="50"/>
      <c r="F139" s="50"/>
      <c r="G139" s="50"/>
      <c r="H139" s="50"/>
      <c r="I139" s="50"/>
      <c r="J139" s="50"/>
      <c r="K139" s="8" t="n">
        <f aca="false">IFERROR(MIN(E139:J139),"")</f>
        <v>0</v>
      </c>
      <c r="L139" s="50" t="str">
        <f aca="false">IF(COUNT(E139:J139)&lt;2,"-",IF(LOOKUP(2,1/(E139:J139&lt;&gt;""),E139:J139)&lt;INDEX(E139:J139,MATCH(TRUE(),E139:J139&lt;&gt;"",0)),"↑",IF(LOOKUP(2,1/(E139:J139&lt;&gt;""),E139:J139)&gt;INDEX(E139:J139,MATCH(TRUE(),E139:J139&lt;&gt;"",0)),"↓","→")))</f>
        <v>-</v>
      </c>
    </row>
    <row r="140" customFormat="false" ht="25.5" hidden="false" customHeight="true" outlineLevel="0" collapsed="false">
      <c r="A140" s="50" t="n">
        <v>139</v>
      </c>
      <c r="B140" s="50" t="n">
        <v>1</v>
      </c>
      <c r="C140" s="7" t="s">
        <v>497</v>
      </c>
      <c r="D140" s="7" t="s">
        <v>499</v>
      </c>
      <c r="E140" s="50"/>
      <c r="F140" s="50"/>
      <c r="G140" s="50"/>
      <c r="H140" s="50"/>
      <c r="I140" s="50"/>
      <c r="J140" s="50"/>
      <c r="K140" s="8" t="n">
        <f aca="false">IFERROR(MIN(E140:J140),"")</f>
        <v>0</v>
      </c>
      <c r="L140" s="50" t="str">
        <f aca="false">IF(COUNT(E140:J140)&lt;2,"-",IF(LOOKUP(2,1/(E140:J140&lt;&gt;""),E140:J140)&lt;INDEX(E140:J140,MATCH(TRUE(),E140:J140&lt;&gt;"",0)),"↑",IF(LOOKUP(2,1/(E140:J140&lt;&gt;""),E140:J140)&gt;INDEX(E140:J140,MATCH(TRUE(),E140:J140&lt;&gt;"",0)),"↓","→")))</f>
        <v>-</v>
      </c>
    </row>
    <row r="141" customFormat="false" ht="25.5" hidden="false" customHeight="true" outlineLevel="0" collapsed="false">
      <c r="A141" s="50" t="n">
        <v>140</v>
      </c>
      <c r="B141" s="50" t="n">
        <v>1</v>
      </c>
      <c r="C141" s="9" t="s">
        <v>501</v>
      </c>
      <c r="D141" s="9" t="s">
        <v>502</v>
      </c>
      <c r="E141" s="50"/>
      <c r="F141" s="50"/>
      <c r="G141" s="50"/>
      <c r="H141" s="50"/>
      <c r="I141" s="50"/>
      <c r="J141" s="50"/>
      <c r="K141" s="8" t="n">
        <f aca="false">IFERROR(MIN(E141:J141),"")</f>
        <v>0</v>
      </c>
      <c r="L141" s="50" t="str">
        <f aca="false">IF(COUNT(E141:J141)&lt;2,"-",IF(LOOKUP(2,1/(E141:J141&lt;&gt;""),E141:J141)&lt;INDEX(E141:J141,MATCH(TRUE(),E141:J141&lt;&gt;"",0)),"↑",IF(LOOKUP(2,1/(E141:J141&lt;&gt;""),E141:J141)&gt;INDEX(E141:J141,MATCH(TRUE(),E141:J141&lt;&gt;"",0)),"↓","→")))</f>
        <v>-</v>
      </c>
    </row>
    <row r="142" customFormat="false" ht="25.5" hidden="false" customHeight="true" outlineLevel="0" collapsed="false">
      <c r="A142" s="51" t="n">
        <v>141</v>
      </c>
      <c r="B142" s="51" t="n">
        <v>2</v>
      </c>
      <c r="C142" s="11" t="s">
        <v>503</v>
      </c>
      <c r="D142" s="11" t="s">
        <v>507</v>
      </c>
      <c r="E142" s="51"/>
      <c r="F142" s="51"/>
      <c r="G142" s="51"/>
      <c r="H142" s="51"/>
      <c r="I142" s="51"/>
      <c r="J142" s="51"/>
      <c r="K142" s="12" t="n">
        <f aca="false">IFERROR(MIN(E142:J142),"")</f>
        <v>0</v>
      </c>
      <c r="L142" s="51" t="str">
        <f aca="false">IF(COUNT(E142:J142)&lt;2,"-",IF(LOOKUP(2,1/(E142:J142&lt;&gt;""),E142:J142)&lt;INDEX(E142:J142,MATCH(TRUE(),E142:J142&lt;&gt;"",0)),"↑",IF(LOOKUP(2,1/(E142:J142&lt;&gt;""),E142:J142)&gt;INDEX(E142:J142,MATCH(TRUE(),E142:J142&lt;&gt;"",0)),"↓","→")))</f>
        <v>-</v>
      </c>
    </row>
    <row r="143" customFormat="false" ht="25.5" hidden="false" customHeight="true" outlineLevel="0" collapsed="false">
      <c r="A143" s="51" t="n">
        <v>142</v>
      </c>
      <c r="B143" s="51" t="n">
        <v>2</v>
      </c>
      <c r="C143" s="13" t="s">
        <v>509</v>
      </c>
      <c r="D143" s="13" t="s">
        <v>510</v>
      </c>
      <c r="E143" s="51"/>
      <c r="F143" s="51"/>
      <c r="G143" s="51"/>
      <c r="H143" s="51"/>
      <c r="I143" s="51"/>
      <c r="J143" s="51"/>
      <c r="K143" s="12" t="n">
        <f aca="false">IFERROR(MIN(E143:J143),"")</f>
        <v>0</v>
      </c>
      <c r="L143" s="51" t="str">
        <f aca="false">IF(COUNT(E143:J143)&lt;2,"-",IF(LOOKUP(2,1/(E143:J143&lt;&gt;""),E143:J143)&lt;INDEX(E143:J143,MATCH(TRUE(),E143:J143&lt;&gt;"",0)),"↑",IF(LOOKUP(2,1/(E143:J143&lt;&gt;""),E143:J143)&gt;INDEX(E143:J143,MATCH(TRUE(),E143:J143&lt;&gt;"",0)),"↓","→")))</f>
        <v>-</v>
      </c>
    </row>
    <row r="144" customFormat="false" ht="25.5" hidden="false" customHeight="true" outlineLevel="0" collapsed="false">
      <c r="A144" s="51" t="n">
        <v>143</v>
      </c>
      <c r="B144" s="51" t="n">
        <v>2</v>
      </c>
      <c r="C144" s="11" t="s">
        <v>511</v>
      </c>
      <c r="D144" s="11" t="s">
        <v>512</v>
      </c>
      <c r="E144" s="51"/>
      <c r="F144" s="51"/>
      <c r="G144" s="51"/>
      <c r="H144" s="51"/>
      <c r="I144" s="51"/>
      <c r="J144" s="51"/>
      <c r="K144" s="12" t="n">
        <f aca="false">IFERROR(MIN(E144:J144),"")</f>
        <v>0</v>
      </c>
      <c r="L144" s="51" t="str">
        <f aca="false">IF(COUNT(E144:J144)&lt;2,"-",IF(LOOKUP(2,1/(E144:J144&lt;&gt;""),E144:J144)&lt;INDEX(E144:J144,MATCH(TRUE(),E144:J144&lt;&gt;"",0)),"↑",IF(LOOKUP(2,1/(E144:J144&lt;&gt;""),E144:J144)&gt;INDEX(E144:J144,MATCH(TRUE(),E144:J144&lt;&gt;"",0)),"↓","→")))</f>
        <v>-</v>
      </c>
    </row>
    <row r="145" customFormat="false" ht="25.5" hidden="false" customHeight="true" outlineLevel="0" collapsed="false">
      <c r="A145" s="51" t="n">
        <v>144</v>
      </c>
      <c r="B145" s="51" t="n">
        <v>2</v>
      </c>
      <c r="C145" s="13" t="s">
        <v>513</v>
      </c>
      <c r="D145" s="13" t="s">
        <v>514</v>
      </c>
      <c r="E145" s="51"/>
      <c r="F145" s="51"/>
      <c r="G145" s="51"/>
      <c r="H145" s="51"/>
      <c r="I145" s="51"/>
      <c r="J145" s="51"/>
      <c r="K145" s="12" t="n">
        <f aca="false">IFERROR(MIN(E145:J145),"")</f>
        <v>0</v>
      </c>
      <c r="L145" s="51" t="str">
        <f aca="false">IF(COUNT(E145:J145)&lt;2,"-",IF(LOOKUP(2,1/(E145:J145&lt;&gt;""),E145:J145)&lt;INDEX(E145:J145,MATCH(TRUE(),E145:J145&lt;&gt;"",0)),"↑",IF(LOOKUP(2,1/(E145:J145&lt;&gt;""),E145:J145)&gt;INDEX(E145:J145,MATCH(TRUE(),E145:J145&lt;&gt;"",0)),"↓","→")))</f>
        <v>-</v>
      </c>
    </row>
    <row r="146" customFormat="false" ht="25.5" hidden="false" customHeight="true" outlineLevel="0" collapsed="false">
      <c r="A146" s="51" t="n">
        <v>145</v>
      </c>
      <c r="B146" s="51" t="n">
        <v>2</v>
      </c>
      <c r="C146" s="11" t="s">
        <v>515</v>
      </c>
      <c r="D146" s="11" t="s">
        <v>516</v>
      </c>
      <c r="E146" s="51"/>
      <c r="F146" s="51"/>
      <c r="G146" s="51"/>
      <c r="H146" s="51"/>
      <c r="I146" s="51"/>
      <c r="J146" s="51"/>
      <c r="K146" s="12" t="n">
        <f aca="false">IFERROR(MIN(E146:J146),"")</f>
        <v>0</v>
      </c>
      <c r="L146" s="51" t="str">
        <f aca="false">IF(COUNT(E146:J146)&lt;2,"-",IF(LOOKUP(2,1/(E146:J146&lt;&gt;""),E146:J146)&lt;INDEX(E146:J146,MATCH(TRUE(),E146:J146&lt;&gt;"",0)),"↑",IF(LOOKUP(2,1/(E146:J146&lt;&gt;""),E146:J146)&gt;INDEX(E146:J146,MATCH(TRUE(),E146:J146&lt;&gt;"",0)),"↓","→")))</f>
        <v>-</v>
      </c>
    </row>
    <row r="147" customFormat="false" ht="25.5" hidden="false" customHeight="true" outlineLevel="0" collapsed="false">
      <c r="A147" s="51" t="n">
        <v>146</v>
      </c>
      <c r="B147" s="51" t="n">
        <v>2</v>
      </c>
      <c r="C147" s="13" t="s">
        <v>517</v>
      </c>
      <c r="D147" s="13" t="s">
        <v>518</v>
      </c>
      <c r="E147" s="51"/>
      <c r="F147" s="51"/>
      <c r="G147" s="51"/>
      <c r="H147" s="51"/>
      <c r="I147" s="51"/>
      <c r="J147" s="51"/>
      <c r="K147" s="12" t="n">
        <f aca="false">IFERROR(MIN(E147:J147),"")</f>
        <v>0</v>
      </c>
      <c r="L147" s="51" t="str">
        <f aca="false">IF(COUNT(E147:J147)&lt;2,"-",IF(LOOKUP(2,1/(E147:J147&lt;&gt;""),E147:J147)&lt;INDEX(E147:J147,MATCH(TRUE(),E147:J147&lt;&gt;"",0)),"↑",IF(LOOKUP(2,1/(E147:J147&lt;&gt;""),E147:J147)&gt;INDEX(E147:J147,MATCH(TRUE(),E147:J147&lt;&gt;"",0)),"↓","→")))</f>
        <v>-</v>
      </c>
    </row>
    <row r="148" customFormat="false" ht="25.5" hidden="false" customHeight="true" outlineLevel="0" collapsed="false">
      <c r="A148" s="51" t="n">
        <v>147</v>
      </c>
      <c r="B148" s="51" t="n">
        <v>2</v>
      </c>
      <c r="C148" s="11" t="s">
        <v>519</v>
      </c>
      <c r="D148" s="11" t="s">
        <v>520</v>
      </c>
      <c r="E148" s="51"/>
      <c r="F148" s="51"/>
      <c r="G148" s="51"/>
      <c r="H148" s="51"/>
      <c r="I148" s="51"/>
      <c r="J148" s="51"/>
      <c r="K148" s="12" t="n">
        <f aca="false">IFERROR(MIN(E148:J148),"")</f>
        <v>0</v>
      </c>
      <c r="L148" s="51" t="str">
        <f aca="false">IF(COUNT(E148:J148)&lt;2,"-",IF(LOOKUP(2,1/(E148:J148&lt;&gt;""),E148:J148)&lt;INDEX(E148:J148,MATCH(TRUE(),E148:J148&lt;&gt;"",0)),"↑",IF(LOOKUP(2,1/(E148:J148&lt;&gt;""),E148:J148)&gt;INDEX(E148:J148,MATCH(TRUE(),E148:J148&lt;&gt;"",0)),"↓","→")))</f>
        <v>-</v>
      </c>
    </row>
    <row r="149" customFormat="false" ht="25.5" hidden="false" customHeight="true" outlineLevel="0" collapsed="false">
      <c r="A149" s="51" t="n">
        <v>148</v>
      </c>
      <c r="B149" s="51" t="n">
        <v>2</v>
      </c>
      <c r="C149" s="13" t="s">
        <v>521</v>
      </c>
      <c r="D149" s="13" t="s">
        <v>522</v>
      </c>
      <c r="E149" s="51"/>
      <c r="F149" s="51"/>
      <c r="G149" s="51"/>
      <c r="H149" s="51"/>
      <c r="I149" s="51"/>
      <c r="J149" s="51"/>
      <c r="K149" s="12" t="n">
        <f aca="false">IFERROR(MIN(E149:J149),"")</f>
        <v>0</v>
      </c>
      <c r="L149" s="51" t="str">
        <f aca="false">IF(COUNT(E149:J149)&lt;2,"-",IF(LOOKUP(2,1/(E149:J149&lt;&gt;""),E149:J149)&lt;INDEX(E149:J149,MATCH(TRUE(),E149:J149&lt;&gt;"",0)),"↑",IF(LOOKUP(2,1/(E149:J149&lt;&gt;""),E149:J149)&gt;INDEX(E149:J149,MATCH(TRUE(),E149:J149&lt;&gt;"",0)),"↓","→")))</f>
        <v>-</v>
      </c>
    </row>
    <row r="150" customFormat="false" ht="25.5" hidden="false" customHeight="true" outlineLevel="0" collapsed="false">
      <c r="A150" s="51" t="n">
        <v>149</v>
      </c>
      <c r="B150" s="51" t="n">
        <v>2</v>
      </c>
      <c r="C150" s="11" t="s">
        <v>523</v>
      </c>
      <c r="D150" s="11" t="s">
        <v>524</v>
      </c>
      <c r="E150" s="51"/>
      <c r="F150" s="51"/>
      <c r="G150" s="51"/>
      <c r="H150" s="51"/>
      <c r="I150" s="51"/>
      <c r="J150" s="51"/>
      <c r="K150" s="12" t="n">
        <f aca="false">IFERROR(MIN(E150:J150),"")</f>
        <v>0</v>
      </c>
      <c r="L150" s="51" t="str">
        <f aca="false">IF(COUNT(E150:J150)&lt;2,"-",IF(LOOKUP(2,1/(E150:J150&lt;&gt;""),E150:J150)&lt;INDEX(E150:J150,MATCH(TRUE(),E150:J150&lt;&gt;"",0)),"↑",IF(LOOKUP(2,1/(E150:J150&lt;&gt;""),E150:J150)&gt;INDEX(E150:J150,MATCH(TRUE(),E150:J150&lt;&gt;"",0)),"↓","→")))</f>
        <v>-</v>
      </c>
    </row>
    <row r="151" customFormat="false" ht="25.5" hidden="false" customHeight="true" outlineLevel="0" collapsed="false">
      <c r="A151" s="51" t="n">
        <v>150</v>
      </c>
      <c r="B151" s="51" t="n">
        <v>2</v>
      </c>
      <c r="C151" s="13" t="s">
        <v>525</v>
      </c>
      <c r="D151" s="13" t="s">
        <v>526</v>
      </c>
      <c r="E151" s="51"/>
      <c r="F151" s="51"/>
      <c r="G151" s="51"/>
      <c r="H151" s="51"/>
      <c r="I151" s="51"/>
      <c r="J151" s="51"/>
      <c r="K151" s="12" t="n">
        <f aca="false">IFERROR(MIN(E151:J151),"")</f>
        <v>0</v>
      </c>
      <c r="L151" s="51" t="str">
        <f aca="false">IF(COUNT(E151:J151)&lt;2,"-",IF(LOOKUP(2,1/(E151:J151&lt;&gt;""),E151:J151)&lt;INDEX(E151:J151,MATCH(TRUE(),E151:J151&lt;&gt;"",0)),"↑",IF(LOOKUP(2,1/(E151:J151&lt;&gt;""),E151:J151)&gt;INDEX(E151:J151,MATCH(TRUE(),E151:J151&lt;&gt;"",0)),"↓","→")))</f>
        <v>-</v>
      </c>
    </row>
    <row r="152" customFormat="false" ht="25.5" hidden="false" customHeight="true" outlineLevel="0" collapsed="false">
      <c r="A152" s="51" t="n">
        <v>151</v>
      </c>
      <c r="B152" s="51" t="n">
        <v>2</v>
      </c>
      <c r="C152" s="11" t="s">
        <v>527</v>
      </c>
      <c r="D152" s="11" t="s">
        <v>528</v>
      </c>
      <c r="E152" s="51"/>
      <c r="F152" s="51"/>
      <c r="G152" s="51"/>
      <c r="H152" s="51"/>
      <c r="I152" s="51"/>
      <c r="J152" s="51"/>
      <c r="K152" s="12" t="n">
        <f aca="false">IFERROR(MIN(E152:J152),"")</f>
        <v>0</v>
      </c>
      <c r="L152" s="51" t="str">
        <f aca="false">IF(COUNT(E152:J152)&lt;2,"-",IF(LOOKUP(2,1/(E152:J152&lt;&gt;""),E152:J152)&lt;INDEX(E152:J152,MATCH(TRUE(),E152:J152&lt;&gt;"",0)),"↑",IF(LOOKUP(2,1/(E152:J152&lt;&gt;""),E152:J152)&gt;INDEX(E152:J152,MATCH(TRUE(),E152:J152&lt;&gt;"",0)),"↓","→")))</f>
        <v>-</v>
      </c>
    </row>
    <row r="153" customFormat="false" ht="25.5" hidden="false" customHeight="true" outlineLevel="0" collapsed="false">
      <c r="A153" s="51" t="n">
        <v>152</v>
      </c>
      <c r="B153" s="51" t="n">
        <v>2</v>
      </c>
      <c r="C153" s="13" t="s">
        <v>529</v>
      </c>
      <c r="D153" s="13" t="s">
        <v>530</v>
      </c>
      <c r="E153" s="51"/>
      <c r="F153" s="51"/>
      <c r="G153" s="51"/>
      <c r="H153" s="51"/>
      <c r="I153" s="51"/>
      <c r="J153" s="51"/>
      <c r="K153" s="12" t="n">
        <f aca="false">IFERROR(MIN(E153:J153),"")</f>
        <v>0</v>
      </c>
      <c r="L153" s="51" t="str">
        <f aca="false">IF(COUNT(E153:J153)&lt;2,"-",IF(LOOKUP(2,1/(E153:J153&lt;&gt;""),E153:J153)&lt;INDEX(E153:J153,MATCH(TRUE(),E153:J153&lt;&gt;"",0)),"↑",IF(LOOKUP(2,1/(E153:J153&lt;&gt;""),E153:J153)&gt;INDEX(E153:J153,MATCH(TRUE(),E153:J153&lt;&gt;"",0)),"↓","→")))</f>
        <v>-</v>
      </c>
    </row>
    <row r="154" customFormat="false" ht="25.5" hidden="false" customHeight="true" outlineLevel="0" collapsed="false">
      <c r="A154" s="51" t="n">
        <v>153</v>
      </c>
      <c r="B154" s="51" t="n">
        <v>2</v>
      </c>
      <c r="C154" s="11" t="s">
        <v>531</v>
      </c>
      <c r="D154" s="11" t="s">
        <v>532</v>
      </c>
      <c r="E154" s="51"/>
      <c r="F154" s="51"/>
      <c r="G154" s="51"/>
      <c r="H154" s="51"/>
      <c r="I154" s="51"/>
      <c r="J154" s="51"/>
      <c r="K154" s="12" t="n">
        <f aca="false">IFERROR(MIN(E154:J154),"")</f>
        <v>0</v>
      </c>
      <c r="L154" s="51" t="str">
        <f aca="false">IF(COUNT(E154:J154)&lt;2,"-",IF(LOOKUP(2,1/(E154:J154&lt;&gt;""),E154:J154)&lt;INDEX(E154:J154,MATCH(TRUE(),E154:J154&lt;&gt;"",0)),"↑",IF(LOOKUP(2,1/(E154:J154&lt;&gt;""),E154:J154)&gt;INDEX(E154:J154,MATCH(TRUE(),E154:J154&lt;&gt;"",0)),"↓","→")))</f>
        <v>-</v>
      </c>
    </row>
    <row r="155" customFormat="false" ht="25.5" hidden="false" customHeight="true" outlineLevel="0" collapsed="false">
      <c r="A155" s="51" t="n">
        <v>154</v>
      </c>
      <c r="B155" s="51" t="n">
        <v>2</v>
      </c>
      <c r="C155" s="13" t="s">
        <v>533</v>
      </c>
      <c r="D155" s="13" t="s">
        <v>534</v>
      </c>
      <c r="E155" s="51"/>
      <c r="F155" s="51"/>
      <c r="G155" s="51"/>
      <c r="H155" s="51"/>
      <c r="I155" s="51"/>
      <c r="J155" s="51"/>
      <c r="K155" s="12" t="n">
        <f aca="false">IFERROR(MIN(E155:J155),"")</f>
        <v>0</v>
      </c>
      <c r="L155" s="51" t="str">
        <f aca="false">IF(COUNT(E155:J155)&lt;2,"-",IF(LOOKUP(2,1/(E155:J155&lt;&gt;""),E155:J155)&lt;INDEX(E155:J155,MATCH(TRUE(),E155:J155&lt;&gt;"",0)),"↑",IF(LOOKUP(2,1/(E155:J155&lt;&gt;""),E155:J155)&gt;INDEX(E155:J155,MATCH(TRUE(),E155:J155&lt;&gt;"",0)),"↓","→")))</f>
        <v>-</v>
      </c>
    </row>
    <row r="156" customFormat="false" ht="25.5" hidden="false" customHeight="true" outlineLevel="0" collapsed="false">
      <c r="A156" s="51" t="n">
        <v>155</v>
      </c>
      <c r="B156" s="51" t="n">
        <v>2</v>
      </c>
      <c r="C156" s="11" t="s">
        <v>535</v>
      </c>
      <c r="D156" s="11" t="s">
        <v>536</v>
      </c>
      <c r="E156" s="51"/>
      <c r="F156" s="51"/>
      <c r="G156" s="51"/>
      <c r="H156" s="51"/>
      <c r="I156" s="51"/>
      <c r="J156" s="51"/>
      <c r="K156" s="12" t="n">
        <f aca="false">IFERROR(MIN(E156:J156),"")</f>
        <v>0</v>
      </c>
      <c r="L156" s="51" t="str">
        <f aca="false">IF(COUNT(E156:J156)&lt;2,"-",IF(LOOKUP(2,1/(E156:J156&lt;&gt;""),E156:J156)&lt;INDEX(E156:J156,MATCH(TRUE(),E156:J156&lt;&gt;"",0)),"↑",IF(LOOKUP(2,1/(E156:J156&lt;&gt;""),E156:J156)&gt;INDEX(E156:J156,MATCH(TRUE(),E156:J156&lt;&gt;"",0)),"↓","→")))</f>
        <v>-</v>
      </c>
    </row>
    <row r="157" customFormat="false" ht="25.5" hidden="false" customHeight="true" outlineLevel="0" collapsed="false">
      <c r="A157" s="51" t="n">
        <v>156</v>
      </c>
      <c r="B157" s="51" t="n">
        <v>2</v>
      </c>
      <c r="C157" s="13" t="s">
        <v>537</v>
      </c>
      <c r="D157" s="13" t="s">
        <v>538</v>
      </c>
      <c r="E157" s="51"/>
      <c r="F157" s="51"/>
      <c r="G157" s="51"/>
      <c r="H157" s="51"/>
      <c r="I157" s="51"/>
      <c r="J157" s="51"/>
      <c r="K157" s="12" t="n">
        <f aca="false">IFERROR(MIN(E157:J157),"")</f>
        <v>0</v>
      </c>
      <c r="L157" s="51" t="str">
        <f aca="false">IF(COUNT(E157:J157)&lt;2,"-",IF(LOOKUP(2,1/(E157:J157&lt;&gt;""),E157:J157)&lt;INDEX(E157:J157,MATCH(TRUE(),E157:J157&lt;&gt;"",0)),"↑",IF(LOOKUP(2,1/(E157:J157&lt;&gt;""),E157:J157)&gt;INDEX(E157:J157,MATCH(TRUE(),E157:J157&lt;&gt;"",0)),"↓","→")))</f>
        <v>-</v>
      </c>
    </row>
    <row r="158" customFormat="false" ht="25.5" hidden="false" customHeight="true" outlineLevel="0" collapsed="false">
      <c r="A158" s="51" t="n">
        <v>157</v>
      </c>
      <c r="B158" s="51" t="n">
        <v>2</v>
      </c>
      <c r="C158" s="11" t="s">
        <v>539</v>
      </c>
      <c r="D158" s="11" t="s">
        <v>540</v>
      </c>
      <c r="E158" s="51"/>
      <c r="F158" s="51"/>
      <c r="G158" s="51"/>
      <c r="H158" s="51"/>
      <c r="I158" s="51"/>
      <c r="J158" s="51"/>
      <c r="K158" s="12" t="n">
        <f aca="false">IFERROR(MIN(E158:J158),"")</f>
        <v>0</v>
      </c>
      <c r="L158" s="51" t="str">
        <f aca="false">IF(COUNT(E158:J158)&lt;2,"-",IF(LOOKUP(2,1/(E158:J158&lt;&gt;""),E158:J158)&lt;INDEX(E158:J158,MATCH(TRUE(),E158:J158&lt;&gt;"",0)),"↑",IF(LOOKUP(2,1/(E158:J158&lt;&gt;""),E158:J158)&gt;INDEX(E158:J158,MATCH(TRUE(),E158:J158&lt;&gt;"",0)),"↓","→")))</f>
        <v>-</v>
      </c>
    </row>
    <row r="159" customFormat="false" ht="25.5" hidden="false" customHeight="true" outlineLevel="0" collapsed="false">
      <c r="A159" s="51" t="n">
        <v>158</v>
      </c>
      <c r="B159" s="51" t="n">
        <v>2</v>
      </c>
      <c r="C159" s="13" t="s">
        <v>541</v>
      </c>
      <c r="D159" s="13" t="s">
        <v>542</v>
      </c>
      <c r="E159" s="51"/>
      <c r="F159" s="51"/>
      <c r="G159" s="51"/>
      <c r="H159" s="51"/>
      <c r="I159" s="51"/>
      <c r="J159" s="51"/>
      <c r="K159" s="12" t="n">
        <f aca="false">IFERROR(MIN(E159:J159),"")</f>
        <v>0</v>
      </c>
      <c r="L159" s="51" t="str">
        <f aca="false">IF(COUNT(E159:J159)&lt;2,"-",IF(LOOKUP(2,1/(E159:J159&lt;&gt;""),E159:J159)&lt;INDEX(E159:J159,MATCH(TRUE(),E159:J159&lt;&gt;"",0)),"↑",IF(LOOKUP(2,1/(E159:J159&lt;&gt;""),E159:J159)&gt;INDEX(E159:J159,MATCH(TRUE(),E159:J159&lt;&gt;"",0)),"↓","→")))</f>
        <v>-</v>
      </c>
    </row>
    <row r="160" customFormat="false" ht="25.5" hidden="false" customHeight="true" outlineLevel="0" collapsed="false">
      <c r="A160" s="51" t="n">
        <v>159</v>
      </c>
      <c r="B160" s="51" t="n">
        <v>2</v>
      </c>
      <c r="C160" s="11" t="s">
        <v>543</v>
      </c>
      <c r="D160" s="11" t="s">
        <v>544</v>
      </c>
      <c r="E160" s="51"/>
      <c r="F160" s="51"/>
      <c r="G160" s="51"/>
      <c r="H160" s="51"/>
      <c r="I160" s="51"/>
      <c r="J160" s="51"/>
      <c r="K160" s="12" t="n">
        <f aca="false">IFERROR(MIN(E160:J160),"")</f>
        <v>0</v>
      </c>
      <c r="L160" s="51" t="str">
        <f aca="false">IF(COUNT(E160:J160)&lt;2,"-",IF(LOOKUP(2,1/(E160:J160&lt;&gt;""),E160:J160)&lt;INDEX(E160:J160,MATCH(TRUE(),E160:J160&lt;&gt;"",0)),"↑",IF(LOOKUP(2,1/(E160:J160&lt;&gt;""),E160:J160)&gt;INDEX(E160:J160,MATCH(TRUE(),E160:J160&lt;&gt;"",0)),"↓","→")))</f>
        <v>-</v>
      </c>
    </row>
    <row r="161" customFormat="false" ht="25.5" hidden="false" customHeight="true" outlineLevel="0" collapsed="false">
      <c r="A161" s="51" t="n">
        <v>160</v>
      </c>
      <c r="B161" s="51" t="n">
        <v>2</v>
      </c>
      <c r="C161" s="13" t="s">
        <v>545</v>
      </c>
      <c r="D161" s="13" t="s">
        <v>546</v>
      </c>
      <c r="E161" s="51"/>
      <c r="F161" s="51"/>
      <c r="G161" s="51"/>
      <c r="H161" s="51"/>
      <c r="I161" s="51"/>
      <c r="J161" s="51"/>
      <c r="K161" s="12" t="n">
        <f aca="false">IFERROR(MIN(E161:J161),"")</f>
        <v>0</v>
      </c>
      <c r="L161" s="51" t="str">
        <f aca="false">IF(COUNT(E161:J161)&lt;2,"-",IF(LOOKUP(2,1/(E161:J161&lt;&gt;""),E161:J161)&lt;INDEX(E161:J161,MATCH(TRUE(),E161:J161&lt;&gt;"",0)),"↑",IF(LOOKUP(2,1/(E161:J161&lt;&gt;""),E161:J161)&gt;INDEX(E161:J161,MATCH(TRUE(),E161:J161&lt;&gt;"",0)),"↓","→")))</f>
        <v>-</v>
      </c>
    </row>
    <row r="162" customFormat="false" ht="25.5" hidden="false" customHeight="true" outlineLevel="0" collapsed="false">
      <c r="A162" s="51" t="n">
        <v>161</v>
      </c>
      <c r="B162" s="51" t="n">
        <v>2</v>
      </c>
      <c r="C162" s="11" t="s">
        <v>547</v>
      </c>
      <c r="D162" s="11" t="s">
        <v>548</v>
      </c>
      <c r="E162" s="51"/>
      <c r="F162" s="51"/>
      <c r="G162" s="51"/>
      <c r="H162" s="51"/>
      <c r="I162" s="51"/>
      <c r="J162" s="51"/>
      <c r="K162" s="12" t="n">
        <f aca="false">IFERROR(MIN(E162:J162),"")</f>
        <v>0</v>
      </c>
      <c r="L162" s="51" t="str">
        <f aca="false">IF(COUNT(E162:J162)&lt;2,"-",IF(LOOKUP(2,1/(E162:J162&lt;&gt;""),E162:J162)&lt;INDEX(E162:J162,MATCH(TRUE(),E162:J162&lt;&gt;"",0)),"↑",IF(LOOKUP(2,1/(E162:J162&lt;&gt;""),E162:J162)&gt;INDEX(E162:J162,MATCH(TRUE(),E162:J162&lt;&gt;"",0)),"↓","→")))</f>
        <v>-</v>
      </c>
    </row>
    <row r="163" customFormat="false" ht="25.5" hidden="false" customHeight="true" outlineLevel="0" collapsed="false">
      <c r="A163" s="51" t="n">
        <v>162</v>
      </c>
      <c r="B163" s="51" t="n">
        <v>2</v>
      </c>
      <c r="C163" s="13" t="s">
        <v>549</v>
      </c>
      <c r="D163" s="13" t="s">
        <v>550</v>
      </c>
      <c r="E163" s="51"/>
      <c r="F163" s="51"/>
      <c r="G163" s="51"/>
      <c r="H163" s="51"/>
      <c r="I163" s="51"/>
      <c r="J163" s="51"/>
      <c r="K163" s="12" t="n">
        <f aca="false">IFERROR(MIN(E163:J163),"")</f>
        <v>0</v>
      </c>
      <c r="L163" s="51" t="str">
        <f aca="false">IF(COUNT(E163:J163)&lt;2,"-",IF(LOOKUP(2,1/(E163:J163&lt;&gt;""),E163:J163)&lt;INDEX(E163:J163,MATCH(TRUE(),E163:J163&lt;&gt;"",0)),"↑",IF(LOOKUP(2,1/(E163:J163&lt;&gt;""),E163:J163)&gt;INDEX(E163:J163,MATCH(TRUE(),E163:J163&lt;&gt;"",0)),"↓","→")))</f>
        <v>-</v>
      </c>
    </row>
    <row r="164" customFormat="false" ht="25.5" hidden="false" customHeight="true" outlineLevel="0" collapsed="false">
      <c r="A164" s="51" t="n">
        <v>163</v>
      </c>
      <c r="B164" s="51" t="n">
        <v>2</v>
      </c>
      <c r="C164" s="11" t="s">
        <v>551</v>
      </c>
      <c r="D164" s="11" t="s">
        <v>552</v>
      </c>
      <c r="E164" s="51"/>
      <c r="F164" s="51"/>
      <c r="G164" s="51"/>
      <c r="H164" s="51"/>
      <c r="I164" s="51"/>
      <c r="J164" s="51"/>
      <c r="K164" s="12" t="n">
        <f aca="false">IFERROR(MIN(E164:J164),"")</f>
        <v>0</v>
      </c>
      <c r="L164" s="51" t="str">
        <f aca="false">IF(COUNT(E164:J164)&lt;2,"-",IF(LOOKUP(2,1/(E164:J164&lt;&gt;""),E164:J164)&lt;INDEX(E164:J164,MATCH(TRUE(),E164:J164&lt;&gt;"",0)),"↑",IF(LOOKUP(2,1/(E164:J164&lt;&gt;""),E164:J164)&gt;INDEX(E164:J164,MATCH(TRUE(),E164:J164&lt;&gt;"",0)),"↓","→")))</f>
        <v>-</v>
      </c>
    </row>
    <row r="165" customFormat="false" ht="25.5" hidden="false" customHeight="true" outlineLevel="0" collapsed="false">
      <c r="A165" s="51" t="n">
        <v>164</v>
      </c>
      <c r="B165" s="51" t="n">
        <v>2</v>
      </c>
      <c r="C165" s="13" t="s">
        <v>553</v>
      </c>
      <c r="D165" s="13" t="s">
        <v>554</v>
      </c>
      <c r="E165" s="51"/>
      <c r="F165" s="51"/>
      <c r="G165" s="51"/>
      <c r="H165" s="51"/>
      <c r="I165" s="51"/>
      <c r="J165" s="51"/>
      <c r="K165" s="12" t="n">
        <f aca="false">IFERROR(MIN(E165:J165),"")</f>
        <v>0</v>
      </c>
      <c r="L165" s="51" t="str">
        <f aca="false">IF(COUNT(E165:J165)&lt;2,"-",IF(LOOKUP(2,1/(E165:J165&lt;&gt;""),E165:J165)&lt;INDEX(E165:J165,MATCH(TRUE(),E165:J165&lt;&gt;"",0)),"↑",IF(LOOKUP(2,1/(E165:J165&lt;&gt;""),E165:J165)&gt;INDEX(E165:J165,MATCH(TRUE(),E165:J165&lt;&gt;"",0)),"↓","→")))</f>
        <v>-</v>
      </c>
    </row>
    <row r="166" customFormat="false" ht="25.5" hidden="false" customHeight="true" outlineLevel="0" collapsed="false">
      <c r="A166" s="51" t="n">
        <v>165</v>
      </c>
      <c r="B166" s="51" t="n">
        <v>2</v>
      </c>
      <c r="C166" s="11" t="s">
        <v>555</v>
      </c>
      <c r="D166" s="11" t="s">
        <v>556</v>
      </c>
      <c r="E166" s="51"/>
      <c r="F166" s="51"/>
      <c r="G166" s="51"/>
      <c r="H166" s="51"/>
      <c r="I166" s="51"/>
      <c r="J166" s="51"/>
      <c r="K166" s="12" t="n">
        <f aca="false">IFERROR(MIN(E166:J166),"")</f>
        <v>0</v>
      </c>
      <c r="L166" s="51" t="str">
        <f aca="false">IF(COUNT(E166:J166)&lt;2,"-",IF(LOOKUP(2,1/(E166:J166&lt;&gt;""),E166:J166)&lt;INDEX(E166:J166,MATCH(TRUE(),E166:J166&lt;&gt;"",0)),"↑",IF(LOOKUP(2,1/(E166:J166&lt;&gt;""),E166:J166)&gt;INDEX(E166:J166,MATCH(TRUE(),E166:J166&lt;&gt;"",0)),"↓","→")))</f>
        <v>-</v>
      </c>
    </row>
    <row r="167" customFormat="false" ht="25.5" hidden="false" customHeight="true" outlineLevel="0" collapsed="false">
      <c r="A167" s="51" t="n">
        <v>166</v>
      </c>
      <c r="B167" s="51" t="n">
        <v>2</v>
      </c>
      <c r="C167" s="13" t="s">
        <v>557</v>
      </c>
      <c r="D167" s="13" t="s">
        <v>558</v>
      </c>
      <c r="E167" s="51"/>
      <c r="F167" s="51"/>
      <c r="G167" s="51"/>
      <c r="H167" s="51"/>
      <c r="I167" s="51"/>
      <c r="J167" s="51"/>
      <c r="K167" s="12" t="n">
        <f aca="false">IFERROR(MIN(E167:J167),"")</f>
        <v>0</v>
      </c>
      <c r="L167" s="51" t="str">
        <f aca="false">IF(COUNT(E167:J167)&lt;2,"-",IF(LOOKUP(2,1/(E167:J167&lt;&gt;""),E167:J167)&lt;INDEX(E167:J167,MATCH(TRUE(),E167:J167&lt;&gt;"",0)),"↑",IF(LOOKUP(2,1/(E167:J167&lt;&gt;""),E167:J167)&gt;INDEX(E167:J167,MATCH(TRUE(),E167:J167&lt;&gt;"",0)),"↓","→")))</f>
        <v>-</v>
      </c>
    </row>
    <row r="168" customFormat="false" ht="25.5" hidden="false" customHeight="true" outlineLevel="0" collapsed="false">
      <c r="A168" s="51" t="n">
        <v>167</v>
      </c>
      <c r="B168" s="51" t="n">
        <v>2</v>
      </c>
      <c r="C168" s="11" t="s">
        <v>559</v>
      </c>
      <c r="D168" s="11" t="s">
        <v>560</v>
      </c>
      <c r="E168" s="51"/>
      <c r="F168" s="51"/>
      <c r="G168" s="51"/>
      <c r="H168" s="51"/>
      <c r="I168" s="51"/>
      <c r="J168" s="51"/>
      <c r="K168" s="12" t="n">
        <f aca="false">IFERROR(MIN(E168:J168),"")</f>
        <v>0</v>
      </c>
      <c r="L168" s="51" t="str">
        <f aca="false">IF(COUNT(E168:J168)&lt;2,"-",IF(LOOKUP(2,1/(E168:J168&lt;&gt;""),E168:J168)&lt;INDEX(E168:J168,MATCH(TRUE(),E168:J168&lt;&gt;"",0)),"↑",IF(LOOKUP(2,1/(E168:J168&lt;&gt;""),E168:J168)&gt;INDEX(E168:J168,MATCH(TRUE(),E168:J168&lt;&gt;"",0)),"↓","→")))</f>
        <v>-</v>
      </c>
    </row>
    <row r="169" customFormat="false" ht="25.5" hidden="false" customHeight="true" outlineLevel="0" collapsed="false">
      <c r="A169" s="51" t="n">
        <v>168</v>
      </c>
      <c r="B169" s="51" t="n">
        <v>2</v>
      </c>
      <c r="C169" s="13" t="s">
        <v>561</v>
      </c>
      <c r="D169" s="13" t="s">
        <v>562</v>
      </c>
      <c r="E169" s="51"/>
      <c r="F169" s="51"/>
      <c r="G169" s="51"/>
      <c r="H169" s="51"/>
      <c r="I169" s="51"/>
      <c r="J169" s="51"/>
      <c r="K169" s="12" t="n">
        <f aca="false">IFERROR(MIN(E169:J169),"")</f>
        <v>0</v>
      </c>
      <c r="L169" s="51" t="str">
        <f aca="false">IF(COUNT(E169:J169)&lt;2,"-",IF(LOOKUP(2,1/(E169:J169&lt;&gt;""),E169:J169)&lt;INDEX(E169:J169,MATCH(TRUE(),E169:J169&lt;&gt;"",0)),"↑",IF(LOOKUP(2,1/(E169:J169&lt;&gt;""),E169:J169)&gt;INDEX(E169:J169,MATCH(TRUE(),E169:J169&lt;&gt;"",0)),"↓","→")))</f>
        <v>-</v>
      </c>
    </row>
    <row r="170" customFormat="false" ht="25.5" hidden="false" customHeight="true" outlineLevel="0" collapsed="false">
      <c r="A170" s="51" t="n">
        <v>169</v>
      </c>
      <c r="B170" s="51" t="n">
        <v>2</v>
      </c>
      <c r="C170" s="11" t="s">
        <v>563</v>
      </c>
      <c r="D170" s="11" t="s">
        <v>564</v>
      </c>
      <c r="E170" s="51"/>
      <c r="F170" s="51"/>
      <c r="G170" s="51"/>
      <c r="H170" s="51"/>
      <c r="I170" s="51"/>
      <c r="J170" s="51"/>
      <c r="K170" s="12" t="n">
        <f aca="false">IFERROR(MIN(E170:J170),"")</f>
        <v>0</v>
      </c>
      <c r="L170" s="51" t="str">
        <f aca="false">IF(COUNT(E170:J170)&lt;2,"-",IF(LOOKUP(2,1/(E170:J170&lt;&gt;""),E170:J170)&lt;INDEX(E170:J170,MATCH(TRUE(),E170:J170&lt;&gt;"",0)),"↑",IF(LOOKUP(2,1/(E170:J170&lt;&gt;""),E170:J170)&gt;INDEX(E170:J170,MATCH(TRUE(),E170:J170&lt;&gt;"",0)),"↓","→")))</f>
        <v>-</v>
      </c>
    </row>
    <row r="171" customFormat="false" ht="25.5" hidden="false" customHeight="true" outlineLevel="0" collapsed="false">
      <c r="A171" s="51" t="n">
        <v>170</v>
      </c>
      <c r="B171" s="51" t="n">
        <v>2</v>
      </c>
      <c r="C171" s="13" t="s">
        <v>565</v>
      </c>
      <c r="D171" s="13" t="s">
        <v>566</v>
      </c>
      <c r="E171" s="51"/>
      <c r="F171" s="51"/>
      <c r="G171" s="51"/>
      <c r="H171" s="51"/>
      <c r="I171" s="51"/>
      <c r="J171" s="51"/>
      <c r="K171" s="12" t="n">
        <f aca="false">IFERROR(MIN(E171:J171),"")</f>
        <v>0</v>
      </c>
      <c r="L171" s="51" t="str">
        <f aca="false">IF(COUNT(E171:J171)&lt;2,"-",IF(LOOKUP(2,1/(E171:J171&lt;&gt;""),E171:J171)&lt;INDEX(E171:J171,MATCH(TRUE(),E171:J171&lt;&gt;"",0)),"↑",IF(LOOKUP(2,1/(E171:J171&lt;&gt;""),E171:J171)&gt;INDEX(E171:J171,MATCH(TRUE(),E171:J171&lt;&gt;"",0)),"↓","→")))</f>
        <v>-</v>
      </c>
    </row>
    <row r="172" customFormat="false" ht="25.5" hidden="false" customHeight="true" outlineLevel="0" collapsed="false">
      <c r="A172" s="51" t="n">
        <v>171</v>
      </c>
      <c r="B172" s="51" t="n">
        <v>2</v>
      </c>
      <c r="C172" s="11" t="s">
        <v>567</v>
      </c>
      <c r="D172" s="11" t="s">
        <v>568</v>
      </c>
      <c r="E172" s="51"/>
      <c r="F172" s="51"/>
      <c r="G172" s="51"/>
      <c r="H172" s="51"/>
      <c r="I172" s="51"/>
      <c r="J172" s="51"/>
      <c r="K172" s="12" t="n">
        <f aca="false">IFERROR(MIN(E172:J172),"")</f>
        <v>0</v>
      </c>
      <c r="L172" s="51" t="str">
        <f aca="false">IF(COUNT(E172:J172)&lt;2,"-",IF(LOOKUP(2,1/(E172:J172&lt;&gt;""),E172:J172)&lt;INDEX(E172:J172,MATCH(TRUE(),E172:J172&lt;&gt;"",0)),"↑",IF(LOOKUP(2,1/(E172:J172&lt;&gt;""),E172:J172)&gt;INDEX(E172:J172,MATCH(TRUE(),E172:J172&lt;&gt;"",0)),"↓","→")))</f>
        <v>-</v>
      </c>
    </row>
    <row r="173" customFormat="false" ht="25.5" hidden="false" customHeight="true" outlineLevel="0" collapsed="false">
      <c r="A173" s="51" t="n">
        <v>172</v>
      </c>
      <c r="B173" s="51" t="n">
        <v>2</v>
      </c>
      <c r="C173" s="13" t="s">
        <v>569</v>
      </c>
      <c r="D173" s="13" t="s">
        <v>570</v>
      </c>
      <c r="E173" s="51"/>
      <c r="F173" s="51"/>
      <c r="G173" s="51"/>
      <c r="H173" s="51"/>
      <c r="I173" s="51"/>
      <c r="J173" s="51"/>
      <c r="K173" s="12" t="n">
        <f aca="false">IFERROR(MIN(E173:J173),"")</f>
        <v>0</v>
      </c>
      <c r="L173" s="51" t="str">
        <f aca="false">IF(COUNT(E173:J173)&lt;2,"-",IF(LOOKUP(2,1/(E173:J173&lt;&gt;""),E173:J173)&lt;INDEX(E173:J173,MATCH(TRUE(),E173:J173&lt;&gt;"",0)),"↑",IF(LOOKUP(2,1/(E173:J173&lt;&gt;""),E173:J173)&gt;INDEX(E173:J173,MATCH(TRUE(),E173:J173&lt;&gt;"",0)),"↓","→")))</f>
        <v>-</v>
      </c>
    </row>
    <row r="174" customFormat="false" ht="25.5" hidden="false" customHeight="true" outlineLevel="0" collapsed="false">
      <c r="A174" s="51" t="n">
        <v>173</v>
      </c>
      <c r="B174" s="51" t="n">
        <v>2</v>
      </c>
      <c r="C174" s="11" t="s">
        <v>571</v>
      </c>
      <c r="D174" s="11" t="s">
        <v>573</v>
      </c>
      <c r="E174" s="51"/>
      <c r="F174" s="51"/>
      <c r="G174" s="51"/>
      <c r="H174" s="51"/>
      <c r="I174" s="51"/>
      <c r="J174" s="51"/>
      <c r="K174" s="12" t="n">
        <f aca="false">IFERROR(MIN(E174:J174),"")</f>
        <v>0</v>
      </c>
      <c r="L174" s="51" t="str">
        <f aca="false">IF(COUNT(E174:J174)&lt;2,"-",IF(LOOKUP(2,1/(E174:J174&lt;&gt;""),E174:J174)&lt;INDEX(E174:J174,MATCH(TRUE(),E174:J174&lt;&gt;"",0)),"↑",IF(LOOKUP(2,1/(E174:J174&lt;&gt;""),E174:J174)&gt;INDEX(E174:J174,MATCH(TRUE(),E174:J174&lt;&gt;"",0)),"↓","→")))</f>
        <v>-</v>
      </c>
    </row>
    <row r="175" customFormat="false" ht="25.5" hidden="false" customHeight="true" outlineLevel="0" collapsed="false">
      <c r="A175" s="51" t="n">
        <v>174</v>
      </c>
      <c r="B175" s="51" t="n">
        <v>2</v>
      </c>
      <c r="C175" s="13" t="s">
        <v>574</v>
      </c>
      <c r="D175" s="13" t="s">
        <v>575</v>
      </c>
      <c r="E175" s="51"/>
      <c r="F175" s="51"/>
      <c r="G175" s="51"/>
      <c r="H175" s="51"/>
      <c r="I175" s="51"/>
      <c r="J175" s="51"/>
      <c r="K175" s="12" t="n">
        <f aca="false">IFERROR(MIN(E175:J175),"")</f>
        <v>0</v>
      </c>
      <c r="L175" s="51" t="str">
        <f aca="false">IF(COUNT(E175:J175)&lt;2,"-",IF(LOOKUP(2,1/(E175:J175&lt;&gt;""),E175:J175)&lt;INDEX(E175:J175,MATCH(TRUE(),E175:J175&lt;&gt;"",0)),"↑",IF(LOOKUP(2,1/(E175:J175&lt;&gt;""),E175:J175)&gt;INDEX(E175:J175,MATCH(TRUE(),E175:J175&lt;&gt;"",0)),"↓","→")))</f>
        <v>-</v>
      </c>
    </row>
    <row r="176" customFormat="false" ht="25.5" hidden="false" customHeight="true" outlineLevel="0" collapsed="false">
      <c r="A176" s="51" t="n">
        <v>175</v>
      </c>
      <c r="B176" s="51" t="n">
        <v>2</v>
      </c>
      <c r="C176" s="11" t="s">
        <v>576</v>
      </c>
      <c r="D176" s="11" t="s">
        <v>577</v>
      </c>
      <c r="E176" s="51"/>
      <c r="F176" s="51"/>
      <c r="G176" s="51"/>
      <c r="H176" s="51"/>
      <c r="I176" s="51"/>
      <c r="J176" s="51"/>
      <c r="K176" s="12" t="n">
        <f aca="false">IFERROR(MIN(E176:J176),"")</f>
        <v>0</v>
      </c>
      <c r="L176" s="51" t="str">
        <f aca="false">IF(COUNT(E176:J176)&lt;2,"-",IF(LOOKUP(2,1/(E176:J176&lt;&gt;""),E176:J176)&lt;INDEX(E176:J176,MATCH(TRUE(),E176:J176&lt;&gt;"",0)),"↑",IF(LOOKUP(2,1/(E176:J176&lt;&gt;""),E176:J176)&gt;INDEX(E176:J176,MATCH(TRUE(),E176:J176&lt;&gt;"",0)),"↓","→")))</f>
        <v>-</v>
      </c>
    </row>
    <row r="177" customFormat="false" ht="25.5" hidden="false" customHeight="true" outlineLevel="0" collapsed="false">
      <c r="A177" s="51" t="n">
        <v>176</v>
      </c>
      <c r="B177" s="51" t="n">
        <v>2</v>
      </c>
      <c r="C177" s="13" t="s">
        <v>578</v>
      </c>
      <c r="D177" s="13" t="s">
        <v>579</v>
      </c>
      <c r="E177" s="51"/>
      <c r="F177" s="51"/>
      <c r="G177" s="51"/>
      <c r="H177" s="51"/>
      <c r="I177" s="51"/>
      <c r="J177" s="51"/>
      <c r="K177" s="12" t="n">
        <f aca="false">IFERROR(MIN(E177:J177),"")</f>
        <v>0</v>
      </c>
      <c r="L177" s="51" t="str">
        <f aca="false">IF(COUNT(E177:J177)&lt;2,"-",IF(LOOKUP(2,1/(E177:J177&lt;&gt;""),E177:J177)&lt;INDEX(E177:J177,MATCH(TRUE(),E177:J177&lt;&gt;"",0)),"↑",IF(LOOKUP(2,1/(E177:J177&lt;&gt;""),E177:J177)&gt;INDEX(E177:J177,MATCH(TRUE(),E177:J177&lt;&gt;"",0)),"↓","→")))</f>
        <v>-</v>
      </c>
    </row>
    <row r="178" customFormat="false" ht="25.5" hidden="false" customHeight="true" outlineLevel="0" collapsed="false">
      <c r="A178" s="51" t="n">
        <v>177</v>
      </c>
      <c r="B178" s="51" t="n">
        <v>2</v>
      </c>
      <c r="C178" s="11" t="s">
        <v>580</v>
      </c>
      <c r="D178" s="11" t="s">
        <v>581</v>
      </c>
      <c r="E178" s="51"/>
      <c r="F178" s="51"/>
      <c r="G178" s="51"/>
      <c r="H178" s="51"/>
      <c r="I178" s="51"/>
      <c r="J178" s="51"/>
      <c r="K178" s="12" t="n">
        <f aca="false">IFERROR(MIN(E178:J178),"")</f>
        <v>0</v>
      </c>
      <c r="L178" s="51" t="str">
        <f aca="false">IF(COUNT(E178:J178)&lt;2,"-",IF(LOOKUP(2,1/(E178:J178&lt;&gt;""),E178:J178)&lt;INDEX(E178:J178,MATCH(TRUE(),E178:J178&lt;&gt;"",0)),"↑",IF(LOOKUP(2,1/(E178:J178&lt;&gt;""),E178:J178)&gt;INDEX(E178:J178,MATCH(TRUE(),E178:J178&lt;&gt;"",0)),"↓","→")))</f>
        <v>-</v>
      </c>
    </row>
    <row r="179" customFormat="false" ht="25.5" hidden="false" customHeight="true" outlineLevel="0" collapsed="false">
      <c r="A179" s="51" t="n">
        <v>178</v>
      </c>
      <c r="B179" s="51" t="n">
        <v>2</v>
      </c>
      <c r="C179" s="13" t="s">
        <v>582</v>
      </c>
      <c r="D179" s="13" t="s">
        <v>583</v>
      </c>
      <c r="E179" s="51"/>
      <c r="F179" s="51"/>
      <c r="G179" s="51"/>
      <c r="H179" s="51"/>
      <c r="I179" s="51"/>
      <c r="J179" s="51"/>
      <c r="K179" s="12" t="n">
        <f aca="false">IFERROR(MIN(E179:J179),"")</f>
        <v>0</v>
      </c>
      <c r="L179" s="51" t="str">
        <f aca="false">IF(COUNT(E179:J179)&lt;2,"-",IF(LOOKUP(2,1/(E179:J179&lt;&gt;""),E179:J179)&lt;INDEX(E179:J179,MATCH(TRUE(),E179:J179&lt;&gt;"",0)),"↑",IF(LOOKUP(2,1/(E179:J179&lt;&gt;""),E179:J179)&gt;INDEX(E179:J179,MATCH(TRUE(),E179:J179&lt;&gt;"",0)),"↓","→")))</f>
        <v>-</v>
      </c>
    </row>
    <row r="180" customFormat="false" ht="25.5" hidden="false" customHeight="true" outlineLevel="0" collapsed="false">
      <c r="A180" s="51" t="n">
        <v>179</v>
      </c>
      <c r="B180" s="51" t="n">
        <v>2</v>
      </c>
      <c r="C180" s="11" t="s">
        <v>584</v>
      </c>
      <c r="D180" s="11" t="s">
        <v>585</v>
      </c>
      <c r="E180" s="51"/>
      <c r="F180" s="51"/>
      <c r="G180" s="51"/>
      <c r="H180" s="51"/>
      <c r="I180" s="51"/>
      <c r="J180" s="51"/>
      <c r="K180" s="12" t="n">
        <f aca="false">IFERROR(MIN(E180:J180),"")</f>
        <v>0</v>
      </c>
      <c r="L180" s="51" t="str">
        <f aca="false">IF(COUNT(E180:J180)&lt;2,"-",IF(LOOKUP(2,1/(E180:J180&lt;&gt;""),E180:J180)&lt;INDEX(E180:J180,MATCH(TRUE(),E180:J180&lt;&gt;"",0)),"↑",IF(LOOKUP(2,1/(E180:J180&lt;&gt;""),E180:J180)&gt;INDEX(E180:J180,MATCH(TRUE(),E180:J180&lt;&gt;"",0)),"↓","→")))</f>
        <v>-</v>
      </c>
    </row>
    <row r="181" customFormat="false" ht="25.5" hidden="false" customHeight="true" outlineLevel="0" collapsed="false">
      <c r="A181" s="51" t="n">
        <v>180</v>
      </c>
      <c r="B181" s="51" t="n">
        <v>2</v>
      </c>
      <c r="C181" s="13" t="s">
        <v>586</v>
      </c>
      <c r="D181" s="13" t="s">
        <v>587</v>
      </c>
      <c r="E181" s="51"/>
      <c r="F181" s="51"/>
      <c r="G181" s="51"/>
      <c r="H181" s="51"/>
      <c r="I181" s="51"/>
      <c r="J181" s="51"/>
      <c r="K181" s="12" t="n">
        <f aca="false">IFERROR(MIN(E181:J181),"")</f>
        <v>0</v>
      </c>
      <c r="L181" s="51" t="str">
        <f aca="false">IF(COUNT(E181:J181)&lt;2,"-",IF(LOOKUP(2,1/(E181:J181&lt;&gt;""),E181:J181)&lt;INDEX(E181:J181,MATCH(TRUE(),E181:J181&lt;&gt;"",0)),"↑",IF(LOOKUP(2,1/(E181:J181&lt;&gt;""),E181:J181)&gt;INDEX(E181:J181,MATCH(TRUE(),E181:J181&lt;&gt;"",0)),"↓","→")))</f>
        <v>-</v>
      </c>
    </row>
    <row r="182" customFormat="false" ht="25.5" hidden="false" customHeight="true" outlineLevel="0" collapsed="false">
      <c r="A182" s="51" t="n">
        <v>181</v>
      </c>
      <c r="B182" s="51" t="n">
        <v>2</v>
      </c>
      <c r="C182" s="11" t="s">
        <v>588</v>
      </c>
      <c r="D182" s="11" t="s">
        <v>589</v>
      </c>
      <c r="E182" s="51"/>
      <c r="F182" s="51"/>
      <c r="G182" s="51"/>
      <c r="H182" s="51"/>
      <c r="I182" s="51"/>
      <c r="J182" s="51"/>
      <c r="K182" s="12" t="n">
        <f aca="false">IFERROR(MIN(E182:J182),"")</f>
        <v>0</v>
      </c>
      <c r="L182" s="51" t="str">
        <f aca="false">IF(COUNT(E182:J182)&lt;2,"-",IF(LOOKUP(2,1/(E182:J182&lt;&gt;""),E182:J182)&lt;INDEX(E182:J182,MATCH(TRUE(),E182:J182&lt;&gt;"",0)),"↑",IF(LOOKUP(2,1/(E182:J182&lt;&gt;""),E182:J182)&gt;INDEX(E182:J182,MATCH(TRUE(),E182:J182&lt;&gt;"",0)),"↓","→")))</f>
        <v>-</v>
      </c>
    </row>
    <row r="183" customFormat="false" ht="25.5" hidden="false" customHeight="true" outlineLevel="0" collapsed="false">
      <c r="A183" s="51" t="n">
        <v>182</v>
      </c>
      <c r="B183" s="51" t="n">
        <v>2</v>
      </c>
      <c r="C183" s="13" t="s">
        <v>590</v>
      </c>
      <c r="D183" s="13" t="s">
        <v>591</v>
      </c>
      <c r="E183" s="51"/>
      <c r="F183" s="51"/>
      <c r="G183" s="51"/>
      <c r="H183" s="51"/>
      <c r="I183" s="51"/>
      <c r="J183" s="51"/>
      <c r="K183" s="12" t="n">
        <f aca="false">IFERROR(MIN(E183:J183),"")</f>
        <v>0</v>
      </c>
      <c r="L183" s="51" t="str">
        <f aca="false">IF(COUNT(E183:J183)&lt;2,"-",IF(LOOKUP(2,1/(E183:J183&lt;&gt;""),E183:J183)&lt;INDEX(E183:J183,MATCH(TRUE(),E183:J183&lt;&gt;"",0)),"↑",IF(LOOKUP(2,1/(E183:J183&lt;&gt;""),E183:J183)&gt;INDEX(E183:J183,MATCH(TRUE(),E183:J183&lt;&gt;"",0)),"↓","→")))</f>
        <v>-</v>
      </c>
    </row>
    <row r="184" customFormat="false" ht="25.5" hidden="false" customHeight="true" outlineLevel="0" collapsed="false">
      <c r="A184" s="51" t="n">
        <v>183</v>
      </c>
      <c r="B184" s="51" t="n">
        <v>2</v>
      </c>
      <c r="C184" s="11" t="s">
        <v>592</v>
      </c>
      <c r="D184" s="11" t="s">
        <v>593</v>
      </c>
      <c r="E184" s="51"/>
      <c r="F184" s="51"/>
      <c r="G184" s="51"/>
      <c r="H184" s="51"/>
      <c r="I184" s="51"/>
      <c r="J184" s="51"/>
      <c r="K184" s="12" t="n">
        <f aca="false">IFERROR(MIN(E184:J184),"")</f>
        <v>0</v>
      </c>
      <c r="L184" s="51" t="str">
        <f aca="false">IF(COUNT(E184:J184)&lt;2,"-",IF(LOOKUP(2,1/(E184:J184&lt;&gt;""),E184:J184)&lt;INDEX(E184:J184,MATCH(TRUE(),E184:J184&lt;&gt;"",0)),"↑",IF(LOOKUP(2,1/(E184:J184&lt;&gt;""),E184:J184)&gt;INDEX(E184:J184,MATCH(TRUE(),E184:J184&lt;&gt;"",0)),"↓","→")))</f>
        <v>-</v>
      </c>
    </row>
    <row r="185" customFormat="false" ht="25.5" hidden="false" customHeight="true" outlineLevel="0" collapsed="false">
      <c r="A185" s="51" t="n">
        <v>184</v>
      </c>
      <c r="B185" s="51" t="n">
        <v>2</v>
      </c>
      <c r="C185" s="13" t="s">
        <v>594</v>
      </c>
      <c r="D185" s="13" t="s">
        <v>595</v>
      </c>
      <c r="E185" s="51"/>
      <c r="F185" s="51"/>
      <c r="G185" s="51"/>
      <c r="H185" s="51"/>
      <c r="I185" s="51"/>
      <c r="J185" s="51"/>
      <c r="K185" s="12" t="n">
        <f aca="false">IFERROR(MIN(E185:J185),"")</f>
        <v>0</v>
      </c>
      <c r="L185" s="51" t="str">
        <f aca="false">IF(COUNT(E185:J185)&lt;2,"-",IF(LOOKUP(2,1/(E185:J185&lt;&gt;""),E185:J185)&lt;INDEX(E185:J185,MATCH(TRUE(),E185:J185&lt;&gt;"",0)),"↑",IF(LOOKUP(2,1/(E185:J185&lt;&gt;""),E185:J185)&gt;INDEX(E185:J185,MATCH(TRUE(),E185:J185&lt;&gt;"",0)),"↓","→")))</f>
        <v>-</v>
      </c>
    </row>
    <row r="186" customFormat="false" ht="25.5" hidden="false" customHeight="true" outlineLevel="0" collapsed="false">
      <c r="A186" s="51" t="n">
        <v>185</v>
      </c>
      <c r="B186" s="51" t="n">
        <v>2</v>
      </c>
      <c r="C186" s="11" t="s">
        <v>596</v>
      </c>
      <c r="D186" s="11" t="s">
        <v>597</v>
      </c>
      <c r="E186" s="51"/>
      <c r="F186" s="51"/>
      <c r="G186" s="51"/>
      <c r="H186" s="51"/>
      <c r="I186" s="51"/>
      <c r="J186" s="51"/>
      <c r="K186" s="12" t="n">
        <f aca="false">IFERROR(MIN(E186:J186),"")</f>
        <v>0</v>
      </c>
      <c r="L186" s="51" t="str">
        <f aca="false">IF(COUNT(E186:J186)&lt;2,"-",IF(LOOKUP(2,1/(E186:J186&lt;&gt;""),E186:J186)&lt;INDEX(E186:J186,MATCH(TRUE(),E186:J186&lt;&gt;"",0)),"↑",IF(LOOKUP(2,1/(E186:J186&lt;&gt;""),E186:J186)&gt;INDEX(E186:J186,MATCH(TRUE(),E186:J186&lt;&gt;"",0)),"↓","→")))</f>
        <v>-</v>
      </c>
    </row>
    <row r="187" customFormat="false" ht="25.5" hidden="false" customHeight="true" outlineLevel="0" collapsed="false">
      <c r="A187" s="51" t="n">
        <v>186</v>
      </c>
      <c r="B187" s="51" t="n">
        <v>2</v>
      </c>
      <c r="C187" s="13" t="s">
        <v>598</v>
      </c>
      <c r="D187" s="13" t="s">
        <v>599</v>
      </c>
      <c r="E187" s="51"/>
      <c r="F187" s="51"/>
      <c r="G187" s="51"/>
      <c r="H187" s="51"/>
      <c r="I187" s="51"/>
      <c r="J187" s="51"/>
      <c r="K187" s="12" t="n">
        <f aca="false">IFERROR(MIN(E187:J187),"")</f>
        <v>0</v>
      </c>
      <c r="L187" s="51" t="str">
        <f aca="false">IF(COUNT(E187:J187)&lt;2,"-",IF(LOOKUP(2,1/(E187:J187&lt;&gt;""),E187:J187)&lt;INDEX(E187:J187,MATCH(TRUE(),E187:J187&lt;&gt;"",0)),"↑",IF(LOOKUP(2,1/(E187:J187&lt;&gt;""),E187:J187)&gt;INDEX(E187:J187,MATCH(TRUE(),E187:J187&lt;&gt;"",0)),"↓","→")))</f>
        <v>-</v>
      </c>
    </row>
    <row r="188" customFormat="false" ht="25.5" hidden="false" customHeight="true" outlineLevel="0" collapsed="false">
      <c r="A188" s="51" t="n">
        <v>187</v>
      </c>
      <c r="B188" s="51" t="n">
        <v>2</v>
      </c>
      <c r="C188" s="11" t="s">
        <v>600</v>
      </c>
      <c r="D188" s="11" t="s">
        <v>601</v>
      </c>
      <c r="E188" s="51"/>
      <c r="F188" s="51"/>
      <c r="G188" s="51"/>
      <c r="H188" s="51"/>
      <c r="I188" s="51"/>
      <c r="J188" s="51"/>
      <c r="K188" s="12" t="n">
        <f aca="false">IFERROR(MIN(E188:J188),"")</f>
        <v>0</v>
      </c>
      <c r="L188" s="51" t="str">
        <f aca="false">IF(COUNT(E188:J188)&lt;2,"-",IF(LOOKUP(2,1/(E188:J188&lt;&gt;""),E188:J188)&lt;INDEX(E188:J188,MATCH(TRUE(),E188:J188&lt;&gt;"",0)),"↑",IF(LOOKUP(2,1/(E188:J188&lt;&gt;""),E188:J188)&gt;INDEX(E188:J188,MATCH(TRUE(),E188:J188&lt;&gt;"",0)),"↓","→")))</f>
        <v>-</v>
      </c>
    </row>
    <row r="189" customFormat="false" ht="25.5" hidden="false" customHeight="true" outlineLevel="0" collapsed="false">
      <c r="A189" s="51" t="n">
        <v>188</v>
      </c>
      <c r="B189" s="51" t="n">
        <v>2</v>
      </c>
      <c r="C189" s="13" t="s">
        <v>602</v>
      </c>
      <c r="D189" s="13" t="s">
        <v>603</v>
      </c>
      <c r="E189" s="51"/>
      <c r="F189" s="51"/>
      <c r="G189" s="51"/>
      <c r="H189" s="51"/>
      <c r="I189" s="51"/>
      <c r="J189" s="51"/>
      <c r="K189" s="12" t="n">
        <f aca="false">IFERROR(MIN(E189:J189),"")</f>
        <v>0</v>
      </c>
      <c r="L189" s="51" t="str">
        <f aca="false">IF(COUNT(E189:J189)&lt;2,"-",IF(LOOKUP(2,1/(E189:J189&lt;&gt;""),E189:J189)&lt;INDEX(E189:J189,MATCH(TRUE(),E189:J189&lt;&gt;"",0)),"↑",IF(LOOKUP(2,1/(E189:J189&lt;&gt;""),E189:J189)&gt;INDEX(E189:J189,MATCH(TRUE(),E189:J189&lt;&gt;"",0)),"↓","→")))</f>
        <v>-</v>
      </c>
    </row>
    <row r="190" customFormat="false" ht="25.5" hidden="false" customHeight="true" outlineLevel="0" collapsed="false">
      <c r="A190" s="51" t="n">
        <v>189</v>
      </c>
      <c r="B190" s="51" t="n">
        <v>2</v>
      </c>
      <c r="C190" s="11" t="s">
        <v>604</v>
      </c>
      <c r="D190" s="11" t="s">
        <v>605</v>
      </c>
      <c r="E190" s="51"/>
      <c r="F190" s="51"/>
      <c r="G190" s="51"/>
      <c r="H190" s="51"/>
      <c r="I190" s="51"/>
      <c r="J190" s="51"/>
      <c r="K190" s="12" t="n">
        <f aca="false">IFERROR(MIN(E190:J190),"")</f>
        <v>0</v>
      </c>
      <c r="L190" s="51" t="str">
        <f aca="false">IF(COUNT(E190:J190)&lt;2,"-",IF(LOOKUP(2,1/(E190:J190&lt;&gt;""),E190:J190)&lt;INDEX(E190:J190,MATCH(TRUE(),E190:J190&lt;&gt;"",0)),"↑",IF(LOOKUP(2,1/(E190:J190&lt;&gt;""),E190:J190)&gt;INDEX(E190:J190,MATCH(TRUE(),E190:J190&lt;&gt;"",0)),"↓","→")))</f>
        <v>-</v>
      </c>
    </row>
    <row r="191" customFormat="false" ht="25.5" hidden="false" customHeight="true" outlineLevel="0" collapsed="false">
      <c r="A191" s="51" t="n">
        <v>190</v>
      </c>
      <c r="B191" s="51" t="n">
        <v>2</v>
      </c>
      <c r="C191" s="13" t="s">
        <v>606</v>
      </c>
      <c r="D191" s="13" t="s">
        <v>607</v>
      </c>
      <c r="E191" s="51"/>
      <c r="F191" s="51"/>
      <c r="G191" s="51"/>
      <c r="H191" s="51"/>
      <c r="I191" s="51"/>
      <c r="J191" s="51"/>
      <c r="K191" s="12" t="n">
        <f aca="false">IFERROR(MIN(E191:J191),"")</f>
        <v>0</v>
      </c>
      <c r="L191" s="51" t="str">
        <f aca="false">IF(COUNT(E191:J191)&lt;2,"-",IF(LOOKUP(2,1/(E191:J191&lt;&gt;""),E191:J191)&lt;INDEX(E191:J191,MATCH(TRUE(),E191:J191&lt;&gt;"",0)),"↑",IF(LOOKUP(2,1/(E191:J191&lt;&gt;""),E191:J191)&gt;INDEX(E191:J191,MATCH(TRUE(),E191:J191&lt;&gt;"",0)),"↓","→")))</f>
        <v>-</v>
      </c>
    </row>
    <row r="192" customFormat="false" ht="25.5" hidden="false" customHeight="true" outlineLevel="0" collapsed="false">
      <c r="A192" s="51" t="n">
        <v>191</v>
      </c>
      <c r="B192" s="51" t="n">
        <v>2</v>
      </c>
      <c r="C192" s="11" t="s">
        <v>608</v>
      </c>
      <c r="D192" s="11" t="s">
        <v>609</v>
      </c>
      <c r="E192" s="51"/>
      <c r="F192" s="51"/>
      <c r="G192" s="51"/>
      <c r="H192" s="51"/>
      <c r="I192" s="51"/>
      <c r="J192" s="51"/>
      <c r="K192" s="12" t="n">
        <f aca="false">IFERROR(MIN(E192:J192),"")</f>
        <v>0</v>
      </c>
      <c r="L192" s="51" t="str">
        <f aca="false">IF(COUNT(E192:J192)&lt;2,"-",IF(LOOKUP(2,1/(E192:J192&lt;&gt;""),E192:J192)&lt;INDEX(E192:J192,MATCH(TRUE(),E192:J192&lt;&gt;"",0)),"↑",IF(LOOKUP(2,1/(E192:J192&lt;&gt;""),E192:J192)&gt;INDEX(E192:J192,MATCH(TRUE(),E192:J192&lt;&gt;"",0)),"↓","→")))</f>
        <v>-</v>
      </c>
    </row>
    <row r="193" customFormat="false" ht="25.5" hidden="false" customHeight="true" outlineLevel="0" collapsed="false">
      <c r="A193" s="51" t="n">
        <v>192</v>
      </c>
      <c r="B193" s="51" t="n">
        <v>2</v>
      </c>
      <c r="C193" s="13" t="s">
        <v>610</v>
      </c>
      <c r="D193" s="13" t="s">
        <v>611</v>
      </c>
      <c r="E193" s="51"/>
      <c r="F193" s="51"/>
      <c r="G193" s="51"/>
      <c r="H193" s="51"/>
      <c r="I193" s="51"/>
      <c r="J193" s="51"/>
      <c r="K193" s="12" t="n">
        <f aca="false">IFERROR(MIN(E193:J193),"")</f>
        <v>0</v>
      </c>
      <c r="L193" s="51" t="str">
        <f aca="false">IF(COUNT(E193:J193)&lt;2,"-",IF(LOOKUP(2,1/(E193:J193&lt;&gt;""),E193:J193)&lt;INDEX(E193:J193,MATCH(TRUE(),E193:J193&lt;&gt;"",0)),"↑",IF(LOOKUP(2,1/(E193:J193&lt;&gt;""),E193:J193)&gt;INDEX(E193:J193,MATCH(TRUE(),E193:J193&lt;&gt;"",0)),"↓","→")))</f>
        <v>-</v>
      </c>
    </row>
    <row r="194" customFormat="false" ht="25.5" hidden="false" customHeight="true" outlineLevel="0" collapsed="false">
      <c r="A194" s="51" t="n">
        <v>193</v>
      </c>
      <c r="B194" s="51" t="n">
        <v>2</v>
      </c>
      <c r="C194" s="11" t="s">
        <v>612</v>
      </c>
      <c r="D194" s="11" t="s">
        <v>613</v>
      </c>
      <c r="E194" s="51"/>
      <c r="F194" s="51"/>
      <c r="G194" s="51"/>
      <c r="H194" s="51"/>
      <c r="I194" s="51"/>
      <c r="J194" s="51"/>
      <c r="K194" s="12" t="n">
        <f aca="false">IFERROR(MIN(E194:J194),"")</f>
        <v>0</v>
      </c>
      <c r="L194" s="51" t="str">
        <f aca="false">IF(COUNT(E194:J194)&lt;2,"-",IF(LOOKUP(2,1/(E194:J194&lt;&gt;""),E194:J194)&lt;INDEX(E194:J194,MATCH(TRUE(),E194:J194&lt;&gt;"",0)),"↑",IF(LOOKUP(2,1/(E194:J194&lt;&gt;""),E194:J194)&gt;INDEX(E194:J194,MATCH(TRUE(),E194:J194&lt;&gt;"",0)),"↓","→")))</f>
        <v>-</v>
      </c>
    </row>
    <row r="195" customFormat="false" ht="25.5" hidden="false" customHeight="true" outlineLevel="0" collapsed="false">
      <c r="A195" s="51" t="n">
        <v>194</v>
      </c>
      <c r="B195" s="51" t="n">
        <v>2</v>
      </c>
      <c r="C195" s="13" t="s">
        <v>614</v>
      </c>
      <c r="D195" s="13" t="s">
        <v>615</v>
      </c>
      <c r="E195" s="51"/>
      <c r="F195" s="51"/>
      <c r="G195" s="51"/>
      <c r="H195" s="51"/>
      <c r="I195" s="51"/>
      <c r="J195" s="51"/>
      <c r="K195" s="12" t="n">
        <f aca="false">IFERROR(MIN(E195:J195),"")</f>
        <v>0</v>
      </c>
      <c r="L195" s="51" t="str">
        <f aca="false">IF(COUNT(E195:J195)&lt;2,"-",IF(LOOKUP(2,1/(E195:J195&lt;&gt;""),E195:J195)&lt;INDEX(E195:J195,MATCH(TRUE(),E195:J195&lt;&gt;"",0)),"↑",IF(LOOKUP(2,1/(E195:J195&lt;&gt;""),E195:J195)&gt;INDEX(E195:J195,MATCH(TRUE(),E195:J195&lt;&gt;"",0)),"↓","→")))</f>
        <v>-</v>
      </c>
    </row>
    <row r="196" customFormat="false" ht="25.5" hidden="false" customHeight="true" outlineLevel="0" collapsed="false">
      <c r="A196" s="51" t="n">
        <v>195</v>
      </c>
      <c r="B196" s="51" t="n">
        <v>2</v>
      </c>
      <c r="C196" s="11" t="s">
        <v>616</v>
      </c>
      <c r="D196" s="11" t="s">
        <v>617</v>
      </c>
      <c r="E196" s="51"/>
      <c r="F196" s="51"/>
      <c r="G196" s="51"/>
      <c r="H196" s="51"/>
      <c r="I196" s="51"/>
      <c r="J196" s="51"/>
      <c r="K196" s="12" t="n">
        <f aca="false">IFERROR(MIN(E196:J196),"")</f>
        <v>0</v>
      </c>
      <c r="L196" s="51" t="str">
        <f aca="false">IF(COUNT(E196:J196)&lt;2,"-",IF(LOOKUP(2,1/(E196:J196&lt;&gt;""),E196:J196)&lt;INDEX(E196:J196,MATCH(TRUE(),E196:J196&lt;&gt;"",0)),"↑",IF(LOOKUP(2,1/(E196:J196&lt;&gt;""),E196:J196)&gt;INDEX(E196:J196,MATCH(TRUE(),E196:J196&lt;&gt;"",0)),"↓","→")))</f>
        <v>-</v>
      </c>
    </row>
    <row r="197" customFormat="false" ht="25.5" hidden="false" customHeight="true" outlineLevel="0" collapsed="false">
      <c r="A197" s="51" t="n">
        <v>196</v>
      </c>
      <c r="B197" s="51" t="n">
        <v>2</v>
      </c>
      <c r="C197" s="13" t="s">
        <v>618</v>
      </c>
      <c r="D197" s="13" t="s">
        <v>619</v>
      </c>
      <c r="E197" s="51"/>
      <c r="F197" s="51"/>
      <c r="G197" s="51"/>
      <c r="H197" s="51"/>
      <c r="I197" s="51"/>
      <c r="J197" s="51"/>
      <c r="K197" s="12" t="n">
        <f aca="false">IFERROR(MIN(E197:J197),"")</f>
        <v>0</v>
      </c>
      <c r="L197" s="51" t="str">
        <f aca="false">IF(COUNT(E197:J197)&lt;2,"-",IF(LOOKUP(2,1/(E197:J197&lt;&gt;""),E197:J197)&lt;INDEX(E197:J197,MATCH(TRUE(),E197:J197&lt;&gt;"",0)),"↑",IF(LOOKUP(2,1/(E197:J197&lt;&gt;""),E197:J197)&gt;INDEX(E197:J197,MATCH(TRUE(),E197:J197&lt;&gt;"",0)),"↓","→")))</f>
        <v>-</v>
      </c>
    </row>
    <row r="198" customFormat="false" ht="25.5" hidden="false" customHeight="true" outlineLevel="0" collapsed="false">
      <c r="A198" s="51" t="n">
        <v>197</v>
      </c>
      <c r="B198" s="51" t="n">
        <v>2</v>
      </c>
      <c r="C198" s="11" t="s">
        <v>620</v>
      </c>
      <c r="D198" s="11" t="s">
        <v>621</v>
      </c>
      <c r="E198" s="51"/>
      <c r="F198" s="51"/>
      <c r="G198" s="51"/>
      <c r="H198" s="51"/>
      <c r="I198" s="51"/>
      <c r="J198" s="51"/>
      <c r="K198" s="12" t="n">
        <f aca="false">IFERROR(MIN(E198:J198),"")</f>
        <v>0</v>
      </c>
      <c r="L198" s="51" t="str">
        <f aca="false">IF(COUNT(E198:J198)&lt;2,"-",IF(LOOKUP(2,1/(E198:J198&lt;&gt;""),E198:J198)&lt;INDEX(E198:J198,MATCH(TRUE(),E198:J198&lt;&gt;"",0)),"↑",IF(LOOKUP(2,1/(E198:J198&lt;&gt;""),E198:J198)&gt;INDEX(E198:J198,MATCH(TRUE(),E198:J198&lt;&gt;"",0)),"↓","→")))</f>
        <v>-</v>
      </c>
    </row>
    <row r="199" customFormat="false" ht="25.5" hidden="false" customHeight="true" outlineLevel="0" collapsed="false">
      <c r="A199" s="51" t="n">
        <v>198</v>
      </c>
      <c r="B199" s="51" t="n">
        <v>2</v>
      </c>
      <c r="C199" s="13" t="s">
        <v>622</v>
      </c>
      <c r="D199" s="13" t="s">
        <v>623</v>
      </c>
      <c r="E199" s="51"/>
      <c r="F199" s="51"/>
      <c r="G199" s="51"/>
      <c r="H199" s="51"/>
      <c r="I199" s="51"/>
      <c r="J199" s="51"/>
      <c r="K199" s="12" t="n">
        <f aca="false">IFERROR(MIN(E199:J199),"")</f>
        <v>0</v>
      </c>
      <c r="L199" s="51" t="str">
        <f aca="false">IF(COUNT(E199:J199)&lt;2,"-",IF(LOOKUP(2,1/(E199:J199&lt;&gt;""),E199:J199)&lt;INDEX(E199:J199,MATCH(TRUE(),E199:J199&lt;&gt;"",0)),"↑",IF(LOOKUP(2,1/(E199:J199&lt;&gt;""),E199:J199)&gt;INDEX(E199:J199,MATCH(TRUE(),E199:J199&lt;&gt;"",0)),"↓","→")))</f>
        <v>-</v>
      </c>
    </row>
    <row r="200" customFormat="false" ht="25.5" hidden="false" customHeight="true" outlineLevel="0" collapsed="false">
      <c r="A200" s="51" t="n">
        <v>199</v>
      </c>
      <c r="B200" s="51" t="n">
        <v>2</v>
      </c>
      <c r="C200" s="11" t="s">
        <v>624</v>
      </c>
      <c r="D200" s="11" t="s">
        <v>625</v>
      </c>
      <c r="E200" s="51"/>
      <c r="F200" s="51"/>
      <c r="G200" s="51"/>
      <c r="H200" s="51"/>
      <c r="I200" s="51"/>
      <c r="J200" s="51"/>
      <c r="K200" s="12" t="n">
        <f aca="false">IFERROR(MIN(E200:J200),"")</f>
        <v>0</v>
      </c>
      <c r="L200" s="51" t="str">
        <f aca="false">IF(COUNT(E200:J200)&lt;2,"-",IF(LOOKUP(2,1/(E200:J200&lt;&gt;""),E200:J200)&lt;INDEX(E200:J200,MATCH(TRUE(),E200:J200&lt;&gt;"",0)),"↑",IF(LOOKUP(2,1/(E200:J200&lt;&gt;""),E200:J200)&gt;INDEX(E200:J200,MATCH(TRUE(),E200:J200&lt;&gt;"",0)),"↓","→")))</f>
        <v>-</v>
      </c>
    </row>
    <row r="201" customFormat="false" ht="25.5" hidden="false" customHeight="true" outlineLevel="0" collapsed="false">
      <c r="A201" s="51" t="n">
        <v>200</v>
      </c>
      <c r="B201" s="51" t="n">
        <v>2</v>
      </c>
      <c r="C201" s="13" t="s">
        <v>626</v>
      </c>
      <c r="D201" s="13" t="s">
        <v>627</v>
      </c>
      <c r="E201" s="51"/>
      <c r="F201" s="51"/>
      <c r="G201" s="51"/>
      <c r="H201" s="51"/>
      <c r="I201" s="51"/>
      <c r="J201" s="51"/>
      <c r="K201" s="12" t="n">
        <f aca="false">IFERROR(MIN(E201:J201),"")</f>
        <v>0</v>
      </c>
      <c r="L201" s="51" t="str">
        <f aca="false">IF(COUNT(E201:J201)&lt;2,"-",IF(LOOKUP(2,1/(E201:J201&lt;&gt;""),E201:J201)&lt;INDEX(E201:J201,MATCH(TRUE(),E201:J201&lt;&gt;"",0)),"↑",IF(LOOKUP(2,1/(E201:J201&lt;&gt;""),E201:J201)&gt;INDEX(E201:J201,MATCH(TRUE(),E201:J201&lt;&gt;"",0)),"↓","→")))</f>
        <v>-</v>
      </c>
    </row>
    <row r="202" customFormat="false" ht="25.5" hidden="false" customHeight="true" outlineLevel="0" collapsed="false">
      <c r="A202" s="51" t="n">
        <v>201</v>
      </c>
      <c r="B202" s="51" t="n">
        <v>2</v>
      </c>
      <c r="C202" s="11" t="s">
        <v>628</v>
      </c>
      <c r="D202" s="11" t="s">
        <v>629</v>
      </c>
      <c r="E202" s="51"/>
      <c r="F202" s="51"/>
      <c r="G202" s="51"/>
      <c r="H202" s="51"/>
      <c r="I202" s="51"/>
      <c r="J202" s="51"/>
      <c r="K202" s="12" t="n">
        <f aca="false">IFERROR(MIN(E202:J202),"")</f>
        <v>0</v>
      </c>
      <c r="L202" s="51" t="str">
        <f aca="false">IF(COUNT(E202:J202)&lt;2,"-",IF(LOOKUP(2,1/(E202:J202&lt;&gt;""),E202:J202)&lt;INDEX(E202:J202,MATCH(TRUE(),E202:J202&lt;&gt;"",0)),"↑",IF(LOOKUP(2,1/(E202:J202&lt;&gt;""),E202:J202)&gt;INDEX(E202:J202,MATCH(TRUE(),E202:J202&lt;&gt;"",0)),"↓","→")))</f>
        <v>-</v>
      </c>
    </row>
    <row r="203" customFormat="false" ht="25.5" hidden="false" customHeight="true" outlineLevel="0" collapsed="false">
      <c r="A203" s="51" t="n">
        <v>202</v>
      </c>
      <c r="B203" s="51" t="n">
        <v>2</v>
      </c>
      <c r="C203" s="13" t="s">
        <v>630</v>
      </c>
      <c r="D203" s="13" t="s">
        <v>631</v>
      </c>
      <c r="E203" s="51"/>
      <c r="F203" s="51"/>
      <c r="G203" s="51"/>
      <c r="H203" s="51"/>
      <c r="I203" s="51"/>
      <c r="J203" s="51"/>
      <c r="K203" s="12" t="n">
        <f aca="false">IFERROR(MIN(E203:J203),"")</f>
        <v>0</v>
      </c>
      <c r="L203" s="51" t="str">
        <f aca="false">IF(COUNT(E203:J203)&lt;2,"-",IF(LOOKUP(2,1/(E203:J203&lt;&gt;""),E203:J203)&lt;INDEX(E203:J203,MATCH(TRUE(),E203:J203&lt;&gt;"",0)),"↑",IF(LOOKUP(2,1/(E203:J203&lt;&gt;""),E203:J203)&gt;INDEX(E203:J203,MATCH(TRUE(),E203:J203&lt;&gt;"",0)),"↓","→")))</f>
        <v>-</v>
      </c>
    </row>
    <row r="204" customFormat="false" ht="25.5" hidden="false" customHeight="true" outlineLevel="0" collapsed="false">
      <c r="A204" s="51" t="n">
        <v>203</v>
      </c>
      <c r="B204" s="51" t="n">
        <v>2</v>
      </c>
      <c r="C204" s="11" t="s">
        <v>632</v>
      </c>
      <c r="D204" s="11" t="s">
        <v>633</v>
      </c>
      <c r="E204" s="51"/>
      <c r="F204" s="51"/>
      <c r="G204" s="51"/>
      <c r="H204" s="51"/>
      <c r="I204" s="51"/>
      <c r="J204" s="51"/>
      <c r="K204" s="12" t="n">
        <f aca="false">IFERROR(MIN(E204:J204),"")</f>
        <v>0</v>
      </c>
      <c r="L204" s="51" t="str">
        <f aca="false">IF(COUNT(E204:J204)&lt;2,"-",IF(LOOKUP(2,1/(E204:J204&lt;&gt;""),E204:J204)&lt;INDEX(E204:J204,MATCH(TRUE(),E204:J204&lt;&gt;"",0)),"↑",IF(LOOKUP(2,1/(E204:J204&lt;&gt;""),E204:J204)&gt;INDEX(E204:J204,MATCH(TRUE(),E204:J204&lt;&gt;"",0)),"↓","→")))</f>
        <v>-</v>
      </c>
    </row>
    <row r="205" customFormat="false" ht="25.5" hidden="false" customHeight="true" outlineLevel="0" collapsed="false">
      <c r="A205" s="51" t="n">
        <v>204</v>
      </c>
      <c r="B205" s="51" t="n">
        <v>2</v>
      </c>
      <c r="C205" s="13" t="s">
        <v>634</v>
      </c>
      <c r="D205" s="13" t="s">
        <v>635</v>
      </c>
      <c r="E205" s="51"/>
      <c r="F205" s="51"/>
      <c r="G205" s="51"/>
      <c r="H205" s="51"/>
      <c r="I205" s="51"/>
      <c r="J205" s="51"/>
      <c r="K205" s="12" t="n">
        <f aca="false">IFERROR(MIN(E205:J205),"")</f>
        <v>0</v>
      </c>
      <c r="L205" s="51" t="str">
        <f aca="false">IF(COUNT(E205:J205)&lt;2,"-",IF(LOOKUP(2,1/(E205:J205&lt;&gt;""),E205:J205)&lt;INDEX(E205:J205,MATCH(TRUE(),E205:J205&lt;&gt;"",0)),"↑",IF(LOOKUP(2,1/(E205:J205&lt;&gt;""),E205:J205)&gt;INDEX(E205:J205,MATCH(TRUE(),E205:J205&lt;&gt;"",0)),"↓","→")))</f>
        <v>-</v>
      </c>
    </row>
    <row r="206" customFormat="false" ht="25.5" hidden="false" customHeight="true" outlineLevel="0" collapsed="false">
      <c r="A206" s="51" t="n">
        <v>205</v>
      </c>
      <c r="B206" s="51" t="n">
        <v>2</v>
      </c>
      <c r="C206" s="11" t="s">
        <v>636</v>
      </c>
      <c r="D206" s="11" t="s">
        <v>637</v>
      </c>
      <c r="E206" s="51"/>
      <c r="F206" s="51"/>
      <c r="G206" s="51"/>
      <c r="H206" s="51"/>
      <c r="I206" s="51"/>
      <c r="J206" s="51"/>
      <c r="K206" s="12" t="n">
        <f aca="false">IFERROR(MIN(E206:J206),"")</f>
        <v>0</v>
      </c>
      <c r="L206" s="51" t="str">
        <f aca="false">IF(COUNT(E206:J206)&lt;2,"-",IF(LOOKUP(2,1/(E206:J206&lt;&gt;""),E206:J206)&lt;INDEX(E206:J206,MATCH(TRUE(),E206:J206&lt;&gt;"",0)),"↑",IF(LOOKUP(2,1/(E206:J206&lt;&gt;""),E206:J206)&gt;INDEX(E206:J206,MATCH(TRUE(),E206:J206&lt;&gt;"",0)),"↓","→")))</f>
        <v>-</v>
      </c>
    </row>
    <row r="207" customFormat="false" ht="25.5" hidden="false" customHeight="true" outlineLevel="0" collapsed="false">
      <c r="A207" s="51" t="n">
        <v>206</v>
      </c>
      <c r="B207" s="51" t="n">
        <v>2</v>
      </c>
      <c r="C207" s="13" t="s">
        <v>638</v>
      </c>
      <c r="D207" s="13" t="s">
        <v>639</v>
      </c>
      <c r="E207" s="51"/>
      <c r="F207" s="51"/>
      <c r="G207" s="51"/>
      <c r="H207" s="51"/>
      <c r="I207" s="51"/>
      <c r="J207" s="51"/>
      <c r="K207" s="12" t="n">
        <f aca="false">IFERROR(MIN(E207:J207),"")</f>
        <v>0</v>
      </c>
      <c r="L207" s="51" t="str">
        <f aca="false">IF(COUNT(E207:J207)&lt;2,"-",IF(LOOKUP(2,1/(E207:J207&lt;&gt;""),E207:J207)&lt;INDEX(E207:J207,MATCH(TRUE(),E207:J207&lt;&gt;"",0)),"↑",IF(LOOKUP(2,1/(E207:J207&lt;&gt;""),E207:J207)&gt;INDEX(E207:J207,MATCH(TRUE(),E207:J207&lt;&gt;"",0)),"↓","→")))</f>
        <v>-</v>
      </c>
    </row>
    <row r="208" customFormat="false" ht="25.5" hidden="false" customHeight="true" outlineLevel="0" collapsed="false">
      <c r="A208" s="51" t="n">
        <v>207</v>
      </c>
      <c r="B208" s="51" t="n">
        <v>2</v>
      </c>
      <c r="C208" s="11" t="s">
        <v>640</v>
      </c>
      <c r="D208" s="11" t="s">
        <v>641</v>
      </c>
      <c r="E208" s="51"/>
      <c r="F208" s="51"/>
      <c r="G208" s="51"/>
      <c r="H208" s="51"/>
      <c r="I208" s="51"/>
      <c r="J208" s="51"/>
      <c r="K208" s="12" t="n">
        <f aca="false">IFERROR(MIN(E208:J208),"")</f>
        <v>0</v>
      </c>
      <c r="L208" s="51" t="str">
        <f aca="false">IF(COUNT(E208:J208)&lt;2,"-",IF(LOOKUP(2,1/(E208:J208&lt;&gt;""),E208:J208)&lt;INDEX(E208:J208,MATCH(TRUE(),E208:J208&lt;&gt;"",0)),"↑",IF(LOOKUP(2,1/(E208:J208&lt;&gt;""),E208:J208)&gt;INDEX(E208:J208,MATCH(TRUE(),E208:J208&lt;&gt;"",0)),"↓","→")))</f>
        <v>-</v>
      </c>
    </row>
    <row r="209" customFormat="false" ht="25.5" hidden="false" customHeight="true" outlineLevel="0" collapsed="false">
      <c r="A209" s="51" t="n">
        <v>208</v>
      </c>
      <c r="B209" s="51" t="n">
        <v>2</v>
      </c>
      <c r="C209" s="13" t="s">
        <v>642</v>
      </c>
      <c r="D209" s="13" t="s">
        <v>643</v>
      </c>
      <c r="E209" s="51"/>
      <c r="F209" s="51"/>
      <c r="G209" s="51"/>
      <c r="H209" s="51"/>
      <c r="I209" s="51"/>
      <c r="J209" s="51"/>
      <c r="K209" s="12" t="n">
        <f aca="false">IFERROR(MIN(E209:J209),"")</f>
        <v>0</v>
      </c>
      <c r="L209" s="51" t="str">
        <f aca="false">IF(COUNT(E209:J209)&lt;2,"-",IF(LOOKUP(2,1/(E209:J209&lt;&gt;""),E209:J209)&lt;INDEX(E209:J209,MATCH(TRUE(),E209:J209&lt;&gt;"",0)),"↑",IF(LOOKUP(2,1/(E209:J209&lt;&gt;""),E209:J209)&gt;INDEX(E209:J209,MATCH(TRUE(),E209:J209&lt;&gt;"",0)),"↓","→")))</f>
        <v>-</v>
      </c>
    </row>
    <row r="210" customFormat="false" ht="25.5" hidden="false" customHeight="true" outlineLevel="0" collapsed="false">
      <c r="A210" s="51" t="n">
        <v>209</v>
      </c>
      <c r="B210" s="51" t="n">
        <v>2</v>
      </c>
      <c r="C210" s="11" t="s">
        <v>644</v>
      </c>
      <c r="D210" s="11" t="s">
        <v>645</v>
      </c>
      <c r="E210" s="51"/>
      <c r="F210" s="51"/>
      <c r="G210" s="51"/>
      <c r="H210" s="51"/>
      <c r="I210" s="51"/>
      <c r="J210" s="51"/>
      <c r="K210" s="12" t="n">
        <f aca="false">IFERROR(MIN(E210:J210),"")</f>
        <v>0</v>
      </c>
      <c r="L210" s="51" t="str">
        <f aca="false">IF(COUNT(E210:J210)&lt;2,"-",IF(LOOKUP(2,1/(E210:J210&lt;&gt;""),E210:J210)&lt;INDEX(E210:J210,MATCH(TRUE(),E210:J210&lt;&gt;"",0)),"↑",IF(LOOKUP(2,1/(E210:J210&lt;&gt;""),E210:J210)&gt;INDEX(E210:J210,MATCH(TRUE(),E210:J210&lt;&gt;"",0)),"↓","→")))</f>
        <v>-</v>
      </c>
    </row>
    <row r="211" customFormat="false" ht="25.5" hidden="false" customHeight="true" outlineLevel="0" collapsed="false">
      <c r="A211" s="51" t="n">
        <v>210</v>
      </c>
      <c r="B211" s="51" t="n">
        <v>2</v>
      </c>
      <c r="C211" s="13" t="s">
        <v>646</v>
      </c>
      <c r="D211" s="13" t="s">
        <v>647</v>
      </c>
      <c r="E211" s="51"/>
      <c r="F211" s="51"/>
      <c r="G211" s="51"/>
      <c r="H211" s="51"/>
      <c r="I211" s="51"/>
      <c r="J211" s="51"/>
      <c r="K211" s="12" t="n">
        <f aca="false">IFERROR(MIN(E211:J211),"")</f>
        <v>0</v>
      </c>
      <c r="L211" s="51" t="str">
        <f aca="false">IF(COUNT(E211:J211)&lt;2,"-",IF(LOOKUP(2,1/(E211:J211&lt;&gt;""),E211:J211)&lt;INDEX(E211:J211,MATCH(TRUE(),E211:J211&lt;&gt;"",0)),"↑",IF(LOOKUP(2,1/(E211:J211&lt;&gt;""),E211:J211)&gt;INDEX(E211:J211,MATCH(TRUE(),E211:J211&lt;&gt;"",0)),"↓","→")))</f>
        <v>-</v>
      </c>
    </row>
    <row r="212" customFormat="false" ht="25.5" hidden="false" customHeight="true" outlineLevel="0" collapsed="false">
      <c r="A212" s="51" t="n">
        <v>211</v>
      </c>
      <c r="B212" s="51" t="n">
        <v>2</v>
      </c>
      <c r="C212" s="11" t="s">
        <v>648</v>
      </c>
      <c r="D212" s="11" t="s">
        <v>649</v>
      </c>
      <c r="E212" s="51"/>
      <c r="F212" s="51"/>
      <c r="G212" s="51"/>
      <c r="H212" s="51"/>
      <c r="I212" s="51"/>
      <c r="J212" s="51"/>
      <c r="K212" s="12" t="n">
        <f aca="false">IFERROR(MIN(E212:J212),"")</f>
        <v>0</v>
      </c>
      <c r="L212" s="51" t="str">
        <f aca="false">IF(COUNT(E212:J212)&lt;2,"-",IF(LOOKUP(2,1/(E212:J212&lt;&gt;""),E212:J212)&lt;INDEX(E212:J212,MATCH(TRUE(),E212:J212&lt;&gt;"",0)),"↑",IF(LOOKUP(2,1/(E212:J212&lt;&gt;""),E212:J212)&gt;INDEX(E212:J212,MATCH(TRUE(),E212:J212&lt;&gt;"",0)),"↓","→")))</f>
        <v>-</v>
      </c>
    </row>
    <row r="213" customFormat="false" ht="25.5" hidden="false" customHeight="true" outlineLevel="0" collapsed="false">
      <c r="A213" s="51" t="n">
        <v>212</v>
      </c>
      <c r="B213" s="51" t="n">
        <v>2</v>
      </c>
      <c r="C213" s="13" t="s">
        <v>650</v>
      </c>
      <c r="D213" s="13" t="s">
        <v>651</v>
      </c>
      <c r="E213" s="51"/>
      <c r="F213" s="51"/>
      <c r="G213" s="51"/>
      <c r="H213" s="51"/>
      <c r="I213" s="51"/>
      <c r="J213" s="51"/>
      <c r="K213" s="12" t="n">
        <f aca="false">IFERROR(MIN(E213:J213),"")</f>
        <v>0</v>
      </c>
      <c r="L213" s="51" t="str">
        <f aca="false">IF(COUNT(E213:J213)&lt;2,"-",IF(LOOKUP(2,1/(E213:J213&lt;&gt;""),E213:J213)&lt;INDEX(E213:J213,MATCH(TRUE(),E213:J213&lt;&gt;"",0)),"↑",IF(LOOKUP(2,1/(E213:J213&lt;&gt;""),E213:J213)&gt;INDEX(E213:J213,MATCH(TRUE(),E213:J213&lt;&gt;"",0)),"↓","→")))</f>
        <v>-</v>
      </c>
    </row>
    <row r="214" customFormat="false" ht="25.5" hidden="false" customHeight="true" outlineLevel="0" collapsed="false">
      <c r="A214" s="51" t="n">
        <v>213</v>
      </c>
      <c r="B214" s="51" t="n">
        <v>2</v>
      </c>
      <c r="C214" s="11" t="s">
        <v>652</v>
      </c>
      <c r="D214" s="11" t="s">
        <v>653</v>
      </c>
      <c r="E214" s="51"/>
      <c r="F214" s="51"/>
      <c r="G214" s="51"/>
      <c r="H214" s="51"/>
      <c r="I214" s="51"/>
      <c r="J214" s="51"/>
      <c r="K214" s="12" t="n">
        <f aca="false">IFERROR(MIN(E214:J214),"")</f>
        <v>0</v>
      </c>
      <c r="L214" s="51" t="str">
        <f aca="false">IF(COUNT(E214:J214)&lt;2,"-",IF(LOOKUP(2,1/(E214:J214&lt;&gt;""),E214:J214)&lt;INDEX(E214:J214,MATCH(TRUE(),E214:J214&lt;&gt;"",0)),"↑",IF(LOOKUP(2,1/(E214:J214&lt;&gt;""),E214:J214)&gt;INDEX(E214:J214,MATCH(TRUE(),E214:J214&lt;&gt;"",0)),"↓","→")))</f>
        <v>-</v>
      </c>
    </row>
    <row r="215" customFormat="false" ht="25.5" hidden="false" customHeight="true" outlineLevel="0" collapsed="false">
      <c r="A215" s="51" t="n">
        <v>214</v>
      </c>
      <c r="B215" s="51" t="n">
        <v>2</v>
      </c>
      <c r="C215" s="13" t="s">
        <v>654</v>
      </c>
      <c r="D215" s="13" t="s">
        <v>655</v>
      </c>
      <c r="E215" s="51"/>
      <c r="F215" s="51"/>
      <c r="G215" s="51"/>
      <c r="H215" s="51"/>
      <c r="I215" s="51"/>
      <c r="J215" s="51"/>
      <c r="K215" s="12" t="n">
        <f aca="false">IFERROR(MIN(E215:J215),"")</f>
        <v>0</v>
      </c>
      <c r="L215" s="51" t="str">
        <f aca="false">IF(COUNT(E215:J215)&lt;2,"-",IF(LOOKUP(2,1/(E215:J215&lt;&gt;""),E215:J215)&lt;INDEX(E215:J215,MATCH(TRUE(),E215:J215&lt;&gt;"",0)),"↑",IF(LOOKUP(2,1/(E215:J215&lt;&gt;""),E215:J215)&gt;INDEX(E215:J215,MATCH(TRUE(),E215:J215&lt;&gt;"",0)),"↓","→")))</f>
        <v>-</v>
      </c>
    </row>
    <row r="216" customFormat="false" ht="25.5" hidden="false" customHeight="true" outlineLevel="0" collapsed="false">
      <c r="A216" s="51" t="n">
        <v>215</v>
      </c>
      <c r="B216" s="51" t="n">
        <v>2</v>
      </c>
      <c r="C216" s="11" t="s">
        <v>656</v>
      </c>
      <c r="D216" s="11" t="s">
        <v>657</v>
      </c>
      <c r="E216" s="51"/>
      <c r="F216" s="51"/>
      <c r="G216" s="51"/>
      <c r="H216" s="51"/>
      <c r="I216" s="51"/>
      <c r="J216" s="51"/>
      <c r="K216" s="12" t="n">
        <f aca="false">IFERROR(MIN(E216:J216),"")</f>
        <v>0</v>
      </c>
      <c r="L216" s="51" t="str">
        <f aca="false">IF(COUNT(E216:J216)&lt;2,"-",IF(LOOKUP(2,1/(E216:J216&lt;&gt;""),E216:J216)&lt;INDEX(E216:J216,MATCH(TRUE(),E216:J216&lt;&gt;"",0)),"↑",IF(LOOKUP(2,1/(E216:J216&lt;&gt;""),E216:J216)&gt;INDEX(E216:J216,MATCH(TRUE(),E216:J216&lt;&gt;"",0)),"↓","→")))</f>
        <v>-</v>
      </c>
    </row>
    <row r="217" customFormat="false" ht="25.5" hidden="false" customHeight="true" outlineLevel="0" collapsed="false">
      <c r="A217" s="51" t="n">
        <v>216</v>
      </c>
      <c r="B217" s="51" t="n">
        <v>2</v>
      </c>
      <c r="C217" s="13" t="s">
        <v>658</v>
      </c>
      <c r="D217" s="13" t="s">
        <v>659</v>
      </c>
      <c r="E217" s="51"/>
      <c r="F217" s="51"/>
      <c r="G217" s="51"/>
      <c r="H217" s="51"/>
      <c r="I217" s="51"/>
      <c r="J217" s="51"/>
      <c r="K217" s="12" t="n">
        <f aca="false">IFERROR(MIN(E217:J217),"")</f>
        <v>0</v>
      </c>
      <c r="L217" s="51" t="str">
        <f aca="false">IF(COUNT(E217:J217)&lt;2,"-",IF(LOOKUP(2,1/(E217:J217&lt;&gt;""),E217:J217)&lt;INDEX(E217:J217,MATCH(TRUE(),E217:J217&lt;&gt;"",0)),"↑",IF(LOOKUP(2,1/(E217:J217&lt;&gt;""),E217:J217)&gt;INDEX(E217:J217,MATCH(TRUE(),E217:J217&lt;&gt;"",0)),"↓","→")))</f>
        <v>-</v>
      </c>
    </row>
    <row r="218" customFormat="false" ht="25.5" hidden="false" customHeight="true" outlineLevel="0" collapsed="false">
      <c r="A218" s="51" t="n">
        <v>217</v>
      </c>
      <c r="B218" s="51" t="n">
        <v>2</v>
      </c>
      <c r="C218" s="11" t="s">
        <v>660</v>
      </c>
      <c r="D218" s="11" t="s">
        <v>661</v>
      </c>
      <c r="E218" s="51"/>
      <c r="F218" s="51"/>
      <c r="G218" s="51"/>
      <c r="H218" s="51"/>
      <c r="I218" s="51"/>
      <c r="J218" s="51"/>
      <c r="K218" s="12" t="n">
        <f aca="false">IFERROR(MIN(E218:J218),"")</f>
        <v>0</v>
      </c>
      <c r="L218" s="51" t="str">
        <f aca="false">IF(COUNT(E218:J218)&lt;2,"-",IF(LOOKUP(2,1/(E218:J218&lt;&gt;""),E218:J218)&lt;INDEX(E218:J218,MATCH(TRUE(),E218:J218&lt;&gt;"",0)),"↑",IF(LOOKUP(2,1/(E218:J218&lt;&gt;""),E218:J218)&gt;INDEX(E218:J218,MATCH(TRUE(),E218:J218&lt;&gt;"",0)),"↓","→")))</f>
        <v>-</v>
      </c>
    </row>
    <row r="219" customFormat="false" ht="25.5" hidden="false" customHeight="true" outlineLevel="0" collapsed="false">
      <c r="A219" s="51" t="n">
        <v>218</v>
      </c>
      <c r="B219" s="51" t="n">
        <v>2</v>
      </c>
      <c r="C219" s="13" t="s">
        <v>662</v>
      </c>
      <c r="D219" s="13" t="s">
        <v>663</v>
      </c>
      <c r="E219" s="51"/>
      <c r="F219" s="51"/>
      <c r="G219" s="51"/>
      <c r="H219" s="51"/>
      <c r="I219" s="51"/>
      <c r="J219" s="51"/>
      <c r="K219" s="12" t="n">
        <f aca="false">IFERROR(MIN(E219:J219),"")</f>
        <v>0</v>
      </c>
      <c r="L219" s="51" t="str">
        <f aca="false">IF(COUNT(E219:J219)&lt;2,"-",IF(LOOKUP(2,1/(E219:J219&lt;&gt;""),E219:J219)&lt;INDEX(E219:J219,MATCH(TRUE(),E219:J219&lt;&gt;"",0)),"↑",IF(LOOKUP(2,1/(E219:J219&lt;&gt;""),E219:J219)&gt;INDEX(E219:J219,MATCH(TRUE(),E219:J219&lt;&gt;"",0)),"↓","→")))</f>
        <v>-</v>
      </c>
    </row>
    <row r="220" customFormat="false" ht="25.5" hidden="false" customHeight="true" outlineLevel="0" collapsed="false">
      <c r="A220" s="51" t="n">
        <v>219</v>
      </c>
      <c r="B220" s="51" t="n">
        <v>2</v>
      </c>
      <c r="C220" s="11" t="s">
        <v>664</v>
      </c>
      <c r="D220" s="11" t="s">
        <v>665</v>
      </c>
      <c r="E220" s="51"/>
      <c r="F220" s="51"/>
      <c r="G220" s="51"/>
      <c r="H220" s="51"/>
      <c r="I220" s="51"/>
      <c r="J220" s="51"/>
      <c r="K220" s="12" t="n">
        <f aca="false">IFERROR(MIN(E220:J220),"")</f>
        <v>0</v>
      </c>
      <c r="L220" s="51" t="str">
        <f aca="false">IF(COUNT(E220:J220)&lt;2,"-",IF(LOOKUP(2,1/(E220:J220&lt;&gt;""),E220:J220)&lt;INDEX(E220:J220,MATCH(TRUE(),E220:J220&lt;&gt;"",0)),"↑",IF(LOOKUP(2,1/(E220:J220&lt;&gt;""),E220:J220)&gt;INDEX(E220:J220,MATCH(TRUE(),E220:J220&lt;&gt;"",0)),"↓","→")))</f>
        <v>-</v>
      </c>
    </row>
    <row r="221" customFormat="false" ht="25.5" hidden="false" customHeight="true" outlineLevel="0" collapsed="false">
      <c r="A221" s="51" t="n">
        <v>220</v>
      </c>
      <c r="B221" s="51" t="n">
        <v>2</v>
      </c>
      <c r="C221" s="13" t="s">
        <v>666</v>
      </c>
      <c r="D221" s="13" t="s">
        <v>667</v>
      </c>
      <c r="E221" s="51"/>
      <c r="F221" s="51"/>
      <c r="G221" s="51"/>
      <c r="H221" s="51"/>
      <c r="I221" s="51"/>
      <c r="J221" s="51"/>
      <c r="K221" s="12" t="n">
        <f aca="false">IFERROR(MIN(E221:J221),"")</f>
        <v>0</v>
      </c>
      <c r="L221" s="51" t="str">
        <f aca="false">IF(COUNT(E221:J221)&lt;2,"-",IF(LOOKUP(2,1/(E221:J221&lt;&gt;""),E221:J221)&lt;INDEX(E221:J221,MATCH(TRUE(),E221:J221&lt;&gt;"",0)),"↑",IF(LOOKUP(2,1/(E221:J221&lt;&gt;""),E221:J221)&gt;INDEX(E221:J221,MATCH(TRUE(),E221:J221&lt;&gt;"",0)),"↓","→")))</f>
        <v>-</v>
      </c>
    </row>
    <row r="222" customFormat="false" ht="25.5" hidden="false" customHeight="true" outlineLevel="0" collapsed="false">
      <c r="A222" s="51" t="n">
        <v>221</v>
      </c>
      <c r="B222" s="51" t="n">
        <v>2</v>
      </c>
      <c r="C222" s="11" t="s">
        <v>668</v>
      </c>
      <c r="D222" s="11" t="s">
        <v>669</v>
      </c>
      <c r="E222" s="51"/>
      <c r="F222" s="51"/>
      <c r="G222" s="51"/>
      <c r="H222" s="51"/>
      <c r="I222" s="51"/>
      <c r="J222" s="51"/>
      <c r="K222" s="12" t="n">
        <f aca="false">IFERROR(MIN(E222:J222),"")</f>
        <v>0</v>
      </c>
      <c r="L222" s="51" t="str">
        <f aca="false">IF(COUNT(E222:J222)&lt;2,"-",IF(LOOKUP(2,1/(E222:J222&lt;&gt;""),E222:J222)&lt;INDEX(E222:J222,MATCH(TRUE(),E222:J222&lt;&gt;"",0)),"↑",IF(LOOKUP(2,1/(E222:J222&lt;&gt;""),E222:J222)&gt;INDEX(E222:J222,MATCH(TRUE(),E222:J222&lt;&gt;"",0)),"↓","→")))</f>
        <v>-</v>
      </c>
    </row>
    <row r="223" customFormat="false" ht="25.5" hidden="false" customHeight="true" outlineLevel="0" collapsed="false">
      <c r="A223" s="51" t="n">
        <v>222</v>
      </c>
      <c r="B223" s="51" t="n">
        <v>2</v>
      </c>
      <c r="C223" s="13" t="s">
        <v>670</v>
      </c>
      <c r="D223" s="13" t="s">
        <v>671</v>
      </c>
      <c r="E223" s="51"/>
      <c r="F223" s="51"/>
      <c r="G223" s="51"/>
      <c r="H223" s="51"/>
      <c r="I223" s="51"/>
      <c r="J223" s="51"/>
      <c r="K223" s="12" t="n">
        <f aca="false">IFERROR(MIN(E223:J223),"")</f>
        <v>0</v>
      </c>
      <c r="L223" s="51" t="str">
        <f aca="false">IF(COUNT(E223:J223)&lt;2,"-",IF(LOOKUP(2,1/(E223:J223&lt;&gt;""),E223:J223)&lt;INDEX(E223:J223,MATCH(TRUE(),E223:J223&lt;&gt;"",0)),"↑",IF(LOOKUP(2,1/(E223:J223&lt;&gt;""),E223:J223)&gt;INDEX(E223:J223,MATCH(TRUE(),E223:J223&lt;&gt;"",0)),"↓","→")))</f>
        <v>-</v>
      </c>
    </row>
    <row r="224" customFormat="false" ht="25.5" hidden="false" customHeight="true" outlineLevel="0" collapsed="false">
      <c r="A224" s="51" t="n">
        <v>223</v>
      </c>
      <c r="B224" s="51" t="n">
        <v>2</v>
      </c>
      <c r="C224" s="11" t="s">
        <v>672</v>
      </c>
      <c r="D224" s="11" t="s">
        <v>673</v>
      </c>
      <c r="E224" s="51"/>
      <c r="F224" s="51"/>
      <c r="G224" s="51"/>
      <c r="H224" s="51"/>
      <c r="I224" s="51"/>
      <c r="J224" s="51"/>
      <c r="K224" s="12" t="n">
        <f aca="false">IFERROR(MIN(E224:J224),"")</f>
        <v>0</v>
      </c>
      <c r="L224" s="51" t="str">
        <f aca="false">IF(COUNT(E224:J224)&lt;2,"-",IF(LOOKUP(2,1/(E224:J224&lt;&gt;""),E224:J224)&lt;INDEX(E224:J224,MATCH(TRUE(),E224:J224&lt;&gt;"",0)),"↑",IF(LOOKUP(2,1/(E224:J224&lt;&gt;""),E224:J224)&gt;INDEX(E224:J224,MATCH(TRUE(),E224:J224&lt;&gt;"",0)),"↓","→")))</f>
        <v>-</v>
      </c>
    </row>
    <row r="225" customFormat="false" ht="25.5" hidden="false" customHeight="true" outlineLevel="0" collapsed="false">
      <c r="A225" s="51" t="n">
        <v>224</v>
      </c>
      <c r="B225" s="51" t="n">
        <v>2</v>
      </c>
      <c r="C225" s="13" t="s">
        <v>674</v>
      </c>
      <c r="D225" s="13" t="s">
        <v>675</v>
      </c>
      <c r="E225" s="51"/>
      <c r="F225" s="51"/>
      <c r="G225" s="51"/>
      <c r="H225" s="51"/>
      <c r="I225" s="51"/>
      <c r="J225" s="51"/>
      <c r="K225" s="12" t="n">
        <f aca="false">IFERROR(MIN(E225:J225),"")</f>
        <v>0</v>
      </c>
      <c r="L225" s="51" t="str">
        <f aca="false">IF(COUNT(E225:J225)&lt;2,"-",IF(LOOKUP(2,1/(E225:J225&lt;&gt;""),E225:J225)&lt;INDEX(E225:J225,MATCH(TRUE(),E225:J225&lt;&gt;"",0)),"↑",IF(LOOKUP(2,1/(E225:J225&lt;&gt;""),E225:J225)&gt;INDEX(E225:J225,MATCH(TRUE(),E225:J225&lt;&gt;"",0)),"↓","→")))</f>
        <v>-</v>
      </c>
    </row>
    <row r="226" customFormat="false" ht="25.5" hidden="false" customHeight="true" outlineLevel="0" collapsed="false">
      <c r="A226" s="51" t="n">
        <v>225</v>
      </c>
      <c r="B226" s="51" t="n">
        <v>2</v>
      </c>
      <c r="C226" s="11" t="s">
        <v>676</v>
      </c>
      <c r="D226" s="11" t="s">
        <v>677</v>
      </c>
      <c r="E226" s="51"/>
      <c r="F226" s="51"/>
      <c r="G226" s="51"/>
      <c r="H226" s="51"/>
      <c r="I226" s="51"/>
      <c r="J226" s="51"/>
      <c r="K226" s="12" t="n">
        <f aca="false">IFERROR(MIN(E226:J226),"")</f>
        <v>0</v>
      </c>
      <c r="L226" s="51" t="str">
        <f aca="false">IF(COUNT(E226:J226)&lt;2,"-",IF(LOOKUP(2,1/(E226:J226&lt;&gt;""),E226:J226)&lt;INDEX(E226:J226,MATCH(TRUE(),E226:J226&lt;&gt;"",0)),"↑",IF(LOOKUP(2,1/(E226:J226&lt;&gt;""),E226:J226)&gt;INDEX(E226:J226,MATCH(TRUE(),E226:J226&lt;&gt;"",0)),"↓","→")))</f>
        <v>-</v>
      </c>
    </row>
    <row r="227" customFormat="false" ht="25.5" hidden="false" customHeight="true" outlineLevel="0" collapsed="false">
      <c r="A227" s="51" t="n">
        <v>226</v>
      </c>
      <c r="B227" s="51" t="n">
        <v>2</v>
      </c>
      <c r="C227" s="13" t="s">
        <v>678</v>
      </c>
      <c r="D227" s="13" t="s">
        <v>679</v>
      </c>
      <c r="E227" s="51"/>
      <c r="F227" s="51"/>
      <c r="G227" s="51"/>
      <c r="H227" s="51"/>
      <c r="I227" s="51"/>
      <c r="J227" s="51"/>
      <c r="K227" s="12" t="n">
        <f aca="false">IFERROR(MIN(E227:J227),"")</f>
        <v>0</v>
      </c>
      <c r="L227" s="51" t="str">
        <f aca="false">IF(COUNT(E227:J227)&lt;2,"-",IF(LOOKUP(2,1/(E227:J227&lt;&gt;""),E227:J227)&lt;INDEX(E227:J227,MATCH(TRUE(),E227:J227&lt;&gt;"",0)),"↑",IF(LOOKUP(2,1/(E227:J227&lt;&gt;""),E227:J227)&gt;INDEX(E227:J227,MATCH(TRUE(),E227:J227&lt;&gt;"",0)),"↓","→")))</f>
        <v>-</v>
      </c>
    </row>
    <row r="228" customFormat="false" ht="25.5" hidden="false" customHeight="true" outlineLevel="0" collapsed="false">
      <c r="A228" s="51" t="n">
        <v>227</v>
      </c>
      <c r="B228" s="51" t="n">
        <v>2</v>
      </c>
      <c r="C228" s="11" t="s">
        <v>680</v>
      </c>
      <c r="D228" s="11" t="s">
        <v>681</v>
      </c>
      <c r="E228" s="51"/>
      <c r="F228" s="51"/>
      <c r="G228" s="51"/>
      <c r="H228" s="51"/>
      <c r="I228" s="51"/>
      <c r="J228" s="51"/>
      <c r="K228" s="12" t="n">
        <f aca="false">IFERROR(MIN(E228:J228),"")</f>
        <v>0</v>
      </c>
      <c r="L228" s="51" t="str">
        <f aca="false">IF(COUNT(E228:J228)&lt;2,"-",IF(LOOKUP(2,1/(E228:J228&lt;&gt;""),E228:J228)&lt;INDEX(E228:J228,MATCH(TRUE(),E228:J228&lt;&gt;"",0)),"↑",IF(LOOKUP(2,1/(E228:J228&lt;&gt;""),E228:J228)&gt;INDEX(E228:J228,MATCH(TRUE(),E228:J228&lt;&gt;"",0)),"↓","→")))</f>
        <v>-</v>
      </c>
    </row>
    <row r="229" customFormat="false" ht="25.5" hidden="false" customHeight="true" outlineLevel="0" collapsed="false">
      <c r="A229" s="51" t="n">
        <v>228</v>
      </c>
      <c r="B229" s="51" t="n">
        <v>2</v>
      </c>
      <c r="C229" s="13" t="s">
        <v>682</v>
      </c>
      <c r="D229" s="13" t="s">
        <v>683</v>
      </c>
      <c r="E229" s="51"/>
      <c r="F229" s="51"/>
      <c r="G229" s="51"/>
      <c r="H229" s="51"/>
      <c r="I229" s="51"/>
      <c r="J229" s="51"/>
      <c r="K229" s="12" t="n">
        <f aca="false">IFERROR(MIN(E229:J229),"")</f>
        <v>0</v>
      </c>
      <c r="L229" s="51" t="str">
        <f aca="false">IF(COUNT(E229:J229)&lt;2,"-",IF(LOOKUP(2,1/(E229:J229&lt;&gt;""),E229:J229)&lt;INDEX(E229:J229,MATCH(TRUE(),E229:J229&lt;&gt;"",0)),"↑",IF(LOOKUP(2,1/(E229:J229&lt;&gt;""),E229:J229)&gt;INDEX(E229:J229,MATCH(TRUE(),E229:J229&lt;&gt;"",0)),"↓","→")))</f>
        <v>-</v>
      </c>
    </row>
    <row r="230" customFormat="false" ht="25.5" hidden="false" customHeight="true" outlineLevel="0" collapsed="false">
      <c r="A230" s="51" t="n">
        <v>229</v>
      </c>
      <c r="B230" s="51" t="n">
        <v>2</v>
      </c>
      <c r="C230" s="11" t="s">
        <v>684</v>
      </c>
      <c r="D230" s="11" t="s">
        <v>685</v>
      </c>
      <c r="E230" s="51"/>
      <c r="F230" s="51"/>
      <c r="G230" s="51"/>
      <c r="H230" s="51"/>
      <c r="I230" s="51"/>
      <c r="J230" s="51"/>
      <c r="K230" s="12" t="n">
        <f aca="false">IFERROR(MIN(E230:J230),"")</f>
        <v>0</v>
      </c>
      <c r="L230" s="51" t="str">
        <f aca="false">IF(COUNT(E230:J230)&lt;2,"-",IF(LOOKUP(2,1/(E230:J230&lt;&gt;""),E230:J230)&lt;INDEX(E230:J230,MATCH(TRUE(),E230:J230&lt;&gt;"",0)),"↑",IF(LOOKUP(2,1/(E230:J230&lt;&gt;""),E230:J230)&gt;INDEX(E230:J230,MATCH(TRUE(),E230:J230&lt;&gt;"",0)),"↓","→")))</f>
        <v>-</v>
      </c>
    </row>
    <row r="231" customFormat="false" ht="25.5" hidden="false" customHeight="true" outlineLevel="0" collapsed="false">
      <c r="A231" s="51" t="n">
        <v>230</v>
      </c>
      <c r="B231" s="51" t="n">
        <v>2</v>
      </c>
      <c r="C231" s="13" t="s">
        <v>686</v>
      </c>
      <c r="D231" s="13" t="s">
        <v>687</v>
      </c>
      <c r="E231" s="51"/>
      <c r="F231" s="51"/>
      <c r="G231" s="51"/>
      <c r="H231" s="51"/>
      <c r="I231" s="51"/>
      <c r="J231" s="51"/>
      <c r="K231" s="12" t="n">
        <f aca="false">IFERROR(MIN(E231:J231),"")</f>
        <v>0</v>
      </c>
      <c r="L231" s="51" t="str">
        <f aca="false">IF(COUNT(E231:J231)&lt;2,"-",IF(LOOKUP(2,1/(E231:J231&lt;&gt;""),E231:J231)&lt;INDEX(E231:J231,MATCH(TRUE(),E231:J231&lt;&gt;"",0)),"↑",IF(LOOKUP(2,1/(E231:J231&lt;&gt;""),E231:J231)&gt;INDEX(E231:J231,MATCH(TRUE(),E231:J231&lt;&gt;"",0)),"↓","→")))</f>
        <v>-</v>
      </c>
    </row>
    <row r="232" customFormat="false" ht="25.5" hidden="false" customHeight="true" outlineLevel="0" collapsed="false">
      <c r="A232" s="51" t="n">
        <v>231</v>
      </c>
      <c r="B232" s="51" t="n">
        <v>2</v>
      </c>
      <c r="C232" s="11" t="s">
        <v>688</v>
      </c>
      <c r="D232" s="11" t="s">
        <v>689</v>
      </c>
      <c r="E232" s="51"/>
      <c r="F232" s="51"/>
      <c r="G232" s="51"/>
      <c r="H232" s="51"/>
      <c r="I232" s="51"/>
      <c r="J232" s="51"/>
      <c r="K232" s="12" t="n">
        <f aca="false">IFERROR(MIN(E232:J232),"")</f>
        <v>0</v>
      </c>
      <c r="L232" s="51" t="str">
        <f aca="false">IF(COUNT(E232:J232)&lt;2,"-",IF(LOOKUP(2,1/(E232:J232&lt;&gt;""),E232:J232)&lt;INDEX(E232:J232,MATCH(TRUE(),E232:J232&lt;&gt;"",0)),"↑",IF(LOOKUP(2,1/(E232:J232&lt;&gt;""),E232:J232)&gt;INDEX(E232:J232,MATCH(TRUE(),E232:J232&lt;&gt;"",0)),"↓","→")))</f>
        <v>-</v>
      </c>
    </row>
    <row r="233" customFormat="false" ht="25.5" hidden="false" customHeight="true" outlineLevel="0" collapsed="false">
      <c r="A233" s="51" t="n">
        <v>232</v>
      </c>
      <c r="B233" s="51" t="n">
        <v>2</v>
      </c>
      <c r="C233" s="13" t="s">
        <v>690</v>
      </c>
      <c r="D233" s="13" t="s">
        <v>691</v>
      </c>
      <c r="E233" s="51"/>
      <c r="F233" s="51"/>
      <c r="G233" s="51"/>
      <c r="H233" s="51"/>
      <c r="I233" s="51"/>
      <c r="J233" s="51"/>
      <c r="K233" s="12" t="n">
        <f aca="false">IFERROR(MIN(E233:J233),"")</f>
        <v>0</v>
      </c>
      <c r="L233" s="51" t="str">
        <f aca="false">IF(COUNT(E233:J233)&lt;2,"-",IF(LOOKUP(2,1/(E233:J233&lt;&gt;""),E233:J233)&lt;INDEX(E233:J233,MATCH(TRUE(),E233:J233&lt;&gt;"",0)),"↑",IF(LOOKUP(2,1/(E233:J233&lt;&gt;""),E233:J233)&gt;INDEX(E233:J233,MATCH(TRUE(),E233:J233&lt;&gt;"",0)),"↓","→")))</f>
        <v>-</v>
      </c>
    </row>
    <row r="234" customFormat="false" ht="25.5" hidden="false" customHeight="true" outlineLevel="0" collapsed="false">
      <c r="A234" s="51" t="n">
        <v>233</v>
      </c>
      <c r="B234" s="51" t="n">
        <v>2</v>
      </c>
      <c r="C234" s="11" t="s">
        <v>692</v>
      </c>
      <c r="D234" s="11" t="s">
        <v>693</v>
      </c>
      <c r="E234" s="51"/>
      <c r="F234" s="51"/>
      <c r="G234" s="51"/>
      <c r="H234" s="51"/>
      <c r="I234" s="51"/>
      <c r="J234" s="51"/>
      <c r="K234" s="12" t="n">
        <f aca="false">IFERROR(MIN(E234:J234),"")</f>
        <v>0</v>
      </c>
      <c r="L234" s="51" t="str">
        <f aca="false">IF(COUNT(E234:J234)&lt;2,"-",IF(LOOKUP(2,1/(E234:J234&lt;&gt;""),E234:J234)&lt;INDEX(E234:J234,MATCH(TRUE(),E234:J234&lt;&gt;"",0)),"↑",IF(LOOKUP(2,1/(E234:J234&lt;&gt;""),E234:J234)&gt;INDEX(E234:J234,MATCH(TRUE(),E234:J234&lt;&gt;"",0)),"↓","→")))</f>
        <v>-</v>
      </c>
    </row>
    <row r="235" customFormat="false" ht="25.5" hidden="false" customHeight="true" outlineLevel="0" collapsed="false">
      <c r="A235" s="51" t="n">
        <v>234</v>
      </c>
      <c r="B235" s="51" t="n">
        <v>2</v>
      </c>
      <c r="C235" s="13" t="s">
        <v>694</v>
      </c>
      <c r="D235" s="13" t="s">
        <v>695</v>
      </c>
      <c r="E235" s="51"/>
      <c r="F235" s="51"/>
      <c r="G235" s="51"/>
      <c r="H235" s="51"/>
      <c r="I235" s="51"/>
      <c r="J235" s="51"/>
      <c r="K235" s="12" t="n">
        <f aca="false">IFERROR(MIN(E235:J235),"")</f>
        <v>0</v>
      </c>
      <c r="L235" s="51" t="str">
        <f aca="false">IF(COUNT(E235:J235)&lt;2,"-",IF(LOOKUP(2,1/(E235:J235&lt;&gt;""),E235:J235)&lt;INDEX(E235:J235,MATCH(TRUE(),E235:J235&lt;&gt;"",0)),"↑",IF(LOOKUP(2,1/(E235:J235&lt;&gt;""),E235:J235)&gt;INDEX(E235:J235,MATCH(TRUE(),E235:J235&lt;&gt;"",0)),"↓","→")))</f>
        <v>-</v>
      </c>
    </row>
    <row r="236" customFormat="false" ht="25.5" hidden="false" customHeight="true" outlineLevel="0" collapsed="false">
      <c r="A236" s="51" t="n">
        <v>235</v>
      </c>
      <c r="B236" s="51" t="n">
        <v>2</v>
      </c>
      <c r="C236" s="11" t="s">
        <v>696</v>
      </c>
      <c r="D236" s="11" t="s">
        <v>697</v>
      </c>
      <c r="E236" s="51"/>
      <c r="F236" s="51"/>
      <c r="G236" s="51"/>
      <c r="H236" s="51"/>
      <c r="I236" s="51"/>
      <c r="J236" s="51"/>
      <c r="K236" s="12" t="n">
        <f aca="false">IFERROR(MIN(E236:J236),"")</f>
        <v>0</v>
      </c>
      <c r="L236" s="51" t="str">
        <f aca="false">IF(COUNT(E236:J236)&lt;2,"-",IF(LOOKUP(2,1/(E236:J236&lt;&gt;""),E236:J236)&lt;INDEX(E236:J236,MATCH(TRUE(),E236:J236&lt;&gt;"",0)),"↑",IF(LOOKUP(2,1/(E236:J236&lt;&gt;""),E236:J236)&gt;INDEX(E236:J236,MATCH(TRUE(),E236:J236&lt;&gt;"",0)),"↓","→")))</f>
        <v>-</v>
      </c>
    </row>
    <row r="237" customFormat="false" ht="25.5" hidden="false" customHeight="true" outlineLevel="0" collapsed="false">
      <c r="A237" s="51" t="n">
        <v>236</v>
      </c>
      <c r="B237" s="51" t="n">
        <v>2</v>
      </c>
      <c r="C237" s="13" t="s">
        <v>698</v>
      </c>
      <c r="D237" s="13" t="s">
        <v>699</v>
      </c>
      <c r="E237" s="51"/>
      <c r="F237" s="51"/>
      <c r="G237" s="51"/>
      <c r="H237" s="51"/>
      <c r="I237" s="51"/>
      <c r="J237" s="51"/>
      <c r="K237" s="12" t="n">
        <f aca="false">IFERROR(MIN(E237:J237),"")</f>
        <v>0</v>
      </c>
      <c r="L237" s="51" t="str">
        <f aca="false">IF(COUNT(E237:J237)&lt;2,"-",IF(LOOKUP(2,1/(E237:J237&lt;&gt;""),E237:J237)&lt;INDEX(E237:J237,MATCH(TRUE(),E237:J237&lt;&gt;"",0)),"↑",IF(LOOKUP(2,1/(E237:J237&lt;&gt;""),E237:J237)&gt;INDEX(E237:J237,MATCH(TRUE(),E237:J237&lt;&gt;"",0)),"↓","→")))</f>
        <v>-</v>
      </c>
    </row>
    <row r="238" customFormat="false" ht="25.5" hidden="false" customHeight="true" outlineLevel="0" collapsed="false">
      <c r="A238" s="51" t="n">
        <v>237</v>
      </c>
      <c r="B238" s="51" t="n">
        <v>2</v>
      </c>
      <c r="C238" s="11" t="s">
        <v>700</v>
      </c>
      <c r="D238" s="11" t="s">
        <v>701</v>
      </c>
      <c r="E238" s="51"/>
      <c r="F238" s="51"/>
      <c r="G238" s="51"/>
      <c r="H238" s="51"/>
      <c r="I238" s="51"/>
      <c r="J238" s="51"/>
      <c r="K238" s="12" t="n">
        <f aca="false">IFERROR(MIN(E238:J238),"")</f>
        <v>0</v>
      </c>
      <c r="L238" s="51" t="str">
        <f aca="false">IF(COUNT(E238:J238)&lt;2,"-",IF(LOOKUP(2,1/(E238:J238&lt;&gt;""),E238:J238)&lt;INDEX(E238:J238,MATCH(TRUE(),E238:J238&lt;&gt;"",0)),"↑",IF(LOOKUP(2,1/(E238:J238&lt;&gt;""),E238:J238)&gt;INDEX(E238:J238,MATCH(TRUE(),E238:J238&lt;&gt;"",0)),"↓","→")))</f>
        <v>-</v>
      </c>
    </row>
    <row r="239" customFormat="false" ht="25.5" hidden="false" customHeight="true" outlineLevel="0" collapsed="false">
      <c r="A239" s="51" t="n">
        <v>238</v>
      </c>
      <c r="B239" s="51" t="n">
        <v>2</v>
      </c>
      <c r="C239" s="13" t="s">
        <v>702</v>
      </c>
      <c r="D239" s="13" t="s">
        <v>703</v>
      </c>
      <c r="E239" s="51"/>
      <c r="F239" s="51"/>
      <c r="G239" s="51"/>
      <c r="H239" s="51"/>
      <c r="I239" s="51"/>
      <c r="J239" s="51"/>
      <c r="K239" s="12" t="n">
        <f aca="false">IFERROR(MIN(E239:J239),"")</f>
        <v>0</v>
      </c>
      <c r="L239" s="51" t="str">
        <f aca="false">IF(COUNT(E239:J239)&lt;2,"-",IF(LOOKUP(2,1/(E239:J239&lt;&gt;""),E239:J239)&lt;INDEX(E239:J239,MATCH(TRUE(),E239:J239&lt;&gt;"",0)),"↑",IF(LOOKUP(2,1/(E239:J239&lt;&gt;""),E239:J239)&gt;INDEX(E239:J239,MATCH(TRUE(),E239:J239&lt;&gt;"",0)),"↓","→")))</f>
        <v>-</v>
      </c>
    </row>
    <row r="240" customFormat="false" ht="25.5" hidden="false" customHeight="true" outlineLevel="0" collapsed="false">
      <c r="A240" s="51" t="n">
        <v>239</v>
      </c>
      <c r="B240" s="51" t="n">
        <v>2</v>
      </c>
      <c r="C240" s="11" t="s">
        <v>704</v>
      </c>
      <c r="D240" s="11" t="s">
        <v>705</v>
      </c>
      <c r="E240" s="51"/>
      <c r="F240" s="51"/>
      <c r="G240" s="51"/>
      <c r="H240" s="51"/>
      <c r="I240" s="51"/>
      <c r="J240" s="51"/>
      <c r="K240" s="12" t="n">
        <f aca="false">IFERROR(MIN(E240:J240),"")</f>
        <v>0</v>
      </c>
      <c r="L240" s="51" t="str">
        <f aca="false">IF(COUNT(E240:J240)&lt;2,"-",IF(LOOKUP(2,1/(E240:J240&lt;&gt;""),E240:J240)&lt;INDEX(E240:J240,MATCH(TRUE(),E240:J240&lt;&gt;"",0)),"↑",IF(LOOKUP(2,1/(E240:J240&lt;&gt;""),E240:J240)&gt;INDEX(E240:J240,MATCH(TRUE(),E240:J240&lt;&gt;"",0)),"↓","→")))</f>
        <v>-</v>
      </c>
    </row>
    <row r="241" customFormat="false" ht="25.5" hidden="false" customHeight="true" outlineLevel="0" collapsed="false">
      <c r="A241" s="51" t="n">
        <v>240</v>
      </c>
      <c r="B241" s="51" t="n">
        <v>2</v>
      </c>
      <c r="C241" s="13" t="s">
        <v>706</v>
      </c>
      <c r="D241" s="13" t="s">
        <v>707</v>
      </c>
      <c r="E241" s="51"/>
      <c r="F241" s="51"/>
      <c r="G241" s="51"/>
      <c r="H241" s="51"/>
      <c r="I241" s="51"/>
      <c r="J241" s="51"/>
      <c r="K241" s="12" t="n">
        <f aca="false">IFERROR(MIN(E241:J241),"")</f>
        <v>0</v>
      </c>
      <c r="L241" s="51" t="str">
        <f aca="false">IF(COUNT(E241:J241)&lt;2,"-",IF(LOOKUP(2,1/(E241:J241&lt;&gt;""),E241:J241)&lt;INDEX(E241:J241,MATCH(TRUE(),E241:J241&lt;&gt;"",0)),"↑",IF(LOOKUP(2,1/(E241:J241&lt;&gt;""),E241:J241)&gt;INDEX(E241:J241,MATCH(TRUE(),E241:J241&lt;&gt;"",0)),"↓","→")))</f>
        <v>-</v>
      </c>
    </row>
    <row r="242" customFormat="false" ht="25.5" hidden="false" customHeight="true" outlineLevel="0" collapsed="false">
      <c r="A242" s="51" t="n">
        <v>241</v>
      </c>
      <c r="B242" s="51" t="n">
        <v>2</v>
      </c>
      <c r="C242" s="11" t="s">
        <v>708</v>
      </c>
      <c r="D242" s="11" t="s">
        <v>709</v>
      </c>
      <c r="E242" s="51"/>
      <c r="F242" s="51"/>
      <c r="G242" s="51"/>
      <c r="H242" s="51"/>
      <c r="I242" s="51"/>
      <c r="J242" s="51"/>
      <c r="K242" s="12" t="n">
        <f aca="false">IFERROR(MIN(E242:J242),"")</f>
        <v>0</v>
      </c>
      <c r="L242" s="51" t="str">
        <f aca="false">IF(COUNT(E242:J242)&lt;2,"-",IF(LOOKUP(2,1/(E242:J242&lt;&gt;""),E242:J242)&lt;INDEX(E242:J242,MATCH(TRUE(),E242:J242&lt;&gt;"",0)),"↑",IF(LOOKUP(2,1/(E242:J242&lt;&gt;""),E242:J242)&gt;INDEX(E242:J242,MATCH(TRUE(),E242:J242&lt;&gt;"",0)),"↓","→")))</f>
        <v>-</v>
      </c>
    </row>
    <row r="243" customFormat="false" ht="25.5" hidden="false" customHeight="true" outlineLevel="0" collapsed="false">
      <c r="A243" s="51" t="n">
        <v>242</v>
      </c>
      <c r="B243" s="51" t="n">
        <v>2</v>
      </c>
      <c r="C243" s="13" t="s">
        <v>710</v>
      </c>
      <c r="D243" s="13" t="s">
        <v>711</v>
      </c>
      <c r="E243" s="51"/>
      <c r="F243" s="51"/>
      <c r="G243" s="51"/>
      <c r="H243" s="51"/>
      <c r="I243" s="51"/>
      <c r="J243" s="51"/>
      <c r="K243" s="12" t="n">
        <f aca="false">IFERROR(MIN(E243:J243),"")</f>
        <v>0</v>
      </c>
      <c r="L243" s="51" t="str">
        <f aca="false">IF(COUNT(E243:J243)&lt;2,"-",IF(LOOKUP(2,1/(E243:J243&lt;&gt;""),E243:J243)&lt;INDEX(E243:J243,MATCH(TRUE(),E243:J243&lt;&gt;"",0)),"↑",IF(LOOKUP(2,1/(E243:J243&lt;&gt;""),E243:J243)&gt;INDEX(E243:J243,MATCH(TRUE(),E243:J243&lt;&gt;"",0)),"↓","→")))</f>
        <v>-</v>
      </c>
    </row>
    <row r="244" customFormat="false" ht="25.5" hidden="false" customHeight="true" outlineLevel="0" collapsed="false">
      <c r="A244" s="51" t="n">
        <v>243</v>
      </c>
      <c r="B244" s="51" t="n">
        <v>2</v>
      </c>
      <c r="C244" s="11" t="s">
        <v>712</v>
      </c>
      <c r="D244" s="11" t="s">
        <v>713</v>
      </c>
      <c r="E244" s="51"/>
      <c r="F244" s="51"/>
      <c r="G244" s="51"/>
      <c r="H244" s="51"/>
      <c r="I244" s="51"/>
      <c r="J244" s="51"/>
      <c r="K244" s="12" t="n">
        <f aca="false">IFERROR(MIN(E244:J244),"")</f>
        <v>0</v>
      </c>
      <c r="L244" s="51" t="str">
        <f aca="false">IF(COUNT(E244:J244)&lt;2,"-",IF(LOOKUP(2,1/(E244:J244&lt;&gt;""),E244:J244)&lt;INDEX(E244:J244,MATCH(TRUE(),E244:J244&lt;&gt;"",0)),"↑",IF(LOOKUP(2,1/(E244:J244&lt;&gt;""),E244:J244)&gt;INDEX(E244:J244,MATCH(TRUE(),E244:J244&lt;&gt;"",0)),"↓","→")))</f>
        <v>-</v>
      </c>
    </row>
    <row r="245" customFormat="false" ht="25.5" hidden="false" customHeight="true" outlineLevel="0" collapsed="false">
      <c r="A245" s="51" t="n">
        <v>244</v>
      </c>
      <c r="B245" s="51" t="n">
        <v>2</v>
      </c>
      <c r="C245" s="13" t="s">
        <v>714</v>
      </c>
      <c r="D245" s="13" t="s">
        <v>715</v>
      </c>
      <c r="E245" s="51"/>
      <c r="F245" s="51"/>
      <c r="G245" s="51"/>
      <c r="H245" s="51"/>
      <c r="I245" s="51"/>
      <c r="J245" s="51"/>
      <c r="K245" s="12" t="n">
        <f aca="false">IFERROR(MIN(E245:J245),"")</f>
        <v>0</v>
      </c>
      <c r="L245" s="51" t="str">
        <f aca="false">IF(COUNT(E245:J245)&lt;2,"-",IF(LOOKUP(2,1/(E245:J245&lt;&gt;""),E245:J245)&lt;INDEX(E245:J245,MATCH(TRUE(),E245:J245&lt;&gt;"",0)),"↑",IF(LOOKUP(2,1/(E245:J245&lt;&gt;""),E245:J245)&gt;INDEX(E245:J245,MATCH(TRUE(),E245:J245&lt;&gt;"",0)),"↓","→")))</f>
        <v>-</v>
      </c>
    </row>
    <row r="246" customFormat="false" ht="25.5" hidden="false" customHeight="true" outlineLevel="0" collapsed="false">
      <c r="A246" s="51" t="n">
        <v>245</v>
      </c>
      <c r="B246" s="51" t="n">
        <v>2</v>
      </c>
      <c r="C246" s="11" t="s">
        <v>716</v>
      </c>
      <c r="D246" s="11" t="s">
        <v>717</v>
      </c>
      <c r="E246" s="51"/>
      <c r="F246" s="51"/>
      <c r="G246" s="51"/>
      <c r="H246" s="51"/>
      <c r="I246" s="51"/>
      <c r="J246" s="51"/>
      <c r="K246" s="12" t="n">
        <f aca="false">IFERROR(MIN(E246:J246),"")</f>
        <v>0</v>
      </c>
      <c r="L246" s="51" t="str">
        <f aca="false">IF(COUNT(E246:J246)&lt;2,"-",IF(LOOKUP(2,1/(E246:J246&lt;&gt;""),E246:J246)&lt;INDEX(E246:J246,MATCH(TRUE(),E246:J246&lt;&gt;"",0)),"↑",IF(LOOKUP(2,1/(E246:J246&lt;&gt;""),E246:J246)&gt;INDEX(E246:J246,MATCH(TRUE(),E246:J246&lt;&gt;"",0)),"↓","→")))</f>
        <v>-</v>
      </c>
    </row>
    <row r="247" customFormat="false" ht="25.5" hidden="false" customHeight="true" outlineLevel="0" collapsed="false">
      <c r="A247" s="51" t="n">
        <v>246</v>
      </c>
      <c r="B247" s="51" t="n">
        <v>2</v>
      </c>
      <c r="C247" s="13" t="s">
        <v>718</v>
      </c>
      <c r="D247" s="13" t="s">
        <v>719</v>
      </c>
      <c r="E247" s="51"/>
      <c r="F247" s="51"/>
      <c r="G247" s="51"/>
      <c r="H247" s="51"/>
      <c r="I247" s="51"/>
      <c r="J247" s="51"/>
      <c r="K247" s="12" t="n">
        <f aca="false">IFERROR(MIN(E247:J247),"")</f>
        <v>0</v>
      </c>
      <c r="L247" s="51" t="str">
        <f aca="false">IF(COUNT(E247:J247)&lt;2,"-",IF(LOOKUP(2,1/(E247:J247&lt;&gt;""),E247:J247)&lt;INDEX(E247:J247,MATCH(TRUE(),E247:J247&lt;&gt;"",0)),"↑",IF(LOOKUP(2,1/(E247:J247&lt;&gt;""),E247:J247)&gt;INDEX(E247:J247,MATCH(TRUE(),E247:J247&lt;&gt;"",0)),"↓","→")))</f>
        <v>-</v>
      </c>
    </row>
    <row r="248" customFormat="false" ht="25.5" hidden="false" customHeight="true" outlineLevel="0" collapsed="false">
      <c r="A248" s="51" t="n">
        <v>247</v>
      </c>
      <c r="B248" s="51" t="n">
        <v>2</v>
      </c>
      <c r="C248" s="11" t="s">
        <v>720</v>
      </c>
      <c r="D248" s="11" t="s">
        <v>721</v>
      </c>
      <c r="E248" s="51"/>
      <c r="F248" s="51"/>
      <c r="G248" s="51"/>
      <c r="H248" s="51"/>
      <c r="I248" s="51"/>
      <c r="J248" s="51"/>
      <c r="K248" s="12" t="n">
        <f aca="false">IFERROR(MIN(E248:J248),"")</f>
        <v>0</v>
      </c>
      <c r="L248" s="51" t="str">
        <f aca="false">IF(COUNT(E248:J248)&lt;2,"-",IF(LOOKUP(2,1/(E248:J248&lt;&gt;""),E248:J248)&lt;INDEX(E248:J248,MATCH(TRUE(),E248:J248&lt;&gt;"",0)),"↑",IF(LOOKUP(2,1/(E248:J248&lt;&gt;""),E248:J248)&gt;INDEX(E248:J248,MATCH(TRUE(),E248:J248&lt;&gt;"",0)),"↓","→")))</f>
        <v>-</v>
      </c>
    </row>
    <row r="249" customFormat="false" ht="25.5" hidden="false" customHeight="true" outlineLevel="0" collapsed="false">
      <c r="A249" s="51" t="n">
        <v>248</v>
      </c>
      <c r="B249" s="51" t="n">
        <v>2</v>
      </c>
      <c r="C249" s="13" t="s">
        <v>722</v>
      </c>
      <c r="D249" s="13" t="s">
        <v>723</v>
      </c>
      <c r="E249" s="51"/>
      <c r="F249" s="51"/>
      <c r="G249" s="51"/>
      <c r="H249" s="51"/>
      <c r="I249" s="51"/>
      <c r="J249" s="51"/>
      <c r="K249" s="12" t="n">
        <f aca="false">IFERROR(MIN(E249:J249),"")</f>
        <v>0</v>
      </c>
      <c r="L249" s="51" t="str">
        <f aca="false">IF(COUNT(E249:J249)&lt;2,"-",IF(LOOKUP(2,1/(E249:J249&lt;&gt;""),E249:J249)&lt;INDEX(E249:J249,MATCH(TRUE(),E249:J249&lt;&gt;"",0)),"↑",IF(LOOKUP(2,1/(E249:J249&lt;&gt;""),E249:J249)&gt;INDEX(E249:J249,MATCH(TRUE(),E249:J249&lt;&gt;"",0)),"↓","→")))</f>
        <v>-</v>
      </c>
    </row>
    <row r="250" customFormat="false" ht="25.5" hidden="false" customHeight="true" outlineLevel="0" collapsed="false">
      <c r="A250" s="51" t="n">
        <v>249</v>
      </c>
      <c r="B250" s="51" t="n">
        <v>2</v>
      </c>
      <c r="C250" s="11" t="s">
        <v>724</v>
      </c>
      <c r="D250" s="11" t="s">
        <v>725</v>
      </c>
      <c r="E250" s="51"/>
      <c r="F250" s="51"/>
      <c r="G250" s="51"/>
      <c r="H250" s="51"/>
      <c r="I250" s="51"/>
      <c r="J250" s="51"/>
      <c r="K250" s="12" t="n">
        <f aca="false">IFERROR(MIN(E250:J250),"")</f>
        <v>0</v>
      </c>
      <c r="L250" s="51" t="str">
        <f aca="false">IF(COUNT(E250:J250)&lt;2,"-",IF(LOOKUP(2,1/(E250:J250&lt;&gt;""),E250:J250)&lt;INDEX(E250:J250,MATCH(TRUE(),E250:J250&lt;&gt;"",0)),"↑",IF(LOOKUP(2,1/(E250:J250&lt;&gt;""),E250:J250)&gt;INDEX(E250:J250,MATCH(TRUE(),E250:J250&lt;&gt;"",0)),"↓","→")))</f>
        <v>-</v>
      </c>
    </row>
    <row r="251" customFormat="false" ht="25.5" hidden="false" customHeight="true" outlineLevel="0" collapsed="false">
      <c r="A251" s="51" t="n">
        <v>250</v>
      </c>
      <c r="B251" s="51" t="n">
        <v>2</v>
      </c>
      <c r="C251" s="13" t="s">
        <v>726</v>
      </c>
      <c r="D251" s="13" t="s">
        <v>727</v>
      </c>
      <c r="E251" s="51"/>
      <c r="F251" s="51"/>
      <c r="G251" s="51"/>
      <c r="H251" s="51"/>
      <c r="I251" s="51"/>
      <c r="J251" s="51"/>
      <c r="K251" s="12" t="n">
        <f aca="false">IFERROR(MIN(E251:J251),"")</f>
        <v>0</v>
      </c>
      <c r="L251" s="51" t="str">
        <f aca="false">IF(COUNT(E251:J251)&lt;2,"-",IF(LOOKUP(2,1/(E251:J251&lt;&gt;""),E251:J251)&lt;INDEX(E251:J251,MATCH(TRUE(),E251:J251&lt;&gt;"",0)),"↑",IF(LOOKUP(2,1/(E251:J251&lt;&gt;""),E251:J251)&gt;INDEX(E251:J251,MATCH(TRUE(),E251:J251&lt;&gt;"",0)),"↓","→")))</f>
        <v>-</v>
      </c>
    </row>
    <row r="252" customFormat="false" ht="25.5" hidden="false" customHeight="true" outlineLevel="0" collapsed="false">
      <c r="A252" s="51" t="n">
        <v>251</v>
      </c>
      <c r="B252" s="51" t="n">
        <v>2</v>
      </c>
      <c r="C252" s="11" t="s">
        <v>728</v>
      </c>
      <c r="D252" s="11" t="s">
        <v>729</v>
      </c>
      <c r="E252" s="51"/>
      <c r="F252" s="51"/>
      <c r="G252" s="51"/>
      <c r="H252" s="51"/>
      <c r="I252" s="51"/>
      <c r="J252" s="51"/>
      <c r="K252" s="12" t="n">
        <f aca="false">IFERROR(MIN(E252:J252),"")</f>
        <v>0</v>
      </c>
      <c r="L252" s="51" t="str">
        <f aca="false">IF(COUNT(E252:J252)&lt;2,"-",IF(LOOKUP(2,1/(E252:J252&lt;&gt;""),E252:J252)&lt;INDEX(E252:J252,MATCH(TRUE(),E252:J252&lt;&gt;"",0)),"↑",IF(LOOKUP(2,1/(E252:J252&lt;&gt;""),E252:J252)&gt;INDEX(E252:J252,MATCH(TRUE(),E252:J252&lt;&gt;"",0)),"↓","→")))</f>
        <v>-</v>
      </c>
    </row>
    <row r="253" customFormat="false" ht="25.5" hidden="false" customHeight="true" outlineLevel="0" collapsed="false">
      <c r="A253" s="51" t="n">
        <v>252</v>
      </c>
      <c r="B253" s="51" t="n">
        <v>2</v>
      </c>
      <c r="C253" s="13" t="s">
        <v>730</v>
      </c>
      <c r="D253" s="13" t="s">
        <v>731</v>
      </c>
      <c r="E253" s="51"/>
      <c r="F253" s="51"/>
      <c r="G253" s="51"/>
      <c r="H253" s="51"/>
      <c r="I253" s="51"/>
      <c r="J253" s="51"/>
      <c r="K253" s="12" t="n">
        <f aca="false">IFERROR(MIN(E253:J253),"")</f>
        <v>0</v>
      </c>
      <c r="L253" s="51" t="str">
        <f aca="false">IF(COUNT(E253:J253)&lt;2,"-",IF(LOOKUP(2,1/(E253:J253&lt;&gt;""),E253:J253)&lt;INDEX(E253:J253,MATCH(TRUE(),E253:J253&lt;&gt;"",0)),"↑",IF(LOOKUP(2,1/(E253:J253&lt;&gt;""),E253:J253)&gt;INDEX(E253:J253,MATCH(TRUE(),E253:J253&lt;&gt;"",0)),"↓","→")))</f>
        <v>-</v>
      </c>
    </row>
    <row r="254" customFormat="false" ht="25.5" hidden="false" customHeight="true" outlineLevel="0" collapsed="false">
      <c r="A254" s="51" t="n">
        <v>253</v>
      </c>
      <c r="B254" s="51" t="n">
        <v>2</v>
      </c>
      <c r="C254" s="11" t="s">
        <v>732</v>
      </c>
      <c r="D254" s="11" t="s">
        <v>733</v>
      </c>
      <c r="E254" s="51"/>
      <c r="F254" s="51"/>
      <c r="G254" s="51"/>
      <c r="H254" s="51"/>
      <c r="I254" s="51"/>
      <c r="J254" s="51"/>
      <c r="K254" s="12" t="n">
        <f aca="false">IFERROR(MIN(E254:J254),"")</f>
        <v>0</v>
      </c>
      <c r="L254" s="51" t="str">
        <f aca="false">IF(COUNT(E254:J254)&lt;2,"-",IF(LOOKUP(2,1/(E254:J254&lt;&gt;""),E254:J254)&lt;INDEX(E254:J254,MATCH(TRUE(),E254:J254&lt;&gt;"",0)),"↑",IF(LOOKUP(2,1/(E254:J254&lt;&gt;""),E254:J254)&gt;INDEX(E254:J254,MATCH(TRUE(),E254:J254&lt;&gt;"",0)),"↓","→")))</f>
        <v>-</v>
      </c>
    </row>
    <row r="255" customFormat="false" ht="25.5" hidden="false" customHeight="true" outlineLevel="0" collapsed="false">
      <c r="A255" s="51" t="n">
        <v>254</v>
      </c>
      <c r="B255" s="51" t="n">
        <v>2</v>
      </c>
      <c r="C255" s="13" t="s">
        <v>734</v>
      </c>
      <c r="D255" s="13" t="s">
        <v>735</v>
      </c>
      <c r="E255" s="51"/>
      <c r="F255" s="51"/>
      <c r="G255" s="51"/>
      <c r="H255" s="51"/>
      <c r="I255" s="51"/>
      <c r="J255" s="51"/>
      <c r="K255" s="12" t="n">
        <f aca="false">IFERROR(MIN(E255:J255),"")</f>
        <v>0</v>
      </c>
      <c r="L255" s="51" t="str">
        <f aca="false">IF(COUNT(E255:J255)&lt;2,"-",IF(LOOKUP(2,1/(E255:J255&lt;&gt;""),E255:J255)&lt;INDEX(E255:J255,MATCH(TRUE(),E255:J255&lt;&gt;"",0)),"↑",IF(LOOKUP(2,1/(E255:J255&lt;&gt;""),E255:J255)&gt;INDEX(E255:J255,MATCH(TRUE(),E255:J255&lt;&gt;"",0)),"↓","→")))</f>
        <v>-</v>
      </c>
    </row>
    <row r="256" customFormat="false" ht="25.5" hidden="false" customHeight="true" outlineLevel="0" collapsed="false">
      <c r="A256" s="51" t="n">
        <v>255</v>
      </c>
      <c r="B256" s="51" t="n">
        <v>2</v>
      </c>
      <c r="C256" s="11" t="s">
        <v>736</v>
      </c>
      <c r="D256" s="11" t="s">
        <v>737</v>
      </c>
      <c r="E256" s="51"/>
      <c r="F256" s="51"/>
      <c r="G256" s="51"/>
      <c r="H256" s="51"/>
      <c r="I256" s="51"/>
      <c r="J256" s="51"/>
      <c r="K256" s="12" t="n">
        <f aca="false">IFERROR(MIN(E256:J256),"")</f>
        <v>0</v>
      </c>
      <c r="L256" s="51" t="str">
        <f aca="false">IF(COUNT(E256:J256)&lt;2,"-",IF(LOOKUP(2,1/(E256:J256&lt;&gt;""),E256:J256)&lt;INDEX(E256:J256,MATCH(TRUE(),E256:J256&lt;&gt;"",0)),"↑",IF(LOOKUP(2,1/(E256:J256&lt;&gt;""),E256:J256)&gt;INDEX(E256:J256,MATCH(TRUE(),E256:J256&lt;&gt;"",0)),"↓","→")))</f>
        <v>-</v>
      </c>
    </row>
    <row r="257" customFormat="false" ht="25.5" hidden="false" customHeight="true" outlineLevel="0" collapsed="false">
      <c r="A257" s="51" t="n">
        <v>256</v>
      </c>
      <c r="B257" s="51" t="n">
        <v>2</v>
      </c>
      <c r="C257" s="13" t="s">
        <v>738</v>
      </c>
      <c r="D257" s="13" t="s">
        <v>739</v>
      </c>
      <c r="E257" s="51"/>
      <c r="F257" s="51"/>
      <c r="G257" s="51"/>
      <c r="H257" s="51"/>
      <c r="I257" s="51"/>
      <c r="J257" s="51"/>
      <c r="K257" s="12" t="n">
        <f aca="false">IFERROR(MIN(E257:J257),"")</f>
        <v>0</v>
      </c>
      <c r="L257" s="51" t="str">
        <f aca="false">IF(COUNT(E257:J257)&lt;2,"-",IF(LOOKUP(2,1/(E257:J257&lt;&gt;""),E257:J257)&lt;INDEX(E257:J257,MATCH(TRUE(),E257:J257&lt;&gt;"",0)),"↑",IF(LOOKUP(2,1/(E257:J257&lt;&gt;""),E257:J257)&gt;INDEX(E257:J257,MATCH(TRUE(),E257:J257&lt;&gt;"",0)),"↓","→")))</f>
        <v>-</v>
      </c>
    </row>
    <row r="258" customFormat="false" ht="25.5" hidden="false" customHeight="true" outlineLevel="0" collapsed="false">
      <c r="A258" s="51" t="n">
        <v>257</v>
      </c>
      <c r="B258" s="51" t="n">
        <v>2</v>
      </c>
      <c r="C258" s="11" t="s">
        <v>740</v>
      </c>
      <c r="D258" s="11" t="s">
        <v>741</v>
      </c>
      <c r="E258" s="51"/>
      <c r="F258" s="51"/>
      <c r="G258" s="51"/>
      <c r="H258" s="51"/>
      <c r="I258" s="51"/>
      <c r="J258" s="51"/>
      <c r="K258" s="12" t="n">
        <f aca="false">IFERROR(MIN(E258:J258),"")</f>
        <v>0</v>
      </c>
      <c r="L258" s="51" t="str">
        <f aca="false">IF(COUNT(E258:J258)&lt;2,"-",IF(LOOKUP(2,1/(E258:J258&lt;&gt;""),E258:J258)&lt;INDEX(E258:J258,MATCH(TRUE(),E258:J258&lt;&gt;"",0)),"↑",IF(LOOKUP(2,1/(E258:J258&lt;&gt;""),E258:J258)&gt;INDEX(E258:J258,MATCH(TRUE(),E258:J258&lt;&gt;"",0)),"↓","→")))</f>
        <v>-</v>
      </c>
    </row>
    <row r="259" customFormat="false" ht="25.5" hidden="false" customHeight="true" outlineLevel="0" collapsed="false">
      <c r="A259" s="51" t="n">
        <v>258</v>
      </c>
      <c r="B259" s="51" t="n">
        <v>2</v>
      </c>
      <c r="C259" s="13" t="s">
        <v>742</v>
      </c>
      <c r="D259" s="13" t="s">
        <v>743</v>
      </c>
      <c r="E259" s="51"/>
      <c r="F259" s="51"/>
      <c r="G259" s="51"/>
      <c r="H259" s="51"/>
      <c r="I259" s="51"/>
      <c r="J259" s="51"/>
      <c r="K259" s="12" t="n">
        <f aca="false">IFERROR(MIN(E259:J259),"")</f>
        <v>0</v>
      </c>
      <c r="L259" s="51" t="str">
        <f aca="false">IF(COUNT(E259:J259)&lt;2,"-",IF(LOOKUP(2,1/(E259:J259&lt;&gt;""),E259:J259)&lt;INDEX(E259:J259,MATCH(TRUE(),E259:J259&lt;&gt;"",0)),"↑",IF(LOOKUP(2,1/(E259:J259&lt;&gt;""),E259:J259)&gt;INDEX(E259:J259,MATCH(TRUE(),E259:J259&lt;&gt;"",0)),"↓","→")))</f>
        <v>-</v>
      </c>
    </row>
    <row r="260" customFormat="false" ht="25.5" hidden="false" customHeight="true" outlineLevel="0" collapsed="false">
      <c r="A260" s="51" t="n">
        <v>259</v>
      </c>
      <c r="B260" s="51" t="n">
        <v>2</v>
      </c>
      <c r="C260" s="11" t="s">
        <v>744</v>
      </c>
      <c r="D260" s="11" t="s">
        <v>745</v>
      </c>
      <c r="E260" s="51"/>
      <c r="F260" s="51"/>
      <c r="G260" s="51"/>
      <c r="H260" s="51"/>
      <c r="I260" s="51"/>
      <c r="J260" s="51"/>
      <c r="K260" s="12" t="n">
        <f aca="false">IFERROR(MIN(E260:J260),"")</f>
        <v>0</v>
      </c>
      <c r="L260" s="51" t="str">
        <f aca="false">IF(COUNT(E260:J260)&lt;2,"-",IF(LOOKUP(2,1/(E260:J260&lt;&gt;""),E260:J260)&lt;INDEX(E260:J260,MATCH(TRUE(),E260:J260&lt;&gt;"",0)),"↑",IF(LOOKUP(2,1/(E260:J260&lt;&gt;""),E260:J260)&gt;INDEX(E260:J260,MATCH(TRUE(),E260:J260&lt;&gt;"",0)),"↓","→")))</f>
        <v>-</v>
      </c>
    </row>
    <row r="261" customFormat="false" ht="25.5" hidden="false" customHeight="true" outlineLevel="0" collapsed="false">
      <c r="A261" s="51" t="n">
        <v>260</v>
      </c>
      <c r="B261" s="51" t="n">
        <v>2</v>
      </c>
      <c r="C261" s="13" t="s">
        <v>746</v>
      </c>
      <c r="D261" s="13" t="s">
        <v>747</v>
      </c>
      <c r="E261" s="51"/>
      <c r="F261" s="51"/>
      <c r="G261" s="51"/>
      <c r="H261" s="51"/>
      <c r="I261" s="51"/>
      <c r="J261" s="51"/>
      <c r="K261" s="12" t="n">
        <f aca="false">IFERROR(MIN(E261:J261),"")</f>
        <v>0</v>
      </c>
      <c r="L261" s="51" t="str">
        <f aca="false">IF(COUNT(E261:J261)&lt;2,"-",IF(LOOKUP(2,1/(E261:J261&lt;&gt;""),E261:J261)&lt;INDEX(E261:J261,MATCH(TRUE(),E261:J261&lt;&gt;"",0)),"↑",IF(LOOKUP(2,1/(E261:J261&lt;&gt;""),E261:J261)&gt;INDEX(E261:J261,MATCH(TRUE(),E261:J261&lt;&gt;"",0)),"↓","→")))</f>
        <v>-</v>
      </c>
    </row>
    <row r="262" customFormat="false" ht="25.5" hidden="false" customHeight="true" outlineLevel="0" collapsed="false">
      <c r="A262" s="51" t="n">
        <v>261</v>
      </c>
      <c r="B262" s="51" t="n">
        <v>2</v>
      </c>
      <c r="C262" s="11" t="s">
        <v>748</v>
      </c>
      <c r="D262" s="11" t="s">
        <v>749</v>
      </c>
      <c r="E262" s="51"/>
      <c r="F262" s="51"/>
      <c r="G262" s="51"/>
      <c r="H262" s="51"/>
      <c r="I262" s="51"/>
      <c r="J262" s="51"/>
      <c r="K262" s="12" t="n">
        <f aca="false">IFERROR(MIN(E262:J262),"")</f>
        <v>0</v>
      </c>
      <c r="L262" s="51" t="str">
        <f aca="false">IF(COUNT(E262:J262)&lt;2,"-",IF(LOOKUP(2,1/(E262:J262&lt;&gt;""),E262:J262)&lt;INDEX(E262:J262,MATCH(TRUE(),E262:J262&lt;&gt;"",0)),"↑",IF(LOOKUP(2,1/(E262:J262&lt;&gt;""),E262:J262)&gt;INDEX(E262:J262,MATCH(TRUE(),E262:J262&lt;&gt;"",0)),"↓","→")))</f>
        <v>-</v>
      </c>
    </row>
    <row r="263" customFormat="false" ht="25.5" hidden="false" customHeight="true" outlineLevel="0" collapsed="false">
      <c r="A263" s="51" t="n">
        <v>262</v>
      </c>
      <c r="B263" s="51" t="n">
        <v>2</v>
      </c>
      <c r="C263" s="13" t="s">
        <v>750</v>
      </c>
      <c r="D263" s="13" t="s">
        <v>751</v>
      </c>
      <c r="E263" s="51"/>
      <c r="F263" s="51"/>
      <c r="G263" s="51"/>
      <c r="H263" s="51"/>
      <c r="I263" s="51"/>
      <c r="J263" s="51"/>
      <c r="K263" s="12" t="n">
        <f aca="false">IFERROR(MIN(E263:J263),"")</f>
        <v>0</v>
      </c>
      <c r="L263" s="51" t="str">
        <f aca="false">IF(COUNT(E263:J263)&lt;2,"-",IF(LOOKUP(2,1/(E263:J263&lt;&gt;""),E263:J263)&lt;INDEX(E263:J263,MATCH(TRUE(),E263:J263&lt;&gt;"",0)),"↑",IF(LOOKUP(2,1/(E263:J263&lt;&gt;""),E263:J263)&gt;INDEX(E263:J263,MATCH(TRUE(),E263:J263&lt;&gt;"",0)),"↓","→")))</f>
        <v>-</v>
      </c>
    </row>
    <row r="264" customFormat="false" ht="25.5" hidden="false" customHeight="true" outlineLevel="0" collapsed="false">
      <c r="A264" s="51" t="n">
        <v>263</v>
      </c>
      <c r="B264" s="51" t="n">
        <v>2</v>
      </c>
      <c r="C264" s="11" t="s">
        <v>752</v>
      </c>
      <c r="D264" s="11" t="s">
        <v>753</v>
      </c>
      <c r="E264" s="51"/>
      <c r="F264" s="51"/>
      <c r="G264" s="51"/>
      <c r="H264" s="51"/>
      <c r="I264" s="51"/>
      <c r="J264" s="51"/>
      <c r="K264" s="12" t="n">
        <f aca="false">IFERROR(MIN(E264:J264),"")</f>
        <v>0</v>
      </c>
      <c r="L264" s="51" t="str">
        <f aca="false">IF(COUNT(E264:J264)&lt;2,"-",IF(LOOKUP(2,1/(E264:J264&lt;&gt;""),E264:J264)&lt;INDEX(E264:J264,MATCH(TRUE(),E264:J264&lt;&gt;"",0)),"↑",IF(LOOKUP(2,1/(E264:J264&lt;&gt;""),E264:J264)&gt;INDEX(E264:J264,MATCH(TRUE(),E264:J264&lt;&gt;"",0)),"↓","→")))</f>
        <v>-</v>
      </c>
    </row>
    <row r="265" customFormat="false" ht="25.5" hidden="false" customHeight="true" outlineLevel="0" collapsed="false">
      <c r="A265" s="51" t="n">
        <v>264</v>
      </c>
      <c r="B265" s="51" t="n">
        <v>2</v>
      </c>
      <c r="C265" s="13" t="s">
        <v>754</v>
      </c>
      <c r="D265" s="13" t="s">
        <v>755</v>
      </c>
      <c r="E265" s="51"/>
      <c r="F265" s="51"/>
      <c r="G265" s="51"/>
      <c r="H265" s="51"/>
      <c r="I265" s="51"/>
      <c r="J265" s="51"/>
      <c r="K265" s="12" t="n">
        <f aca="false">IFERROR(MIN(E265:J265),"")</f>
        <v>0</v>
      </c>
      <c r="L265" s="51" t="str">
        <f aca="false">IF(COUNT(E265:J265)&lt;2,"-",IF(LOOKUP(2,1/(E265:J265&lt;&gt;""),E265:J265)&lt;INDEX(E265:J265,MATCH(TRUE(),E265:J265&lt;&gt;"",0)),"↑",IF(LOOKUP(2,1/(E265:J265&lt;&gt;""),E265:J265)&gt;INDEX(E265:J265,MATCH(TRUE(),E265:J265&lt;&gt;"",0)),"↓","→")))</f>
        <v>-</v>
      </c>
    </row>
    <row r="266" customFormat="false" ht="25.5" hidden="false" customHeight="true" outlineLevel="0" collapsed="false">
      <c r="A266" s="51" t="n">
        <v>265</v>
      </c>
      <c r="B266" s="51" t="n">
        <v>2</v>
      </c>
      <c r="C266" s="11" t="s">
        <v>756</v>
      </c>
      <c r="D266" s="11" t="s">
        <v>757</v>
      </c>
      <c r="E266" s="51"/>
      <c r="F266" s="51"/>
      <c r="G266" s="51"/>
      <c r="H266" s="51"/>
      <c r="I266" s="51"/>
      <c r="J266" s="51"/>
      <c r="K266" s="12" t="n">
        <f aca="false">IFERROR(MIN(E266:J266),"")</f>
        <v>0</v>
      </c>
      <c r="L266" s="51" t="str">
        <f aca="false">IF(COUNT(E266:J266)&lt;2,"-",IF(LOOKUP(2,1/(E266:J266&lt;&gt;""),E266:J266)&lt;INDEX(E266:J266,MATCH(TRUE(),E266:J266&lt;&gt;"",0)),"↑",IF(LOOKUP(2,1/(E266:J266&lt;&gt;""),E266:J266)&gt;INDEX(E266:J266,MATCH(TRUE(),E266:J266&lt;&gt;"",0)),"↓","→")))</f>
        <v>-</v>
      </c>
    </row>
    <row r="267" customFormat="false" ht="25.5" hidden="false" customHeight="true" outlineLevel="0" collapsed="false">
      <c r="A267" s="51" t="n">
        <v>266</v>
      </c>
      <c r="B267" s="51" t="n">
        <v>2</v>
      </c>
      <c r="C267" s="13" t="s">
        <v>758</v>
      </c>
      <c r="D267" s="13" t="s">
        <v>759</v>
      </c>
      <c r="E267" s="51"/>
      <c r="F267" s="51"/>
      <c r="G267" s="51"/>
      <c r="H267" s="51"/>
      <c r="I267" s="51"/>
      <c r="J267" s="51"/>
      <c r="K267" s="12" t="n">
        <f aca="false">IFERROR(MIN(E267:J267),"")</f>
        <v>0</v>
      </c>
      <c r="L267" s="51" t="str">
        <f aca="false">IF(COUNT(E267:J267)&lt;2,"-",IF(LOOKUP(2,1/(E267:J267&lt;&gt;""),E267:J267)&lt;INDEX(E267:J267,MATCH(TRUE(),E267:J267&lt;&gt;"",0)),"↑",IF(LOOKUP(2,1/(E267:J267&lt;&gt;""),E267:J267)&gt;INDEX(E267:J267,MATCH(TRUE(),E267:J267&lt;&gt;"",0)),"↓","→")))</f>
        <v>-</v>
      </c>
    </row>
    <row r="268" customFormat="false" ht="25.5" hidden="false" customHeight="true" outlineLevel="0" collapsed="false">
      <c r="A268" s="51" t="n">
        <v>267</v>
      </c>
      <c r="B268" s="51" t="n">
        <v>2</v>
      </c>
      <c r="C268" s="11" t="s">
        <v>760</v>
      </c>
      <c r="D268" s="11" t="s">
        <v>761</v>
      </c>
      <c r="E268" s="51"/>
      <c r="F268" s="51"/>
      <c r="G268" s="51"/>
      <c r="H268" s="51"/>
      <c r="I268" s="51"/>
      <c r="J268" s="51"/>
      <c r="K268" s="12" t="n">
        <f aca="false">IFERROR(MIN(E268:J268),"")</f>
        <v>0</v>
      </c>
      <c r="L268" s="51" t="str">
        <f aca="false">IF(COUNT(E268:J268)&lt;2,"-",IF(LOOKUP(2,1/(E268:J268&lt;&gt;""),E268:J268)&lt;INDEX(E268:J268,MATCH(TRUE(),E268:J268&lt;&gt;"",0)),"↑",IF(LOOKUP(2,1/(E268:J268&lt;&gt;""),E268:J268)&gt;INDEX(E268:J268,MATCH(TRUE(),E268:J268&lt;&gt;"",0)),"↓","→")))</f>
        <v>-</v>
      </c>
    </row>
    <row r="269" customFormat="false" ht="25.5" hidden="false" customHeight="true" outlineLevel="0" collapsed="false">
      <c r="A269" s="51" t="n">
        <v>268</v>
      </c>
      <c r="B269" s="51" t="n">
        <v>2</v>
      </c>
      <c r="C269" s="13" t="s">
        <v>762</v>
      </c>
      <c r="D269" s="13" t="s">
        <v>763</v>
      </c>
      <c r="E269" s="51"/>
      <c r="F269" s="51"/>
      <c r="G269" s="51"/>
      <c r="H269" s="51"/>
      <c r="I269" s="51"/>
      <c r="J269" s="51"/>
      <c r="K269" s="12" t="n">
        <f aca="false">IFERROR(MIN(E269:J269),"")</f>
        <v>0</v>
      </c>
      <c r="L269" s="51" t="str">
        <f aca="false">IF(COUNT(E269:J269)&lt;2,"-",IF(LOOKUP(2,1/(E269:J269&lt;&gt;""),E269:J269)&lt;INDEX(E269:J269,MATCH(TRUE(),E269:J269&lt;&gt;"",0)),"↑",IF(LOOKUP(2,1/(E269:J269&lt;&gt;""),E269:J269)&gt;INDEX(E269:J269,MATCH(TRUE(),E269:J269&lt;&gt;"",0)),"↓","→")))</f>
        <v>-</v>
      </c>
    </row>
    <row r="270" customFormat="false" ht="25.5" hidden="false" customHeight="true" outlineLevel="0" collapsed="false">
      <c r="A270" s="51" t="n">
        <v>269</v>
      </c>
      <c r="B270" s="51" t="n">
        <v>2</v>
      </c>
      <c r="C270" s="11" t="s">
        <v>764</v>
      </c>
      <c r="D270" s="11" t="s">
        <v>765</v>
      </c>
      <c r="E270" s="51"/>
      <c r="F270" s="51"/>
      <c r="G270" s="51"/>
      <c r="H270" s="51"/>
      <c r="I270" s="51"/>
      <c r="J270" s="51"/>
      <c r="K270" s="12" t="n">
        <f aca="false">IFERROR(MIN(E270:J270),"")</f>
        <v>0</v>
      </c>
      <c r="L270" s="51" t="str">
        <f aca="false">IF(COUNT(E270:J270)&lt;2,"-",IF(LOOKUP(2,1/(E270:J270&lt;&gt;""),E270:J270)&lt;INDEX(E270:J270,MATCH(TRUE(),E270:J270&lt;&gt;"",0)),"↑",IF(LOOKUP(2,1/(E270:J270&lt;&gt;""),E270:J270)&gt;INDEX(E270:J270,MATCH(TRUE(),E270:J270&lt;&gt;"",0)),"↓","→")))</f>
        <v>-</v>
      </c>
    </row>
    <row r="271" customFormat="false" ht="25.5" hidden="false" customHeight="true" outlineLevel="0" collapsed="false">
      <c r="A271" s="51" t="n">
        <v>270</v>
      </c>
      <c r="B271" s="51" t="n">
        <v>2</v>
      </c>
      <c r="C271" s="13" t="s">
        <v>766</v>
      </c>
      <c r="D271" s="13" t="s">
        <v>767</v>
      </c>
      <c r="E271" s="51"/>
      <c r="F271" s="51"/>
      <c r="G271" s="51"/>
      <c r="H271" s="51"/>
      <c r="I271" s="51"/>
      <c r="J271" s="51"/>
      <c r="K271" s="12" t="n">
        <f aca="false">IFERROR(MIN(E271:J271),"")</f>
        <v>0</v>
      </c>
      <c r="L271" s="51" t="str">
        <f aca="false">IF(COUNT(E271:J271)&lt;2,"-",IF(LOOKUP(2,1/(E271:J271&lt;&gt;""),E271:J271)&lt;INDEX(E271:J271,MATCH(TRUE(),E271:J271&lt;&gt;"",0)),"↑",IF(LOOKUP(2,1/(E271:J271&lt;&gt;""),E271:J271)&gt;INDEX(E271:J271,MATCH(TRUE(),E271:J271&lt;&gt;"",0)),"↓","→")))</f>
        <v>-</v>
      </c>
    </row>
    <row r="272" customFormat="false" ht="25.5" hidden="false" customHeight="true" outlineLevel="0" collapsed="false">
      <c r="A272" s="51" t="n">
        <v>271</v>
      </c>
      <c r="B272" s="51" t="n">
        <v>2</v>
      </c>
      <c r="C272" s="11" t="s">
        <v>768</v>
      </c>
      <c r="D272" s="11" t="s">
        <v>769</v>
      </c>
      <c r="E272" s="51"/>
      <c r="F272" s="51"/>
      <c r="G272" s="51"/>
      <c r="H272" s="51"/>
      <c r="I272" s="51"/>
      <c r="J272" s="51"/>
      <c r="K272" s="12" t="n">
        <f aca="false">IFERROR(MIN(E272:J272),"")</f>
        <v>0</v>
      </c>
      <c r="L272" s="51" t="str">
        <f aca="false">IF(COUNT(E272:J272)&lt;2,"-",IF(LOOKUP(2,1/(E272:J272&lt;&gt;""),E272:J272)&lt;INDEX(E272:J272,MATCH(TRUE(),E272:J272&lt;&gt;"",0)),"↑",IF(LOOKUP(2,1/(E272:J272&lt;&gt;""),E272:J272)&gt;INDEX(E272:J272,MATCH(TRUE(),E272:J272&lt;&gt;"",0)),"↓","→")))</f>
        <v>-</v>
      </c>
    </row>
    <row r="273" customFormat="false" ht="25.5" hidden="false" customHeight="true" outlineLevel="0" collapsed="false">
      <c r="A273" s="51" t="n">
        <v>272</v>
      </c>
      <c r="B273" s="51" t="n">
        <v>2</v>
      </c>
      <c r="C273" s="13" t="s">
        <v>770</v>
      </c>
      <c r="D273" s="13" t="s">
        <v>771</v>
      </c>
      <c r="E273" s="51"/>
      <c r="F273" s="51"/>
      <c r="G273" s="51"/>
      <c r="H273" s="51"/>
      <c r="I273" s="51"/>
      <c r="J273" s="51"/>
      <c r="K273" s="12" t="n">
        <f aca="false">IFERROR(MIN(E273:J273),"")</f>
        <v>0</v>
      </c>
      <c r="L273" s="51" t="str">
        <f aca="false">IF(COUNT(E273:J273)&lt;2,"-",IF(LOOKUP(2,1/(E273:J273&lt;&gt;""),E273:J273)&lt;INDEX(E273:J273,MATCH(TRUE(),E273:J273&lt;&gt;"",0)),"↑",IF(LOOKUP(2,1/(E273:J273&lt;&gt;""),E273:J273)&gt;INDEX(E273:J273,MATCH(TRUE(),E273:J273&lt;&gt;"",0)),"↓","→")))</f>
        <v>-</v>
      </c>
    </row>
    <row r="274" customFormat="false" ht="25.5" hidden="false" customHeight="true" outlineLevel="0" collapsed="false">
      <c r="A274" s="51" t="n">
        <v>273</v>
      </c>
      <c r="B274" s="51" t="n">
        <v>2</v>
      </c>
      <c r="C274" s="11" t="s">
        <v>772</v>
      </c>
      <c r="D274" s="11" t="s">
        <v>773</v>
      </c>
      <c r="E274" s="51"/>
      <c r="F274" s="51"/>
      <c r="G274" s="51"/>
      <c r="H274" s="51"/>
      <c r="I274" s="51"/>
      <c r="J274" s="51"/>
      <c r="K274" s="12" t="n">
        <f aca="false">IFERROR(MIN(E274:J274),"")</f>
        <v>0</v>
      </c>
      <c r="L274" s="51" t="str">
        <f aca="false">IF(COUNT(E274:J274)&lt;2,"-",IF(LOOKUP(2,1/(E274:J274&lt;&gt;""),E274:J274)&lt;INDEX(E274:J274,MATCH(TRUE(),E274:J274&lt;&gt;"",0)),"↑",IF(LOOKUP(2,1/(E274:J274&lt;&gt;""),E274:J274)&gt;INDEX(E274:J274,MATCH(TRUE(),E274:J274&lt;&gt;"",0)),"↓","→")))</f>
        <v>-</v>
      </c>
    </row>
    <row r="275" customFormat="false" ht="25.5" hidden="false" customHeight="true" outlineLevel="0" collapsed="false">
      <c r="A275" s="51" t="n">
        <v>274</v>
      </c>
      <c r="B275" s="51" t="n">
        <v>2</v>
      </c>
      <c r="C275" s="13" t="s">
        <v>774</v>
      </c>
      <c r="D275" s="13" t="s">
        <v>775</v>
      </c>
      <c r="E275" s="51"/>
      <c r="F275" s="51"/>
      <c r="G275" s="51"/>
      <c r="H275" s="51"/>
      <c r="I275" s="51"/>
      <c r="J275" s="51"/>
      <c r="K275" s="12" t="n">
        <f aca="false">IFERROR(MIN(E275:J275),"")</f>
        <v>0</v>
      </c>
      <c r="L275" s="51" t="str">
        <f aca="false">IF(COUNT(E275:J275)&lt;2,"-",IF(LOOKUP(2,1/(E275:J275&lt;&gt;""),E275:J275)&lt;INDEX(E275:J275,MATCH(TRUE(),E275:J275&lt;&gt;"",0)),"↑",IF(LOOKUP(2,1/(E275:J275&lt;&gt;""),E275:J275)&gt;INDEX(E275:J275,MATCH(TRUE(),E275:J275&lt;&gt;"",0)),"↓","→")))</f>
        <v>-</v>
      </c>
    </row>
    <row r="276" customFormat="false" ht="25.5" hidden="false" customHeight="true" outlineLevel="0" collapsed="false">
      <c r="A276" s="51" t="n">
        <v>275</v>
      </c>
      <c r="B276" s="51" t="n">
        <v>2</v>
      </c>
      <c r="C276" s="11" t="s">
        <v>776</v>
      </c>
      <c r="D276" s="11" t="s">
        <v>777</v>
      </c>
      <c r="E276" s="51"/>
      <c r="F276" s="51"/>
      <c r="G276" s="51"/>
      <c r="H276" s="51"/>
      <c r="I276" s="51"/>
      <c r="J276" s="51"/>
      <c r="K276" s="12" t="n">
        <f aca="false">IFERROR(MIN(E276:J276),"")</f>
        <v>0</v>
      </c>
      <c r="L276" s="51" t="str">
        <f aca="false">IF(COUNT(E276:J276)&lt;2,"-",IF(LOOKUP(2,1/(E276:J276&lt;&gt;""),E276:J276)&lt;INDEX(E276:J276,MATCH(TRUE(),E276:J276&lt;&gt;"",0)),"↑",IF(LOOKUP(2,1/(E276:J276&lt;&gt;""),E276:J276)&gt;INDEX(E276:J276,MATCH(TRUE(),E276:J276&lt;&gt;"",0)),"↓","→")))</f>
        <v>-</v>
      </c>
    </row>
    <row r="277" customFormat="false" ht="25.5" hidden="false" customHeight="true" outlineLevel="0" collapsed="false">
      <c r="A277" s="51" t="n">
        <v>276</v>
      </c>
      <c r="B277" s="51" t="n">
        <v>2</v>
      </c>
      <c r="C277" s="13" t="s">
        <v>778</v>
      </c>
      <c r="D277" s="13" t="s">
        <v>779</v>
      </c>
      <c r="E277" s="51"/>
      <c r="F277" s="51"/>
      <c r="G277" s="51"/>
      <c r="H277" s="51"/>
      <c r="I277" s="51"/>
      <c r="J277" s="51"/>
      <c r="K277" s="12" t="n">
        <f aca="false">IFERROR(MIN(E277:J277),"")</f>
        <v>0</v>
      </c>
      <c r="L277" s="51" t="str">
        <f aca="false">IF(COUNT(E277:J277)&lt;2,"-",IF(LOOKUP(2,1/(E277:J277&lt;&gt;""),E277:J277)&lt;INDEX(E277:J277,MATCH(TRUE(),E277:J277&lt;&gt;"",0)),"↑",IF(LOOKUP(2,1/(E277:J277&lt;&gt;""),E277:J277)&gt;INDEX(E277:J277,MATCH(TRUE(),E277:J277&lt;&gt;"",0)),"↓","→")))</f>
        <v>-</v>
      </c>
    </row>
    <row r="278" customFormat="false" ht="25.5" hidden="false" customHeight="true" outlineLevel="0" collapsed="false">
      <c r="A278" s="51" t="n">
        <v>277</v>
      </c>
      <c r="B278" s="51" t="n">
        <v>2</v>
      </c>
      <c r="C278" s="11" t="s">
        <v>780</v>
      </c>
      <c r="D278" s="11" t="s">
        <v>781</v>
      </c>
      <c r="E278" s="51"/>
      <c r="F278" s="51"/>
      <c r="G278" s="51"/>
      <c r="H278" s="51"/>
      <c r="I278" s="51"/>
      <c r="J278" s="51"/>
      <c r="K278" s="12" t="n">
        <f aca="false">IFERROR(MIN(E278:J278),"")</f>
        <v>0</v>
      </c>
      <c r="L278" s="51" t="str">
        <f aca="false">IF(COUNT(E278:J278)&lt;2,"-",IF(LOOKUP(2,1/(E278:J278&lt;&gt;""),E278:J278)&lt;INDEX(E278:J278,MATCH(TRUE(),E278:J278&lt;&gt;"",0)),"↑",IF(LOOKUP(2,1/(E278:J278&lt;&gt;""),E278:J278)&gt;INDEX(E278:J278,MATCH(TRUE(),E278:J278&lt;&gt;"",0)),"↓","→")))</f>
        <v>-</v>
      </c>
    </row>
    <row r="279" customFormat="false" ht="25.5" hidden="false" customHeight="true" outlineLevel="0" collapsed="false">
      <c r="A279" s="51" t="n">
        <v>278</v>
      </c>
      <c r="B279" s="51" t="n">
        <v>2</v>
      </c>
      <c r="C279" s="13" t="s">
        <v>782</v>
      </c>
      <c r="D279" s="13" t="s">
        <v>783</v>
      </c>
      <c r="E279" s="51"/>
      <c r="F279" s="51"/>
      <c r="G279" s="51"/>
      <c r="H279" s="51"/>
      <c r="I279" s="51"/>
      <c r="J279" s="51"/>
      <c r="K279" s="12" t="n">
        <f aca="false">IFERROR(MIN(E279:J279),"")</f>
        <v>0</v>
      </c>
      <c r="L279" s="51" t="str">
        <f aca="false">IF(COUNT(E279:J279)&lt;2,"-",IF(LOOKUP(2,1/(E279:J279&lt;&gt;""),E279:J279)&lt;INDEX(E279:J279,MATCH(TRUE(),E279:J279&lt;&gt;"",0)),"↑",IF(LOOKUP(2,1/(E279:J279&lt;&gt;""),E279:J279)&gt;INDEX(E279:J279,MATCH(TRUE(),E279:J279&lt;&gt;"",0)),"↓","→")))</f>
        <v>-</v>
      </c>
    </row>
    <row r="280" customFormat="false" ht="25.5" hidden="false" customHeight="true" outlineLevel="0" collapsed="false">
      <c r="A280" s="51" t="n">
        <v>279</v>
      </c>
      <c r="B280" s="51" t="n">
        <v>2</v>
      </c>
      <c r="C280" s="11" t="s">
        <v>784</v>
      </c>
      <c r="D280" s="11" t="s">
        <v>785</v>
      </c>
      <c r="E280" s="51"/>
      <c r="F280" s="51"/>
      <c r="G280" s="51"/>
      <c r="H280" s="51"/>
      <c r="I280" s="51"/>
      <c r="J280" s="51"/>
      <c r="K280" s="12" t="n">
        <f aca="false">IFERROR(MIN(E280:J280),"")</f>
        <v>0</v>
      </c>
      <c r="L280" s="51" t="str">
        <f aca="false">IF(COUNT(E280:J280)&lt;2,"-",IF(LOOKUP(2,1/(E280:J280&lt;&gt;""),E280:J280)&lt;INDEX(E280:J280,MATCH(TRUE(),E280:J280&lt;&gt;"",0)),"↑",IF(LOOKUP(2,1/(E280:J280&lt;&gt;""),E280:J280)&gt;INDEX(E280:J280,MATCH(TRUE(),E280:J280&lt;&gt;"",0)),"↓","→")))</f>
        <v>-</v>
      </c>
    </row>
    <row r="281" customFormat="false" ht="25.5" hidden="false" customHeight="true" outlineLevel="0" collapsed="false">
      <c r="A281" s="51" t="n">
        <v>280</v>
      </c>
      <c r="B281" s="51" t="n">
        <v>2</v>
      </c>
      <c r="C281" s="13" t="s">
        <v>786</v>
      </c>
      <c r="D281" s="13" t="s">
        <v>787</v>
      </c>
      <c r="E281" s="51"/>
      <c r="F281" s="51"/>
      <c r="G281" s="51"/>
      <c r="H281" s="51"/>
      <c r="I281" s="51"/>
      <c r="J281" s="51"/>
      <c r="K281" s="12" t="n">
        <f aca="false">IFERROR(MIN(E281:J281),"")</f>
        <v>0</v>
      </c>
      <c r="L281" s="51" t="str">
        <f aca="false">IF(COUNT(E281:J281)&lt;2,"-",IF(LOOKUP(2,1/(E281:J281&lt;&gt;""),E281:J281)&lt;INDEX(E281:J281,MATCH(TRUE(),E281:J281&lt;&gt;"",0)),"↑",IF(LOOKUP(2,1/(E281:J281&lt;&gt;""),E281:J281)&gt;INDEX(E281:J281,MATCH(TRUE(),E281:J281&lt;&gt;"",0)),"↓","→")))</f>
        <v>-</v>
      </c>
    </row>
    <row r="282" customFormat="false" ht="25.5" hidden="false" customHeight="true" outlineLevel="0" collapsed="false">
      <c r="A282" s="51" t="n">
        <v>281</v>
      </c>
      <c r="B282" s="51" t="n">
        <v>2</v>
      </c>
      <c r="C282" s="11" t="s">
        <v>788</v>
      </c>
      <c r="D282" s="11" t="s">
        <v>789</v>
      </c>
      <c r="E282" s="51"/>
      <c r="F282" s="51"/>
      <c r="G282" s="51"/>
      <c r="H282" s="51"/>
      <c r="I282" s="51"/>
      <c r="J282" s="51"/>
      <c r="K282" s="12" t="n">
        <f aca="false">IFERROR(MIN(E282:J282),"")</f>
        <v>0</v>
      </c>
      <c r="L282" s="51" t="str">
        <f aca="false">IF(COUNT(E282:J282)&lt;2,"-",IF(LOOKUP(2,1/(E282:J282&lt;&gt;""),E282:J282)&lt;INDEX(E282:J282,MATCH(TRUE(),E282:J282&lt;&gt;"",0)),"↑",IF(LOOKUP(2,1/(E282:J282&lt;&gt;""),E282:J282)&gt;INDEX(E282:J282,MATCH(TRUE(),E282:J282&lt;&gt;"",0)),"↓","→")))</f>
        <v>-</v>
      </c>
    </row>
    <row r="283" customFormat="false" ht="25.5" hidden="false" customHeight="true" outlineLevel="0" collapsed="false">
      <c r="A283" s="51" t="n">
        <v>282</v>
      </c>
      <c r="B283" s="51" t="n">
        <v>2</v>
      </c>
      <c r="C283" s="13" t="s">
        <v>790</v>
      </c>
      <c r="D283" s="13" t="s">
        <v>791</v>
      </c>
      <c r="E283" s="51"/>
      <c r="F283" s="51"/>
      <c r="G283" s="51"/>
      <c r="H283" s="51"/>
      <c r="I283" s="51"/>
      <c r="J283" s="51"/>
      <c r="K283" s="12" t="n">
        <f aca="false">IFERROR(MIN(E283:J283),"")</f>
        <v>0</v>
      </c>
      <c r="L283" s="51" t="str">
        <f aca="false">IF(COUNT(E283:J283)&lt;2,"-",IF(LOOKUP(2,1/(E283:J283&lt;&gt;""),E283:J283)&lt;INDEX(E283:J283,MATCH(TRUE(),E283:J283&lt;&gt;"",0)),"↑",IF(LOOKUP(2,1/(E283:J283&lt;&gt;""),E283:J283)&gt;INDEX(E283:J283,MATCH(TRUE(),E283:J283&lt;&gt;"",0)),"↓","→")))</f>
        <v>-</v>
      </c>
    </row>
    <row r="284" customFormat="false" ht="25.5" hidden="false" customHeight="true" outlineLevel="0" collapsed="false">
      <c r="A284" s="51" t="n">
        <v>283</v>
      </c>
      <c r="B284" s="51" t="n">
        <v>2</v>
      </c>
      <c r="C284" s="11" t="s">
        <v>792</v>
      </c>
      <c r="D284" s="11" t="s">
        <v>793</v>
      </c>
      <c r="E284" s="51"/>
      <c r="F284" s="51"/>
      <c r="G284" s="51"/>
      <c r="H284" s="51"/>
      <c r="I284" s="51"/>
      <c r="J284" s="51"/>
      <c r="K284" s="12" t="n">
        <f aca="false">IFERROR(MIN(E284:J284),"")</f>
        <v>0</v>
      </c>
      <c r="L284" s="51" t="str">
        <f aca="false">IF(COUNT(E284:J284)&lt;2,"-",IF(LOOKUP(2,1/(E284:J284&lt;&gt;""),E284:J284)&lt;INDEX(E284:J284,MATCH(TRUE(),E284:J284&lt;&gt;"",0)),"↑",IF(LOOKUP(2,1/(E284:J284&lt;&gt;""),E284:J284)&gt;INDEX(E284:J284,MATCH(TRUE(),E284:J284&lt;&gt;"",0)),"↓","→")))</f>
        <v>-</v>
      </c>
    </row>
    <row r="285" customFormat="false" ht="25.5" hidden="false" customHeight="true" outlineLevel="0" collapsed="false">
      <c r="A285" s="51" t="n">
        <v>284</v>
      </c>
      <c r="B285" s="51" t="n">
        <v>2</v>
      </c>
      <c r="C285" s="13" t="s">
        <v>794</v>
      </c>
      <c r="D285" s="13" t="s">
        <v>795</v>
      </c>
      <c r="E285" s="51"/>
      <c r="F285" s="51"/>
      <c r="G285" s="51"/>
      <c r="H285" s="51"/>
      <c r="I285" s="51"/>
      <c r="J285" s="51"/>
      <c r="K285" s="12" t="n">
        <f aca="false">IFERROR(MIN(E285:J285),"")</f>
        <v>0</v>
      </c>
      <c r="L285" s="51" t="str">
        <f aca="false">IF(COUNT(E285:J285)&lt;2,"-",IF(LOOKUP(2,1/(E285:J285&lt;&gt;""),E285:J285)&lt;INDEX(E285:J285,MATCH(TRUE(),E285:J285&lt;&gt;"",0)),"↑",IF(LOOKUP(2,1/(E285:J285&lt;&gt;""),E285:J285)&gt;INDEX(E285:J285,MATCH(TRUE(),E285:J285&lt;&gt;"",0)),"↓","→")))</f>
        <v>-</v>
      </c>
    </row>
    <row r="286" customFormat="false" ht="25.5" hidden="false" customHeight="true" outlineLevel="0" collapsed="false">
      <c r="A286" s="51" t="n">
        <v>285</v>
      </c>
      <c r="B286" s="51" t="n">
        <v>2</v>
      </c>
      <c r="C286" s="11" t="s">
        <v>796</v>
      </c>
      <c r="D286" s="11" t="s">
        <v>797</v>
      </c>
      <c r="E286" s="51"/>
      <c r="F286" s="51"/>
      <c r="G286" s="51"/>
      <c r="H286" s="51"/>
      <c r="I286" s="51"/>
      <c r="J286" s="51"/>
      <c r="K286" s="12" t="n">
        <f aca="false">IFERROR(MIN(E286:J286),"")</f>
        <v>0</v>
      </c>
      <c r="L286" s="51" t="str">
        <f aca="false">IF(COUNT(E286:J286)&lt;2,"-",IF(LOOKUP(2,1/(E286:J286&lt;&gt;""),E286:J286)&lt;INDEX(E286:J286,MATCH(TRUE(),E286:J286&lt;&gt;"",0)),"↑",IF(LOOKUP(2,1/(E286:J286&lt;&gt;""),E286:J286)&gt;INDEX(E286:J286,MATCH(TRUE(),E286:J286&lt;&gt;"",0)),"↓","→")))</f>
        <v>-</v>
      </c>
    </row>
    <row r="287" customFormat="false" ht="25.5" hidden="false" customHeight="true" outlineLevel="0" collapsed="false">
      <c r="A287" s="51" t="n">
        <v>286</v>
      </c>
      <c r="B287" s="51" t="n">
        <v>2</v>
      </c>
      <c r="C287" s="13" t="s">
        <v>798</v>
      </c>
      <c r="D287" s="13" t="s">
        <v>799</v>
      </c>
      <c r="E287" s="51"/>
      <c r="F287" s="51"/>
      <c r="G287" s="51"/>
      <c r="H287" s="51"/>
      <c r="I287" s="51"/>
      <c r="J287" s="51"/>
      <c r="K287" s="12" t="n">
        <f aca="false">IFERROR(MIN(E287:J287),"")</f>
        <v>0</v>
      </c>
      <c r="L287" s="51" t="str">
        <f aca="false">IF(COUNT(E287:J287)&lt;2,"-",IF(LOOKUP(2,1/(E287:J287&lt;&gt;""),E287:J287)&lt;INDEX(E287:J287,MATCH(TRUE(),E287:J287&lt;&gt;"",0)),"↑",IF(LOOKUP(2,1/(E287:J287&lt;&gt;""),E287:J287)&gt;INDEX(E287:J287,MATCH(TRUE(),E287:J287&lt;&gt;"",0)),"↓","→")))</f>
        <v>-</v>
      </c>
    </row>
    <row r="288" customFormat="false" ht="25.5" hidden="false" customHeight="true" outlineLevel="0" collapsed="false">
      <c r="A288" s="51" t="n">
        <v>287</v>
      </c>
      <c r="B288" s="51" t="n">
        <v>2</v>
      </c>
      <c r="C288" s="11" t="s">
        <v>800</v>
      </c>
      <c r="D288" s="11" t="s">
        <v>801</v>
      </c>
      <c r="E288" s="51"/>
      <c r="F288" s="51"/>
      <c r="G288" s="51"/>
      <c r="H288" s="51"/>
      <c r="I288" s="51"/>
      <c r="J288" s="51"/>
      <c r="K288" s="12" t="n">
        <f aca="false">IFERROR(MIN(E288:J288),"")</f>
        <v>0</v>
      </c>
      <c r="L288" s="51" t="str">
        <f aca="false">IF(COUNT(E288:J288)&lt;2,"-",IF(LOOKUP(2,1/(E288:J288&lt;&gt;""),E288:J288)&lt;INDEX(E288:J288,MATCH(TRUE(),E288:J288&lt;&gt;"",0)),"↑",IF(LOOKUP(2,1/(E288:J288&lt;&gt;""),E288:J288)&gt;INDEX(E288:J288,MATCH(TRUE(),E288:J288&lt;&gt;"",0)),"↓","→")))</f>
        <v>-</v>
      </c>
    </row>
    <row r="289" customFormat="false" ht="25.5" hidden="false" customHeight="true" outlineLevel="0" collapsed="false">
      <c r="A289" s="51" t="n">
        <v>288</v>
      </c>
      <c r="B289" s="51" t="n">
        <v>2</v>
      </c>
      <c r="C289" s="13" t="s">
        <v>802</v>
      </c>
      <c r="D289" s="13" t="s">
        <v>803</v>
      </c>
      <c r="E289" s="51"/>
      <c r="F289" s="51"/>
      <c r="G289" s="51"/>
      <c r="H289" s="51"/>
      <c r="I289" s="51"/>
      <c r="J289" s="51"/>
      <c r="K289" s="12" t="n">
        <f aca="false">IFERROR(MIN(E289:J289),"")</f>
        <v>0</v>
      </c>
      <c r="L289" s="51" t="str">
        <f aca="false">IF(COUNT(E289:J289)&lt;2,"-",IF(LOOKUP(2,1/(E289:J289&lt;&gt;""),E289:J289)&lt;INDEX(E289:J289,MATCH(TRUE(),E289:J289&lt;&gt;"",0)),"↑",IF(LOOKUP(2,1/(E289:J289&lt;&gt;""),E289:J289)&gt;INDEX(E289:J289,MATCH(TRUE(),E289:J289&lt;&gt;"",0)),"↓","→")))</f>
        <v>-</v>
      </c>
    </row>
    <row r="290" customFormat="false" ht="25.5" hidden="false" customHeight="true" outlineLevel="0" collapsed="false">
      <c r="A290" s="51" t="n">
        <v>289</v>
      </c>
      <c r="B290" s="51" t="n">
        <v>2</v>
      </c>
      <c r="C290" s="11" t="s">
        <v>804</v>
      </c>
      <c r="D290" s="11" t="s">
        <v>805</v>
      </c>
      <c r="E290" s="51"/>
      <c r="F290" s="51"/>
      <c r="G290" s="51"/>
      <c r="H290" s="51"/>
      <c r="I290" s="51"/>
      <c r="J290" s="51"/>
      <c r="K290" s="12" t="n">
        <f aca="false">IFERROR(MIN(E290:J290),"")</f>
        <v>0</v>
      </c>
      <c r="L290" s="51" t="str">
        <f aca="false">IF(COUNT(E290:J290)&lt;2,"-",IF(LOOKUP(2,1/(E290:J290&lt;&gt;""),E290:J290)&lt;INDEX(E290:J290,MATCH(TRUE(),E290:J290&lt;&gt;"",0)),"↑",IF(LOOKUP(2,1/(E290:J290&lt;&gt;""),E290:J290)&gt;INDEX(E290:J290,MATCH(TRUE(),E290:J290&lt;&gt;"",0)),"↓","→")))</f>
        <v>-</v>
      </c>
    </row>
    <row r="291" customFormat="false" ht="25.5" hidden="false" customHeight="true" outlineLevel="0" collapsed="false">
      <c r="A291" s="51" t="n">
        <v>290</v>
      </c>
      <c r="B291" s="51" t="n">
        <v>2</v>
      </c>
      <c r="C291" s="13" t="s">
        <v>806</v>
      </c>
      <c r="D291" s="13" t="s">
        <v>807</v>
      </c>
      <c r="E291" s="51"/>
      <c r="F291" s="51"/>
      <c r="G291" s="51"/>
      <c r="H291" s="51"/>
      <c r="I291" s="51"/>
      <c r="J291" s="51"/>
      <c r="K291" s="12" t="n">
        <f aca="false">IFERROR(MIN(E291:J291),"")</f>
        <v>0</v>
      </c>
      <c r="L291" s="51" t="str">
        <f aca="false">IF(COUNT(E291:J291)&lt;2,"-",IF(LOOKUP(2,1/(E291:J291&lt;&gt;""),E291:J291)&lt;INDEX(E291:J291,MATCH(TRUE(),E291:J291&lt;&gt;"",0)),"↑",IF(LOOKUP(2,1/(E291:J291&lt;&gt;""),E291:J291)&gt;INDEX(E291:J291,MATCH(TRUE(),E291:J291&lt;&gt;"",0)),"↓","→")))</f>
        <v>-</v>
      </c>
    </row>
    <row r="292" customFormat="false" ht="25.5" hidden="false" customHeight="true" outlineLevel="0" collapsed="false">
      <c r="A292" s="51" t="n">
        <v>291</v>
      </c>
      <c r="B292" s="51" t="n">
        <v>2</v>
      </c>
      <c r="C292" s="11" t="s">
        <v>808</v>
      </c>
      <c r="D292" s="11" t="s">
        <v>809</v>
      </c>
      <c r="E292" s="51"/>
      <c r="F292" s="51"/>
      <c r="G292" s="51"/>
      <c r="H292" s="51"/>
      <c r="I292" s="51"/>
      <c r="J292" s="51"/>
      <c r="K292" s="12" t="n">
        <f aca="false">IFERROR(MIN(E292:J292),"")</f>
        <v>0</v>
      </c>
      <c r="L292" s="51" t="str">
        <f aca="false">IF(COUNT(E292:J292)&lt;2,"-",IF(LOOKUP(2,1/(E292:J292&lt;&gt;""),E292:J292)&lt;INDEX(E292:J292,MATCH(TRUE(),E292:J292&lt;&gt;"",0)),"↑",IF(LOOKUP(2,1/(E292:J292&lt;&gt;""),E292:J292)&gt;INDEX(E292:J292,MATCH(TRUE(),E292:J292&lt;&gt;"",0)),"↓","→")))</f>
        <v>-</v>
      </c>
    </row>
    <row r="293" customFormat="false" ht="25.5" hidden="false" customHeight="true" outlineLevel="0" collapsed="false">
      <c r="A293" s="51" t="n">
        <v>292</v>
      </c>
      <c r="B293" s="51" t="n">
        <v>2</v>
      </c>
      <c r="C293" s="13" t="s">
        <v>810</v>
      </c>
      <c r="D293" s="13" t="s">
        <v>811</v>
      </c>
      <c r="E293" s="51"/>
      <c r="F293" s="51"/>
      <c r="G293" s="51"/>
      <c r="H293" s="51"/>
      <c r="I293" s="51"/>
      <c r="J293" s="51"/>
      <c r="K293" s="12" t="n">
        <f aca="false">IFERROR(MIN(E293:J293),"")</f>
        <v>0</v>
      </c>
      <c r="L293" s="51" t="str">
        <f aca="false">IF(COUNT(E293:J293)&lt;2,"-",IF(LOOKUP(2,1/(E293:J293&lt;&gt;""),E293:J293)&lt;INDEX(E293:J293,MATCH(TRUE(),E293:J293&lt;&gt;"",0)),"↑",IF(LOOKUP(2,1/(E293:J293&lt;&gt;""),E293:J293)&gt;INDEX(E293:J293,MATCH(TRUE(),E293:J293&lt;&gt;"",0)),"↓","→")))</f>
        <v>-</v>
      </c>
    </row>
    <row r="294" customFormat="false" ht="25.5" hidden="false" customHeight="true" outlineLevel="0" collapsed="false">
      <c r="A294" s="51" t="n">
        <v>293</v>
      </c>
      <c r="B294" s="51" t="n">
        <v>2</v>
      </c>
      <c r="C294" s="11" t="s">
        <v>812</v>
      </c>
      <c r="D294" s="11" t="s">
        <v>813</v>
      </c>
      <c r="E294" s="51"/>
      <c r="F294" s="51"/>
      <c r="G294" s="51"/>
      <c r="H294" s="51"/>
      <c r="I294" s="51"/>
      <c r="J294" s="51"/>
      <c r="K294" s="12" t="n">
        <f aca="false">IFERROR(MIN(E294:J294),"")</f>
        <v>0</v>
      </c>
      <c r="L294" s="51" t="str">
        <f aca="false">IF(COUNT(E294:J294)&lt;2,"-",IF(LOOKUP(2,1/(E294:J294&lt;&gt;""),E294:J294)&lt;INDEX(E294:J294,MATCH(TRUE(),E294:J294&lt;&gt;"",0)),"↑",IF(LOOKUP(2,1/(E294:J294&lt;&gt;""),E294:J294)&gt;INDEX(E294:J294,MATCH(TRUE(),E294:J294&lt;&gt;"",0)),"↓","→")))</f>
        <v>-</v>
      </c>
    </row>
    <row r="295" customFormat="false" ht="25.5" hidden="false" customHeight="true" outlineLevel="0" collapsed="false">
      <c r="A295" s="51" t="n">
        <v>294</v>
      </c>
      <c r="B295" s="51" t="n">
        <v>2</v>
      </c>
      <c r="C295" s="13" t="s">
        <v>814</v>
      </c>
      <c r="D295" s="13" t="s">
        <v>815</v>
      </c>
      <c r="E295" s="51"/>
      <c r="F295" s="51"/>
      <c r="G295" s="51"/>
      <c r="H295" s="51"/>
      <c r="I295" s="51"/>
      <c r="J295" s="51"/>
      <c r="K295" s="12" t="n">
        <f aca="false">IFERROR(MIN(E295:J295),"")</f>
        <v>0</v>
      </c>
      <c r="L295" s="51" t="str">
        <f aca="false">IF(COUNT(E295:J295)&lt;2,"-",IF(LOOKUP(2,1/(E295:J295&lt;&gt;""),E295:J295)&lt;INDEX(E295:J295,MATCH(TRUE(),E295:J295&lt;&gt;"",0)),"↑",IF(LOOKUP(2,1/(E295:J295&lt;&gt;""),E295:J295)&gt;INDEX(E295:J295,MATCH(TRUE(),E295:J295&lt;&gt;"",0)),"↓","→")))</f>
        <v>-</v>
      </c>
    </row>
    <row r="296" customFormat="false" ht="25.5" hidden="false" customHeight="true" outlineLevel="0" collapsed="false">
      <c r="A296" s="51" t="n">
        <v>295</v>
      </c>
      <c r="B296" s="51" t="n">
        <v>2</v>
      </c>
      <c r="C296" s="11" t="s">
        <v>816</v>
      </c>
      <c r="D296" s="11" t="s">
        <v>817</v>
      </c>
      <c r="E296" s="51"/>
      <c r="F296" s="51"/>
      <c r="G296" s="51"/>
      <c r="H296" s="51"/>
      <c r="I296" s="51"/>
      <c r="J296" s="51"/>
      <c r="K296" s="12" t="n">
        <f aca="false">IFERROR(MIN(E296:J296),"")</f>
        <v>0</v>
      </c>
      <c r="L296" s="51" t="str">
        <f aca="false">IF(COUNT(E296:J296)&lt;2,"-",IF(LOOKUP(2,1/(E296:J296&lt;&gt;""),E296:J296)&lt;INDEX(E296:J296,MATCH(TRUE(),E296:J296&lt;&gt;"",0)),"↑",IF(LOOKUP(2,1/(E296:J296&lt;&gt;""),E296:J296)&gt;INDEX(E296:J296,MATCH(TRUE(),E296:J296&lt;&gt;"",0)),"↓","→")))</f>
        <v>-</v>
      </c>
    </row>
    <row r="297" customFormat="false" ht="25.5" hidden="false" customHeight="true" outlineLevel="0" collapsed="false">
      <c r="A297" s="51" t="n">
        <v>296</v>
      </c>
      <c r="B297" s="51" t="n">
        <v>2</v>
      </c>
      <c r="C297" s="13" t="s">
        <v>818</v>
      </c>
      <c r="D297" s="13" t="s">
        <v>819</v>
      </c>
      <c r="E297" s="51"/>
      <c r="F297" s="51"/>
      <c r="G297" s="51"/>
      <c r="H297" s="51"/>
      <c r="I297" s="51"/>
      <c r="J297" s="51"/>
      <c r="K297" s="12" t="n">
        <f aca="false">IFERROR(MIN(E297:J297),"")</f>
        <v>0</v>
      </c>
      <c r="L297" s="51" t="str">
        <f aca="false">IF(COUNT(E297:J297)&lt;2,"-",IF(LOOKUP(2,1/(E297:J297&lt;&gt;""),E297:J297)&lt;INDEX(E297:J297,MATCH(TRUE(),E297:J297&lt;&gt;"",0)),"↑",IF(LOOKUP(2,1/(E297:J297&lt;&gt;""),E297:J297)&gt;INDEX(E297:J297,MATCH(TRUE(),E297:J297&lt;&gt;"",0)),"↓","→")))</f>
        <v>-</v>
      </c>
    </row>
    <row r="298" customFormat="false" ht="25.5" hidden="false" customHeight="true" outlineLevel="0" collapsed="false">
      <c r="A298" s="51" t="n">
        <v>297</v>
      </c>
      <c r="B298" s="51" t="n">
        <v>2</v>
      </c>
      <c r="C298" s="11" t="s">
        <v>820</v>
      </c>
      <c r="D298" s="11" t="s">
        <v>821</v>
      </c>
      <c r="E298" s="51"/>
      <c r="F298" s="51"/>
      <c r="G298" s="51"/>
      <c r="H298" s="51"/>
      <c r="I298" s="51"/>
      <c r="J298" s="51"/>
      <c r="K298" s="12" t="n">
        <f aca="false">IFERROR(MIN(E298:J298),"")</f>
        <v>0</v>
      </c>
      <c r="L298" s="51" t="str">
        <f aca="false">IF(COUNT(E298:J298)&lt;2,"-",IF(LOOKUP(2,1/(E298:J298&lt;&gt;""),E298:J298)&lt;INDEX(E298:J298,MATCH(TRUE(),E298:J298&lt;&gt;"",0)),"↑",IF(LOOKUP(2,1/(E298:J298&lt;&gt;""),E298:J298)&gt;INDEX(E298:J298,MATCH(TRUE(),E298:J298&lt;&gt;"",0)),"↓","→")))</f>
        <v>-</v>
      </c>
    </row>
    <row r="299" customFormat="false" ht="25.5" hidden="false" customHeight="true" outlineLevel="0" collapsed="false">
      <c r="A299" s="51" t="n">
        <v>298</v>
      </c>
      <c r="B299" s="51" t="n">
        <v>2</v>
      </c>
      <c r="C299" s="13" t="s">
        <v>822</v>
      </c>
      <c r="D299" s="13" t="s">
        <v>823</v>
      </c>
      <c r="E299" s="51"/>
      <c r="F299" s="51"/>
      <c r="G299" s="51"/>
      <c r="H299" s="51"/>
      <c r="I299" s="51"/>
      <c r="J299" s="51"/>
      <c r="K299" s="12" t="n">
        <f aca="false">IFERROR(MIN(E299:J299),"")</f>
        <v>0</v>
      </c>
      <c r="L299" s="51" t="str">
        <f aca="false">IF(COUNT(E299:J299)&lt;2,"-",IF(LOOKUP(2,1/(E299:J299&lt;&gt;""),E299:J299)&lt;INDEX(E299:J299,MATCH(TRUE(),E299:J299&lt;&gt;"",0)),"↑",IF(LOOKUP(2,1/(E299:J299&lt;&gt;""),E299:J299)&gt;INDEX(E299:J299,MATCH(TRUE(),E299:J299&lt;&gt;"",0)),"↓","→")))</f>
        <v>-</v>
      </c>
    </row>
    <row r="300" customFormat="false" ht="25.5" hidden="false" customHeight="true" outlineLevel="0" collapsed="false">
      <c r="A300" s="51" t="n">
        <v>299</v>
      </c>
      <c r="B300" s="51" t="n">
        <v>2</v>
      </c>
      <c r="C300" s="11" t="s">
        <v>824</v>
      </c>
      <c r="D300" s="11" t="s">
        <v>825</v>
      </c>
      <c r="E300" s="51"/>
      <c r="F300" s="51"/>
      <c r="G300" s="51"/>
      <c r="H300" s="51"/>
      <c r="I300" s="51"/>
      <c r="J300" s="51"/>
      <c r="K300" s="12" t="n">
        <f aca="false">IFERROR(MIN(E300:J300),"")</f>
        <v>0</v>
      </c>
      <c r="L300" s="51" t="str">
        <f aca="false">IF(COUNT(E300:J300)&lt;2,"-",IF(LOOKUP(2,1/(E300:J300&lt;&gt;""),E300:J300)&lt;INDEX(E300:J300,MATCH(TRUE(),E300:J300&lt;&gt;"",0)),"↑",IF(LOOKUP(2,1/(E300:J300&lt;&gt;""),E300:J300)&gt;INDEX(E300:J300,MATCH(TRUE(),E300:J300&lt;&gt;"",0)),"↓","→")))</f>
        <v>-</v>
      </c>
    </row>
    <row r="301" customFormat="false" ht="25.5" hidden="false" customHeight="true" outlineLevel="0" collapsed="false">
      <c r="A301" s="51" t="n">
        <v>300</v>
      </c>
      <c r="B301" s="51" t="n">
        <v>2</v>
      </c>
      <c r="C301" s="13" t="s">
        <v>826</v>
      </c>
      <c r="D301" s="13" t="s">
        <v>827</v>
      </c>
      <c r="E301" s="51"/>
      <c r="F301" s="51"/>
      <c r="G301" s="51"/>
      <c r="H301" s="51"/>
      <c r="I301" s="51"/>
      <c r="J301" s="51"/>
      <c r="K301" s="12" t="n">
        <f aca="false">IFERROR(MIN(E301:J301),"")</f>
        <v>0</v>
      </c>
      <c r="L301" s="51" t="str">
        <f aca="false">IF(COUNT(E301:J301)&lt;2,"-",IF(LOOKUP(2,1/(E301:J301&lt;&gt;""),E301:J301)&lt;INDEX(E301:J301,MATCH(TRUE(),E301:J301&lt;&gt;"",0)),"↑",IF(LOOKUP(2,1/(E301:J301&lt;&gt;""),E301:J301)&gt;INDEX(E301:J301,MATCH(TRUE(),E301:J301&lt;&gt;"",0)),"↓","→")))</f>
        <v>-</v>
      </c>
    </row>
    <row r="302" customFormat="false" ht="25.5" hidden="false" customHeight="true" outlineLevel="0" collapsed="false">
      <c r="A302" s="51" t="n">
        <v>301</v>
      </c>
      <c r="B302" s="51" t="n">
        <v>2</v>
      </c>
      <c r="C302" s="11" t="s">
        <v>828</v>
      </c>
      <c r="D302" s="11" t="s">
        <v>829</v>
      </c>
      <c r="E302" s="51"/>
      <c r="F302" s="51"/>
      <c r="G302" s="51"/>
      <c r="H302" s="51"/>
      <c r="I302" s="51"/>
      <c r="J302" s="51"/>
      <c r="K302" s="12" t="n">
        <f aca="false">IFERROR(MIN(E302:J302),"")</f>
        <v>0</v>
      </c>
      <c r="L302" s="51" t="str">
        <f aca="false">IF(COUNT(E302:J302)&lt;2,"-",IF(LOOKUP(2,1/(E302:J302&lt;&gt;""),E302:J302)&lt;INDEX(E302:J302,MATCH(TRUE(),E302:J302&lt;&gt;"",0)),"↑",IF(LOOKUP(2,1/(E302:J302&lt;&gt;""),E302:J302)&gt;INDEX(E302:J302,MATCH(TRUE(),E302:J302&lt;&gt;"",0)),"↓","→")))</f>
        <v>-</v>
      </c>
    </row>
    <row r="303" customFormat="false" ht="25.5" hidden="false" customHeight="true" outlineLevel="0" collapsed="false">
      <c r="A303" s="51" t="n">
        <v>302</v>
      </c>
      <c r="B303" s="51" t="n">
        <v>2</v>
      </c>
      <c r="C303" s="13" t="s">
        <v>830</v>
      </c>
      <c r="D303" s="13" t="s">
        <v>831</v>
      </c>
      <c r="E303" s="51"/>
      <c r="F303" s="51"/>
      <c r="G303" s="51"/>
      <c r="H303" s="51"/>
      <c r="I303" s="51"/>
      <c r="J303" s="51"/>
      <c r="K303" s="12" t="n">
        <f aca="false">IFERROR(MIN(E303:J303),"")</f>
        <v>0</v>
      </c>
      <c r="L303" s="51" t="str">
        <f aca="false">IF(COUNT(E303:J303)&lt;2,"-",IF(LOOKUP(2,1/(E303:J303&lt;&gt;""),E303:J303)&lt;INDEX(E303:J303,MATCH(TRUE(),E303:J303&lt;&gt;"",0)),"↑",IF(LOOKUP(2,1/(E303:J303&lt;&gt;""),E303:J303)&gt;INDEX(E303:J303,MATCH(TRUE(),E303:J303&lt;&gt;"",0)),"↓","→")))</f>
        <v>-</v>
      </c>
    </row>
    <row r="304" customFormat="false" ht="25.5" hidden="false" customHeight="true" outlineLevel="0" collapsed="false">
      <c r="A304" s="51" t="n">
        <v>303</v>
      </c>
      <c r="B304" s="51" t="n">
        <v>2</v>
      </c>
      <c r="C304" s="11" t="s">
        <v>832</v>
      </c>
      <c r="D304" s="11" t="s">
        <v>833</v>
      </c>
      <c r="E304" s="51"/>
      <c r="F304" s="51"/>
      <c r="G304" s="51"/>
      <c r="H304" s="51"/>
      <c r="I304" s="51"/>
      <c r="J304" s="51"/>
      <c r="K304" s="12" t="n">
        <f aca="false">IFERROR(MIN(E304:J304),"")</f>
        <v>0</v>
      </c>
      <c r="L304" s="51" t="str">
        <f aca="false">IF(COUNT(E304:J304)&lt;2,"-",IF(LOOKUP(2,1/(E304:J304&lt;&gt;""),E304:J304)&lt;INDEX(E304:J304,MATCH(TRUE(),E304:J304&lt;&gt;"",0)),"↑",IF(LOOKUP(2,1/(E304:J304&lt;&gt;""),E304:J304)&gt;INDEX(E304:J304,MATCH(TRUE(),E304:J304&lt;&gt;"",0)),"↓","→")))</f>
        <v>-</v>
      </c>
    </row>
    <row r="305" customFormat="false" ht="25.5" hidden="false" customHeight="true" outlineLevel="0" collapsed="false">
      <c r="A305" s="51" t="n">
        <v>304</v>
      </c>
      <c r="B305" s="51" t="n">
        <v>2</v>
      </c>
      <c r="C305" s="13" t="s">
        <v>834</v>
      </c>
      <c r="D305" s="13" t="s">
        <v>835</v>
      </c>
      <c r="E305" s="51"/>
      <c r="F305" s="51"/>
      <c r="G305" s="51"/>
      <c r="H305" s="51"/>
      <c r="I305" s="51"/>
      <c r="J305" s="51"/>
      <c r="K305" s="12" t="n">
        <f aca="false">IFERROR(MIN(E305:J305),"")</f>
        <v>0</v>
      </c>
      <c r="L305" s="51" t="str">
        <f aca="false">IF(COUNT(E305:J305)&lt;2,"-",IF(LOOKUP(2,1/(E305:J305&lt;&gt;""),E305:J305)&lt;INDEX(E305:J305,MATCH(TRUE(),E305:J305&lt;&gt;"",0)),"↑",IF(LOOKUP(2,1/(E305:J305&lt;&gt;""),E305:J305)&gt;INDEX(E305:J305,MATCH(TRUE(),E305:J305&lt;&gt;"",0)),"↓","→")))</f>
        <v>-</v>
      </c>
    </row>
    <row r="306" customFormat="false" ht="25.5" hidden="false" customHeight="true" outlineLevel="0" collapsed="false">
      <c r="A306" s="51" t="n">
        <v>305</v>
      </c>
      <c r="B306" s="51" t="n">
        <v>2</v>
      </c>
      <c r="C306" s="11" t="s">
        <v>836</v>
      </c>
      <c r="D306" s="11" t="s">
        <v>837</v>
      </c>
      <c r="E306" s="51"/>
      <c r="F306" s="51"/>
      <c r="G306" s="51"/>
      <c r="H306" s="51"/>
      <c r="I306" s="51"/>
      <c r="J306" s="51"/>
      <c r="K306" s="12" t="n">
        <f aca="false">IFERROR(MIN(E306:J306),"")</f>
        <v>0</v>
      </c>
      <c r="L306" s="51" t="str">
        <f aca="false">IF(COUNT(E306:J306)&lt;2,"-",IF(LOOKUP(2,1/(E306:J306&lt;&gt;""),E306:J306)&lt;INDEX(E306:J306,MATCH(TRUE(),E306:J306&lt;&gt;"",0)),"↑",IF(LOOKUP(2,1/(E306:J306&lt;&gt;""),E306:J306)&gt;INDEX(E306:J306,MATCH(TRUE(),E306:J306&lt;&gt;"",0)),"↓","→")))</f>
        <v>-</v>
      </c>
    </row>
    <row r="307" customFormat="false" ht="25.5" hidden="false" customHeight="true" outlineLevel="0" collapsed="false">
      <c r="A307" s="51" t="n">
        <v>306</v>
      </c>
      <c r="B307" s="51" t="n">
        <v>2</v>
      </c>
      <c r="C307" s="13" t="s">
        <v>838</v>
      </c>
      <c r="D307" s="13" t="s">
        <v>839</v>
      </c>
      <c r="E307" s="51"/>
      <c r="F307" s="51"/>
      <c r="G307" s="51"/>
      <c r="H307" s="51"/>
      <c r="I307" s="51"/>
      <c r="J307" s="51"/>
      <c r="K307" s="12" t="n">
        <f aca="false">IFERROR(MIN(E307:J307),"")</f>
        <v>0</v>
      </c>
      <c r="L307" s="51" t="str">
        <f aca="false">IF(COUNT(E307:J307)&lt;2,"-",IF(LOOKUP(2,1/(E307:J307&lt;&gt;""),E307:J307)&lt;INDEX(E307:J307,MATCH(TRUE(),E307:J307&lt;&gt;"",0)),"↑",IF(LOOKUP(2,1/(E307:J307&lt;&gt;""),E307:J307)&gt;INDEX(E307:J307,MATCH(TRUE(),E307:J307&lt;&gt;"",0)),"↓","→")))</f>
        <v>-</v>
      </c>
    </row>
    <row r="308" customFormat="false" ht="25.5" hidden="false" customHeight="true" outlineLevel="0" collapsed="false">
      <c r="A308" s="51" t="n">
        <v>307</v>
      </c>
      <c r="B308" s="51" t="n">
        <v>2</v>
      </c>
      <c r="C308" s="11" t="s">
        <v>840</v>
      </c>
      <c r="D308" s="11" t="s">
        <v>841</v>
      </c>
      <c r="E308" s="51"/>
      <c r="F308" s="51"/>
      <c r="G308" s="51"/>
      <c r="H308" s="51"/>
      <c r="I308" s="51"/>
      <c r="J308" s="51"/>
      <c r="K308" s="12" t="n">
        <f aca="false">IFERROR(MIN(E308:J308),"")</f>
        <v>0</v>
      </c>
      <c r="L308" s="51" t="str">
        <f aca="false">IF(COUNT(E308:J308)&lt;2,"-",IF(LOOKUP(2,1/(E308:J308&lt;&gt;""),E308:J308)&lt;INDEX(E308:J308,MATCH(TRUE(),E308:J308&lt;&gt;"",0)),"↑",IF(LOOKUP(2,1/(E308:J308&lt;&gt;""),E308:J308)&gt;INDEX(E308:J308,MATCH(TRUE(),E308:J308&lt;&gt;"",0)),"↓","→")))</f>
        <v>-</v>
      </c>
    </row>
    <row r="309" customFormat="false" ht="25.5" hidden="false" customHeight="true" outlineLevel="0" collapsed="false">
      <c r="A309" s="51" t="n">
        <v>308</v>
      </c>
      <c r="B309" s="51" t="n">
        <v>2</v>
      </c>
      <c r="C309" s="13" t="s">
        <v>842</v>
      </c>
      <c r="D309" s="13" t="s">
        <v>843</v>
      </c>
      <c r="E309" s="51"/>
      <c r="F309" s="51"/>
      <c r="G309" s="51"/>
      <c r="H309" s="51"/>
      <c r="I309" s="51"/>
      <c r="J309" s="51"/>
      <c r="K309" s="12" t="n">
        <f aca="false">IFERROR(MIN(E309:J309),"")</f>
        <v>0</v>
      </c>
      <c r="L309" s="51" t="str">
        <f aca="false">IF(COUNT(E309:J309)&lt;2,"-",IF(LOOKUP(2,1/(E309:J309&lt;&gt;""),E309:J309)&lt;INDEX(E309:J309,MATCH(TRUE(),E309:J309&lt;&gt;"",0)),"↑",IF(LOOKUP(2,1/(E309:J309&lt;&gt;""),E309:J309)&gt;INDEX(E309:J309,MATCH(TRUE(),E309:J309&lt;&gt;"",0)),"↓","→")))</f>
        <v>-</v>
      </c>
    </row>
    <row r="310" customFormat="false" ht="25.5" hidden="false" customHeight="true" outlineLevel="0" collapsed="false">
      <c r="A310" s="51" t="n">
        <v>309</v>
      </c>
      <c r="B310" s="51" t="n">
        <v>2</v>
      </c>
      <c r="C310" s="11" t="s">
        <v>844</v>
      </c>
      <c r="D310" s="11" t="s">
        <v>845</v>
      </c>
      <c r="E310" s="51"/>
      <c r="F310" s="51"/>
      <c r="G310" s="51"/>
      <c r="H310" s="51"/>
      <c r="I310" s="51"/>
      <c r="J310" s="51"/>
      <c r="K310" s="12" t="n">
        <f aca="false">IFERROR(MIN(E310:J310),"")</f>
        <v>0</v>
      </c>
      <c r="L310" s="51" t="str">
        <f aca="false">IF(COUNT(E310:J310)&lt;2,"-",IF(LOOKUP(2,1/(E310:J310&lt;&gt;""),E310:J310)&lt;INDEX(E310:J310,MATCH(TRUE(),E310:J310&lt;&gt;"",0)),"↑",IF(LOOKUP(2,1/(E310:J310&lt;&gt;""),E310:J310)&gt;INDEX(E310:J310,MATCH(TRUE(),E310:J310&lt;&gt;"",0)),"↓","→")))</f>
        <v>-</v>
      </c>
    </row>
    <row r="311" customFormat="false" ht="25.5" hidden="false" customHeight="true" outlineLevel="0" collapsed="false">
      <c r="A311" s="51" t="n">
        <v>310</v>
      </c>
      <c r="B311" s="51" t="n">
        <v>2</v>
      </c>
      <c r="C311" s="13" t="s">
        <v>846</v>
      </c>
      <c r="D311" s="13" t="s">
        <v>847</v>
      </c>
      <c r="E311" s="51"/>
      <c r="F311" s="51"/>
      <c r="G311" s="51"/>
      <c r="H311" s="51"/>
      <c r="I311" s="51"/>
      <c r="J311" s="51"/>
      <c r="K311" s="12" t="n">
        <f aca="false">IFERROR(MIN(E311:J311),"")</f>
        <v>0</v>
      </c>
      <c r="L311" s="51" t="str">
        <f aca="false">IF(COUNT(E311:J311)&lt;2,"-",IF(LOOKUP(2,1/(E311:J311&lt;&gt;""),E311:J311)&lt;INDEX(E311:J311,MATCH(TRUE(),E311:J311&lt;&gt;"",0)),"↑",IF(LOOKUP(2,1/(E311:J311&lt;&gt;""),E311:J311)&gt;INDEX(E311:J311,MATCH(TRUE(),E311:J311&lt;&gt;"",0)),"↓","→")))</f>
        <v>-</v>
      </c>
    </row>
    <row r="312" customFormat="false" ht="25.5" hidden="false" customHeight="true" outlineLevel="0" collapsed="false">
      <c r="A312" s="51" t="n">
        <v>311</v>
      </c>
      <c r="B312" s="51" t="n">
        <v>2</v>
      </c>
      <c r="C312" s="11" t="s">
        <v>848</v>
      </c>
      <c r="D312" s="11" t="s">
        <v>849</v>
      </c>
      <c r="E312" s="51"/>
      <c r="F312" s="51"/>
      <c r="G312" s="51"/>
      <c r="H312" s="51"/>
      <c r="I312" s="51"/>
      <c r="J312" s="51"/>
      <c r="K312" s="12" t="n">
        <f aca="false">IFERROR(MIN(E312:J312),"")</f>
        <v>0</v>
      </c>
      <c r="L312" s="51" t="str">
        <f aca="false">IF(COUNT(E312:J312)&lt;2,"-",IF(LOOKUP(2,1/(E312:J312&lt;&gt;""),E312:J312)&lt;INDEX(E312:J312,MATCH(TRUE(),E312:J312&lt;&gt;"",0)),"↑",IF(LOOKUP(2,1/(E312:J312&lt;&gt;""),E312:J312)&gt;INDEX(E312:J312,MATCH(TRUE(),E312:J312&lt;&gt;"",0)),"↓","→")))</f>
        <v>-</v>
      </c>
    </row>
    <row r="313" customFormat="false" ht="25.5" hidden="false" customHeight="true" outlineLevel="0" collapsed="false">
      <c r="A313" s="51" t="n">
        <v>312</v>
      </c>
      <c r="B313" s="51" t="n">
        <v>2</v>
      </c>
      <c r="C313" s="13" t="s">
        <v>850</v>
      </c>
      <c r="D313" s="13" t="s">
        <v>851</v>
      </c>
      <c r="E313" s="51"/>
      <c r="F313" s="51"/>
      <c r="G313" s="51"/>
      <c r="H313" s="51"/>
      <c r="I313" s="51"/>
      <c r="J313" s="51"/>
      <c r="K313" s="12" t="n">
        <f aca="false">IFERROR(MIN(E313:J313),"")</f>
        <v>0</v>
      </c>
      <c r="L313" s="51" t="str">
        <f aca="false">IF(COUNT(E313:J313)&lt;2,"-",IF(LOOKUP(2,1/(E313:J313&lt;&gt;""),E313:J313)&lt;INDEX(E313:J313,MATCH(TRUE(),E313:J313&lt;&gt;"",0)),"↑",IF(LOOKUP(2,1/(E313:J313&lt;&gt;""),E313:J313)&gt;INDEX(E313:J313,MATCH(TRUE(),E313:J313&lt;&gt;"",0)),"↓","→")))</f>
        <v>-</v>
      </c>
    </row>
    <row r="314" customFormat="false" ht="25.5" hidden="false" customHeight="true" outlineLevel="0" collapsed="false">
      <c r="A314" s="51" t="n">
        <v>313</v>
      </c>
      <c r="B314" s="51" t="n">
        <v>2</v>
      </c>
      <c r="C314" s="11" t="s">
        <v>852</v>
      </c>
      <c r="D314" s="11" t="s">
        <v>853</v>
      </c>
      <c r="E314" s="51"/>
      <c r="F314" s="51"/>
      <c r="G314" s="51"/>
      <c r="H314" s="51"/>
      <c r="I314" s="51"/>
      <c r="J314" s="51"/>
      <c r="K314" s="12" t="n">
        <f aca="false">IFERROR(MIN(E314:J314),"")</f>
        <v>0</v>
      </c>
      <c r="L314" s="51" t="str">
        <f aca="false">IF(COUNT(E314:J314)&lt;2,"-",IF(LOOKUP(2,1/(E314:J314&lt;&gt;""),E314:J314)&lt;INDEX(E314:J314,MATCH(TRUE(),E314:J314&lt;&gt;"",0)),"↑",IF(LOOKUP(2,1/(E314:J314&lt;&gt;""),E314:J314)&gt;INDEX(E314:J314,MATCH(TRUE(),E314:J314&lt;&gt;"",0)),"↓","→")))</f>
        <v>-</v>
      </c>
    </row>
    <row r="315" customFormat="false" ht="25.5" hidden="false" customHeight="true" outlineLevel="0" collapsed="false">
      <c r="A315" s="51" t="n">
        <v>314</v>
      </c>
      <c r="B315" s="51" t="n">
        <v>2</v>
      </c>
      <c r="C315" s="13" t="s">
        <v>854</v>
      </c>
      <c r="D315" s="13" t="s">
        <v>855</v>
      </c>
      <c r="E315" s="51"/>
      <c r="F315" s="51"/>
      <c r="G315" s="51"/>
      <c r="H315" s="51"/>
      <c r="I315" s="51"/>
      <c r="J315" s="51"/>
      <c r="K315" s="12" t="n">
        <f aca="false">IFERROR(MIN(E315:J315),"")</f>
        <v>0</v>
      </c>
      <c r="L315" s="51" t="str">
        <f aca="false">IF(COUNT(E315:J315)&lt;2,"-",IF(LOOKUP(2,1/(E315:J315&lt;&gt;""),E315:J315)&lt;INDEX(E315:J315,MATCH(TRUE(),E315:J315&lt;&gt;"",0)),"↑",IF(LOOKUP(2,1/(E315:J315&lt;&gt;""),E315:J315)&gt;INDEX(E315:J315,MATCH(TRUE(),E315:J315&lt;&gt;"",0)),"↓","→")))</f>
        <v>-</v>
      </c>
    </row>
    <row r="316" customFormat="false" ht="25.5" hidden="false" customHeight="true" outlineLevel="0" collapsed="false">
      <c r="A316" s="51" t="n">
        <v>315</v>
      </c>
      <c r="B316" s="51" t="n">
        <v>2</v>
      </c>
      <c r="C316" s="11" t="s">
        <v>856</v>
      </c>
      <c r="D316" s="11" t="s">
        <v>857</v>
      </c>
      <c r="E316" s="51"/>
      <c r="F316" s="51"/>
      <c r="G316" s="51"/>
      <c r="H316" s="51"/>
      <c r="I316" s="51"/>
      <c r="J316" s="51"/>
      <c r="K316" s="12" t="n">
        <f aca="false">IFERROR(MIN(E316:J316),"")</f>
        <v>0</v>
      </c>
      <c r="L316" s="51" t="str">
        <f aca="false">IF(COUNT(E316:J316)&lt;2,"-",IF(LOOKUP(2,1/(E316:J316&lt;&gt;""),E316:J316)&lt;INDEX(E316:J316,MATCH(TRUE(),E316:J316&lt;&gt;"",0)),"↑",IF(LOOKUP(2,1/(E316:J316&lt;&gt;""),E316:J316)&gt;INDEX(E316:J316,MATCH(TRUE(),E316:J316&lt;&gt;"",0)),"↓","→")))</f>
        <v>-</v>
      </c>
    </row>
    <row r="317" customFormat="false" ht="25.5" hidden="false" customHeight="true" outlineLevel="0" collapsed="false">
      <c r="A317" s="51" t="n">
        <v>316</v>
      </c>
      <c r="B317" s="51" t="n">
        <v>2</v>
      </c>
      <c r="C317" s="13" t="s">
        <v>858</v>
      </c>
      <c r="D317" s="13" t="s">
        <v>859</v>
      </c>
      <c r="E317" s="51"/>
      <c r="F317" s="51"/>
      <c r="G317" s="51"/>
      <c r="H317" s="51"/>
      <c r="I317" s="51"/>
      <c r="J317" s="51"/>
      <c r="K317" s="12" t="n">
        <f aca="false">IFERROR(MIN(E317:J317),"")</f>
        <v>0</v>
      </c>
      <c r="L317" s="51" t="str">
        <f aca="false">IF(COUNT(E317:J317)&lt;2,"-",IF(LOOKUP(2,1/(E317:J317&lt;&gt;""),E317:J317)&lt;INDEX(E317:J317,MATCH(TRUE(),E317:J317&lt;&gt;"",0)),"↑",IF(LOOKUP(2,1/(E317:J317&lt;&gt;""),E317:J317)&gt;INDEX(E317:J317,MATCH(TRUE(),E317:J317&lt;&gt;"",0)),"↓","→")))</f>
        <v>-</v>
      </c>
    </row>
    <row r="318" customFormat="false" ht="25.5" hidden="false" customHeight="true" outlineLevel="0" collapsed="false">
      <c r="A318" s="51" t="n">
        <v>317</v>
      </c>
      <c r="B318" s="51" t="n">
        <v>2</v>
      </c>
      <c r="C318" s="11" t="s">
        <v>860</v>
      </c>
      <c r="D318" s="11" t="s">
        <v>861</v>
      </c>
      <c r="E318" s="51"/>
      <c r="F318" s="51"/>
      <c r="G318" s="51"/>
      <c r="H318" s="51"/>
      <c r="I318" s="51"/>
      <c r="J318" s="51"/>
      <c r="K318" s="12" t="n">
        <f aca="false">IFERROR(MIN(E318:J318),"")</f>
        <v>0</v>
      </c>
      <c r="L318" s="51" t="str">
        <f aca="false">IF(COUNT(E318:J318)&lt;2,"-",IF(LOOKUP(2,1/(E318:J318&lt;&gt;""),E318:J318)&lt;INDEX(E318:J318,MATCH(TRUE(),E318:J318&lt;&gt;"",0)),"↑",IF(LOOKUP(2,1/(E318:J318&lt;&gt;""),E318:J318)&gt;INDEX(E318:J318,MATCH(TRUE(),E318:J318&lt;&gt;"",0)),"↓","→")))</f>
        <v>-</v>
      </c>
    </row>
    <row r="319" customFormat="false" ht="25.5" hidden="false" customHeight="true" outlineLevel="0" collapsed="false">
      <c r="A319" s="51" t="n">
        <v>318</v>
      </c>
      <c r="B319" s="51" t="n">
        <v>2</v>
      </c>
      <c r="C319" s="13" t="s">
        <v>862</v>
      </c>
      <c r="D319" s="13" t="s">
        <v>863</v>
      </c>
      <c r="E319" s="51"/>
      <c r="F319" s="51"/>
      <c r="G319" s="51"/>
      <c r="H319" s="51"/>
      <c r="I319" s="51"/>
      <c r="J319" s="51"/>
      <c r="K319" s="12" t="n">
        <f aca="false">IFERROR(MIN(E319:J319),"")</f>
        <v>0</v>
      </c>
      <c r="L319" s="51" t="str">
        <f aca="false">IF(COUNT(E319:J319)&lt;2,"-",IF(LOOKUP(2,1/(E319:J319&lt;&gt;""),E319:J319)&lt;INDEX(E319:J319,MATCH(TRUE(),E319:J319&lt;&gt;"",0)),"↑",IF(LOOKUP(2,1/(E319:J319&lt;&gt;""),E319:J319)&gt;INDEX(E319:J319,MATCH(TRUE(),E319:J319&lt;&gt;"",0)),"↓","→")))</f>
        <v>-</v>
      </c>
    </row>
    <row r="320" customFormat="false" ht="25.5" hidden="false" customHeight="true" outlineLevel="0" collapsed="false">
      <c r="A320" s="51" t="n">
        <v>319</v>
      </c>
      <c r="B320" s="51" t="n">
        <v>2</v>
      </c>
      <c r="C320" s="11" t="s">
        <v>864</v>
      </c>
      <c r="D320" s="11" t="s">
        <v>865</v>
      </c>
      <c r="E320" s="51"/>
      <c r="F320" s="51"/>
      <c r="G320" s="51"/>
      <c r="H320" s="51"/>
      <c r="I320" s="51"/>
      <c r="J320" s="51"/>
      <c r="K320" s="12" t="n">
        <f aca="false">IFERROR(MIN(E320:J320),"")</f>
        <v>0</v>
      </c>
      <c r="L320" s="51" t="str">
        <f aca="false">IF(COUNT(E320:J320)&lt;2,"-",IF(LOOKUP(2,1/(E320:J320&lt;&gt;""),E320:J320)&lt;INDEX(E320:J320,MATCH(TRUE(),E320:J320&lt;&gt;"",0)),"↑",IF(LOOKUP(2,1/(E320:J320&lt;&gt;""),E320:J320)&gt;INDEX(E320:J320,MATCH(TRUE(),E320:J320&lt;&gt;"",0)),"↓","→")))</f>
        <v>-</v>
      </c>
    </row>
    <row r="321" customFormat="false" ht="25.5" hidden="false" customHeight="true" outlineLevel="0" collapsed="false">
      <c r="A321" s="51" t="n">
        <v>320</v>
      </c>
      <c r="B321" s="51" t="n">
        <v>2</v>
      </c>
      <c r="C321" s="13" t="s">
        <v>866</v>
      </c>
      <c r="D321" s="13" t="s">
        <v>867</v>
      </c>
      <c r="E321" s="51"/>
      <c r="F321" s="51"/>
      <c r="G321" s="51"/>
      <c r="H321" s="51"/>
      <c r="I321" s="51"/>
      <c r="J321" s="51"/>
      <c r="K321" s="12" t="n">
        <f aca="false">IFERROR(MIN(E321:J321),"")</f>
        <v>0</v>
      </c>
      <c r="L321" s="51" t="str">
        <f aca="false">IF(COUNT(E321:J321)&lt;2,"-",IF(LOOKUP(2,1/(E321:J321&lt;&gt;""),E321:J321)&lt;INDEX(E321:J321,MATCH(TRUE(),E321:J321&lt;&gt;"",0)),"↑",IF(LOOKUP(2,1/(E321:J321&lt;&gt;""),E321:J321)&gt;INDEX(E321:J321,MATCH(TRUE(),E321:J321&lt;&gt;"",0)),"↓","→")))</f>
        <v>-</v>
      </c>
    </row>
    <row r="322" customFormat="false" ht="25.5" hidden="false" customHeight="true" outlineLevel="0" collapsed="false">
      <c r="A322" s="51" t="n">
        <v>321</v>
      </c>
      <c r="B322" s="51" t="n">
        <v>2</v>
      </c>
      <c r="C322" s="11" t="s">
        <v>868</v>
      </c>
      <c r="D322" s="11" t="s">
        <v>869</v>
      </c>
      <c r="E322" s="51"/>
      <c r="F322" s="51"/>
      <c r="G322" s="51"/>
      <c r="H322" s="51"/>
      <c r="I322" s="51"/>
      <c r="J322" s="51"/>
      <c r="K322" s="12" t="n">
        <f aca="false">IFERROR(MIN(E322:J322),"")</f>
        <v>0</v>
      </c>
      <c r="L322" s="51" t="str">
        <f aca="false">IF(COUNT(E322:J322)&lt;2,"-",IF(LOOKUP(2,1/(E322:J322&lt;&gt;""),E322:J322)&lt;INDEX(E322:J322,MATCH(TRUE(),E322:J322&lt;&gt;"",0)),"↑",IF(LOOKUP(2,1/(E322:J322&lt;&gt;""),E322:J322)&gt;INDEX(E322:J322,MATCH(TRUE(),E322:J322&lt;&gt;"",0)),"↓","→")))</f>
        <v>-</v>
      </c>
    </row>
    <row r="323" customFormat="false" ht="25.5" hidden="false" customHeight="true" outlineLevel="0" collapsed="false">
      <c r="A323" s="51" t="n">
        <v>322</v>
      </c>
      <c r="B323" s="51" t="n">
        <v>2</v>
      </c>
      <c r="C323" s="13" t="s">
        <v>870</v>
      </c>
      <c r="D323" s="13" t="s">
        <v>871</v>
      </c>
      <c r="E323" s="51"/>
      <c r="F323" s="51"/>
      <c r="G323" s="51"/>
      <c r="H323" s="51"/>
      <c r="I323" s="51"/>
      <c r="J323" s="51"/>
      <c r="K323" s="12" t="n">
        <f aca="false">IFERROR(MIN(E323:J323),"")</f>
        <v>0</v>
      </c>
      <c r="L323" s="51" t="str">
        <f aca="false">IF(COUNT(E323:J323)&lt;2,"-",IF(LOOKUP(2,1/(E323:J323&lt;&gt;""),E323:J323)&lt;INDEX(E323:J323,MATCH(TRUE(),E323:J323&lt;&gt;"",0)),"↑",IF(LOOKUP(2,1/(E323:J323&lt;&gt;""),E323:J323)&gt;INDEX(E323:J323,MATCH(TRUE(),E323:J323&lt;&gt;"",0)),"↓","→")))</f>
        <v>-</v>
      </c>
    </row>
    <row r="324" customFormat="false" ht="25.5" hidden="false" customHeight="true" outlineLevel="0" collapsed="false">
      <c r="A324" s="51" t="n">
        <v>323</v>
      </c>
      <c r="B324" s="51" t="n">
        <v>2</v>
      </c>
      <c r="C324" s="11" t="s">
        <v>872</v>
      </c>
      <c r="D324" s="11" t="s">
        <v>873</v>
      </c>
      <c r="E324" s="51"/>
      <c r="F324" s="51"/>
      <c r="G324" s="51"/>
      <c r="H324" s="51"/>
      <c r="I324" s="51"/>
      <c r="J324" s="51"/>
      <c r="K324" s="12" t="n">
        <f aca="false">IFERROR(MIN(E324:J324),"")</f>
        <v>0</v>
      </c>
      <c r="L324" s="51" t="str">
        <f aca="false">IF(COUNT(E324:J324)&lt;2,"-",IF(LOOKUP(2,1/(E324:J324&lt;&gt;""),E324:J324)&lt;INDEX(E324:J324,MATCH(TRUE(),E324:J324&lt;&gt;"",0)),"↑",IF(LOOKUP(2,1/(E324:J324&lt;&gt;""),E324:J324)&gt;INDEX(E324:J324,MATCH(TRUE(),E324:J324&lt;&gt;"",0)),"↓","→")))</f>
        <v>-</v>
      </c>
    </row>
    <row r="325" customFormat="false" ht="25.5" hidden="false" customHeight="true" outlineLevel="0" collapsed="false">
      <c r="A325" s="51" t="n">
        <v>324</v>
      </c>
      <c r="B325" s="51" t="n">
        <v>2</v>
      </c>
      <c r="C325" s="13" t="s">
        <v>874</v>
      </c>
      <c r="D325" s="13" t="s">
        <v>875</v>
      </c>
      <c r="E325" s="51"/>
      <c r="F325" s="51"/>
      <c r="G325" s="51"/>
      <c r="H325" s="51"/>
      <c r="I325" s="51"/>
      <c r="J325" s="51"/>
      <c r="K325" s="12" t="n">
        <f aca="false">IFERROR(MIN(E325:J325),"")</f>
        <v>0</v>
      </c>
      <c r="L325" s="51" t="str">
        <f aca="false">IF(COUNT(E325:J325)&lt;2,"-",IF(LOOKUP(2,1/(E325:J325&lt;&gt;""),E325:J325)&lt;INDEX(E325:J325,MATCH(TRUE(),E325:J325&lt;&gt;"",0)),"↑",IF(LOOKUP(2,1/(E325:J325&lt;&gt;""),E325:J325)&gt;INDEX(E325:J325,MATCH(TRUE(),E325:J325&lt;&gt;"",0)),"↓","→")))</f>
        <v>-</v>
      </c>
    </row>
    <row r="326" customFormat="false" ht="25.5" hidden="false" customHeight="true" outlineLevel="0" collapsed="false">
      <c r="A326" s="51" t="n">
        <v>325</v>
      </c>
      <c r="B326" s="51" t="n">
        <v>2</v>
      </c>
      <c r="C326" s="11" t="s">
        <v>876</v>
      </c>
      <c r="D326" s="11" t="s">
        <v>877</v>
      </c>
      <c r="E326" s="51"/>
      <c r="F326" s="51"/>
      <c r="G326" s="51"/>
      <c r="H326" s="51"/>
      <c r="I326" s="51"/>
      <c r="J326" s="51"/>
      <c r="K326" s="12" t="n">
        <f aca="false">IFERROR(MIN(E326:J326),"")</f>
        <v>0</v>
      </c>
      <c r="L326" s="51" t="str">
        <f aca="false">IF(COUNT(E326:J326)&lt;2,"-",IF(LOOKUP(2,1/(E326:J326&lt;&gt;""),E326:J326)&lt;INDEX(E326:J326,MATCH(TRUE(),E326:J326&lt;&gt;"",0)),"↑",IF(LOOKUP(2,1/(E326:J326&lt;&gt;""),E326:J326)&gt;INDEX(E326:J326,MATCH(TRUE(),E326:J326&lt;&gt;"",0)),"↓","→")))</f>
        <v>-</v>
      </c>
    </row>
    <row r="327" customFormat="false" ht="25.5" hidden="false" customHeight="true" outlineLevel="0" collapsed="false">
      <c r="A327" s="51" t="n">
        <v>326</v>
      </c>
      <c r="B327" s="51" t="n">
        <v>2</v>
      </c>
      <c r="C327" s="13" t="s">
        <v>878</v>
      </c>
      <c r="D327" s="13" t="s">
        <v>879</v>
      </c>
      <c r="E327" s="51"/>
      <c r="F327" s="51"/>
      <c r="G327" s="51"/>
      <c r="H327" s="51"/>
      <c r="I327" s="51"/>
      <c r="J327" s="51"/>
      <c r="K327" s="12" t="n">
        <f aca="false">IFERROR(MIN(E327:J327),"")</f>
        <v>0</v>
      </c>
      <c r="L327" s="51" t="str">
        <f aca="false">IF(COUNT(E327:J327)&lt;2,"-",IF(LOOKUP(2,1/(E327:J327&lt;&gt;""),E327:J327)&lt;INDEX(E327:J327,MATCH(TRUE(),E327:J327&lt;&gt;"",0)),"↑",IF(LOOKUP(2,1/(E327:J327&lt;&gt;""),E327:J327)&gt;INDEX(E327:J327,MATCH(TRUE(),E327:J327&lt;&gt;"",0)),"↓","→")))</f>
        <v>-</v>
      </c>
    </row>
    <row r="328" customFormat="false" ht="25.5" hidden="false" customHeight="true" outlineLevel="0" collapsed="false">
      <c r="A328" s="51" t="n">
        <v>327</v>
      </c>
      <c r="B328" s="51" t="n">
        <v>2</v>
      </c>
      <c r="C328" s="11" t="s">
        <v>880</v>
      </c>
      <c r="D328" s="11" t="s">
        <v>881</v>
      </c>
      <c r="E328" s="51"/>
      <c r="F328" s="51"/>
      <c r="G328" s="51"/>
      <c r="H328" s="51"/>
      <c r="I328" s="51"/>
      <c r="J328" s="51"/>
      <c r="K328" s="12" t="n">
        <f aca="false">IFERROR(MIN(E328:J328),"")</f>
        <v>0</v>
      </c>
      <c r="L328" s="51" t="str">
        <f aca="false">IF(COUNT(E328:J328)&lt;2,"-",IF(LOOKUP(2,1/(E328:J328&lt;&gt;""),E328:J328)&lt;INDEX(E328:J328,MATCH(TRUE(),E328:J328&lt;&gt;"",0)),"↑",IF(LOOKUP(2,1/(E328:J328&lt;&gt;""),E328:J328)&gt;INDEX(E328:J328,MATCH(TRUE(),E328:J328&lt;&gt;"",0)),"↓","→")))</f>
        <v>-</v>
      </c>
    </row>
    <row r="329" customFormat="false" ht="25.5" hidden="false" customHeight="true" outlineLevel="0" collapsed="false">
      <c r="A329" s="51" t="n">
        <v>328</v>
      </c>
      <c r="B329" s="51" t="n">
        <v>2</v>
      </c>
      <c r="C329" s="13" t="s">
        <v>882</v>
      </c>
      <c r="D329" s="13" t="s">
        <v>883</v>
      </c>
      <c r="E329" s="51"/>
      <c r="F329" s="51"/>
      <c r="G329" s="51"/>
      <c r="H329" s="51"/>
      <c r="I329" s="51"/>
      <c r="J329" s="51"/>
      <c r="K329" s="12" t="n">
        <f aca="false">IFERROR(MIN(E329:J329),"")</f>
        <v>0</v>
      </c>
      <c r="L329" s="51" t="str">
        <f aca="false">IF(COUNT(E329:J329)&lt;2,"-",IF(LOOKUP(2,1/(E329:J329&lt;&gt;""),E329:J329)&lt;INDEX(E329:J329,MATCH(TRUE(),E329:J329&lt;&gt;"",0)),"↑",IF(LOOKUP(2,1/(E329:J329&lt;&gt;""),E329:J329)&gt;INDEX(E329:J329,MATCH(TRUE(),E329:J329&lt;&gt;"",0)),"↓","→")))</f>
        <v>-</v>
      </c>
    </row>
    <row r="330" customFormat="false" ht="25.5" hidden="false" customHeight="true" outlineLevel="0" collapsed="false">
      <c r="A330" s="51" t="n">
        <v>329</v>
      </c>
      <c r="B330" s="51" t="n">
        <v>2</v>
      </c>
      <c r="C330" s="11" t="s">
        <v>884</v>
      </c>
      <c r="D330" s="11" t="s">
        <v>885</v>
      </c>
      <c r="E330" s="51"/>
      <c r="F330" s="51"/>
      <c r="G330" s="51"/>
      <c r="H330" s="51"/>
      <c r="I330" s="51"/>
      <c r="J330" s="51"/>
      <c r="K330" s="12" t="n">
        <f aca="false">IFERROR(MIN(E330:J330),"")</f>
        <v>0</v>
      </c>
      <c r="L330" s="51" t="str">
        <f aca="false">IF(COUNT(E330:J330)&lt;2,"-",IF(LOOKUP(2,1/(E330:J330&lt;&gt;""),E330:J330)&lt;INDEX(E330:J330,MATCH(TRUE(),E330:J330&lt;&gt;"",0)),"↑",IF(LOOKUP(2,1/(E330:J330&lt;&gt;""),E330:J330)&gt;INDEX(E330:J330,MATCH(TRUE(),E330:J330&lt;&gt;"",0)),"↓","→")))</f>
        <v>-</v>
      </c>
    </row>
    <row r="331" customFormat="false" ht="25.5" hidden="false" customHeight="true" outlineLevel="0" collapsed="false">
      <c r="A331" s="51" t="n">
        <v>330</v>
      </c>
      <c r="B331" s="51" t="n">
        <v>2</v>
      </c>
      <c r="C331" s="13" t="s">
        <v>886</v>
      </c>
      <c r="D331" s="13" t="s">
        <v>887</v>
      </c>
      <c r="E331" s="51"/>
      <c r="F331" s="51"/>
      <c r="G331" s="51"/>
      <c r="H331" s="51"/>
      <c r="I331" s="51"/>
      <c r="J331" s="51"/>
      <c r="K331" s="12" t="n">
        <f aca="false">IFERROR(MIN(E331:J331),"")</f>
        <v>0</v>
      </c>
      <c r="L331" s="51" t="str">
        <f aca="false">IF(COUNT(E331:J331)&lt;2,"-",IF(LOOKUP(2,1/(E331:J331&lt;&gt;""),E331:J331)&lt;INDEX(E331:J331,MATCH(TRUE(),E331:J331&lt;&gt;"",0)),"↑",IF(LOOKUP(2,1/(E331:J331&lt;&gt;""),E331:J331)&gt;INDEX(E331:J331,MATCH(TRUE(),E331:J331&lt;&gt;"",0)),"↓","→")))</f>
        <v>-</v>
      </c>
    </row>
    <row r="332" customFormat="false" ht="25.5" hidden="false" customHeight="true" outlineLevel="0" collapsed="false">
      <c r="A332" s="51" t="n">
        <v>331</v>
      </c>
      <c r="B332" s="51" t="n">
        <v>2</v>
      </c>
      <c r="C332" s="11" t="s">
        <v>888</v>
      </c>
      <c r="D332" s="11" t="s">
        <v>889</v>
      </c>
      <c r="E332" s="51"/>
      <c r="F332" s="51"/>
      <c r="G332" s="51"/>
      <c r="H332" s="51"/>
      <c r="I332" s="51"/>
      <c r="J332" s="51"/>
      <c r="K332" s="12" t="n">
        <f aca="false">IFERROR(MIN(E332:J332),"")</f>
        <v>0</v>
      </c>
      <c r="L332" s="51" t="str">
        <f aca="false">IF(COUNT(E332:J332)&lt;2,"-",IF(LOOKUP(2,1/(E332:J332&lt;&gt;""),E332:J332)&lt;INDEX(E332:J332,MATCH(TRUE(),E332:J332&lt;&gt;"",0)),"↑",IF(LOOKUP(2,1/(E332:J332&lt;&gt;""),E332:J332)&gt;INDEX(E332:J332,MATCH(TRUE(),E332:J332&lt;&gt;"",0)),"↓","→")))</f>
        <v>-</v>
      </c>
    </row>
    <row r="333" customFormat="false" ht="25.5" hidden="false" customHeight="true" outlineLevel="0" collapsed="false">
      <c r="A333" s="51" t="n">
        <v>332</v>
      </c>
      <c r="B333" s="51" t="n">
        <v>2</v>
      </c>
      <c r="C333" s="13" t="s">
        <v>890</v>
      </c>
      <c r="D333" s="13" t="s">
        <v>891</v>
      </c>
      <c r="E333" s="51"/>
      <c r="F333" s="51"/>
      <c r="G333" s="51"/>
      <c r="H333" s="51"/>
      <c r="I333" s="51"/>
      <c r="J333" s="51"/>
      <c r="K333" s="12" t="n">
        <f aca="false">IFERROR(MIN(E333:J333),"")</f>
        <v>0</v>
      </c>
      <c r="L333" s="51" t="str">
        <f aca="false">IF(COUNT(E333:J333)&lt;2,"-",IF(LOOKUP(2,1/(E333:J333&lt;&gt;""),E333:J333)&lt;INDEX(E333:J333,MATCH(TRUE(),E333:J333&lt;&gt;"",0)),"↑",IF(LOOKUP(2,1/(E333:J333&lt;&gt;""),E333:J333)&gt;INDEX(E333:J333,MATCH(TRUE(),E333:J333&lt;&gt;"",0)),"↓","→")))</f>
        <v>-</v>
      </c>
    </row>
    <row r="334" customFormat="false" ht="25.5" hidden="false" customHeight="true" outlineLevel="0" collapsed="false">
      <c r="A334" s="51" t="n">
        <v>333</v>
      </c>
      <c r="B334" s="51" t="n">
        <v>2</v>
      </c>
      <c r="C334" s="11" t="s">
        <v>892</v>
      </c>
      <c r="D334" s="11" t="s">
        <v>893</v>
      </c>
      <c r="E334" s="51"/>
      <c r="F334" s="51"/>
      <c r="G334" s="51"/>
      <c r="H334" s="51"/>
      <c r="I334" s="51"/>
      <c r="J334" s="51"/>
      <c r="K334" s="12" t="n">
        <f aca="false">IFERROR(MIN(E334:J334),"")</f>
        <v>0</v>
      </c>
      <c r="L334" s="51" t="str">
        <f aca="false">IF(COUNT(E334:J334)&lt;2,"-",IF(LOOKUP(2,1/(E334:J334&lt;&gt;""),E334:J334)&lt;INDEX(E334:J334,MATCH(TRUE(),E334:J334&lt;&gt;"",0)),"↑",IF(LOOKUP(2,1/(E334:J334&lt;&gt;""),E334:J334)&gt;INDEX(E334:J334,MATCH(TRUE(),E334:J334&lt;&gt;"",0)),"↓","→")))</f>
        <v>-</v>
      </c>
    </row>
    <row r="335" customFormat="false" ht="25.5" hidden="false" customHeight="true" outlineLevel="0" collapsed="false">
      <c r="A335" s="51" t="n">
        <v>334</v>
      </c>
      <c r="B335" s="51" t="n">
        <v>2</v>
      </c>
      <c r="C335" s="13" t="s">
        <v>894</v>
      </c>
      <c r="D335" s="13" t="s">
        <v>895</v>
      </c>
      <c r="E335" s="51"/>
      <c r="F335" s="51"/>
      <c r="G335" s="51"/>
      <c r="H335" s="51"/>
      <c r="I335" s="51"/>
      <c r="J335" s="51"/>
      <c r="K335" s="12" t="n">
        <f aca="false">IFERROR(MIN(E335:J335),"")</f>
        <v>0</v>
      </c>
      <c r="L335" s="51" t="str">
        <f aca="false">IF(COUNT(E335:J335)&lt;2,"-",IF(LOOKUP(2,1/(E335:J335&lt;&gt;""),E335:J335)&lt;INDEX(E335:J335,MATCH(TRUE(),E335:J335&lt;&gt;"",0)),"↑",IF(LOOKUP(2,1/(E335:J335&lt;&gt;""),E335:J335)&gt;INDEX(E335:J335,MATCH(TRUE(),E335:J335&lt;&gt;"",0)),"↓","→")))</f>
        <v>-</v>
      </c>
    </row>
    <row r="336" customFormat="false" ht="25.5" hidden="false" customHeight="true" outlineLevel="0" collapsed="false">
      <c r="A336" s="51" t="n">
        <v>335</v>
      </c>
      <c r="B336" s="51" t="n">
        <v>2</v>
      </c>
      <c r="C336" s="11" t="s">
        <v>896</v>
      </c>
      <c r="D336" s="11" t="s">
        <v>897</v>
      </c>
      <c r="E336" s="51"/>
      <c r="F336" s="51"/>
      <c r="G336" s="51"/>
      <c r="H336" s="51"/>
      <c r="I336" s="51"/>
      <c r="J336" s="51"/>
      <c r="K336" s="12" t="n">
        <f aca="false">IFERROR(MIN(E336:J336),"")</f>
        <v>0</v>
      </c>
      <c r="L336" s="51" t="str">
        <f aca="false">IF(COUNT(E336:J336)&lt;2,"-",IF(LOOKUP(2,1/(E336:J336&lt;&gt;""),E336:J336)&lt;INDEX(E336:J336,MATCH(TRUE(),E336:J336&lt;&gt;"",0)),"↑",IF(LOOKUP(2,1/(E336:J336&lt;&gt;""),E336:J336)&gt;INDEX(E336:J336,MATCH(TRUE(),E336:J336&lt;&gt;"",0)),"↓","→")))</f>
        <v>-</v>
      </c>
    </row>
    <row r="337" customFormat="false" ht="25.5" hidden="false" customHeight="true" outlineLevel="0" collapsed="false">
      <c r="A337" s="51" t="n">
        <v>336</v>
      </c>
      <c r="B337" s="51" t="n">
        <v>2</v>
      </c>
      <c r="C337" s="13" t="s">
        <v>898</v>
      </c>
      <c r="D337" s="13" t="s">
        <v>899</v>
      </c>
      <c r="E337" s="51"/>
      <c r="F337" s="51"/>
      <c r="G337" s="51"/>
      <c r="H337" s="51"/>
      <c r="I337" s="51"/>
      <c r="J337" s="51"/>
      <c r="K337" s="12" t="n">
        <f aca="false">IFERROR(MIN(E337:J337),"")</f>
        <v>0</v>
      </c>
      <c r="L337" s="51" t="str">
        <f aca="false">IF(COUNT(E337:J337)&lt;2,"-",IF(LOOKUP(2,1/(E337:J337&lt;&gt;""),E337:J337)&lt;INDEX(E337:J337,MATCH(TRUE(),E337:J337&lt;&gt;"",0)),"↑",IF(LOOKUP(2,1/(E337:J337&lt;&gt;""),E337:J337)&gt;INDEX(E337:J337,MATCH(TRUE(),E337:J337&lt;&gt;"",0)),"↓","→")))</f>
        <v>-</v>
      </c>
    </row>
    <row r="338" customFormat="false" ht="25.5" hidden="false" customHeight="true" outlineLevel="0" collapsed="false">
      <c r="A338" s="51" t="n">
        <v>337</v>
      </c>
      <c r="B338" s="51" t="n">
        <v>2</v>
      </c>
      <c r="C338" s="11" t="s">
        <v>900</v>
      </c>
      <c r="D338" s="11" t="s">
        <v>901</v>
      </c>
      <c r="E338" s="51"/>
      <c r="F338" s="51"/>
      <c r="G338" s="51"/>
      <c r="H338" s="51"/>
      <c r="I338" s="51"/>
      <c r="J338" s="51"/>
      <c r="K338" s="12" t="n">
        <f aca="false">IFERROR(MIN(E338:J338),"")</f>
        <v>0</v>
      </c>
      <c r="L338" s="51" t="str">
        <f aca="false">IF(COUNT(E338:J338)&lt;2,"-",IF(LOOKUP(2,1/(E338:J338&lt;&gt;""),E338:J338)&lt;INDEX(E338:J338,MATCH(TRUE(),E338:J338&lt;&gt;"",0)),"↑",IF(LOOKUP(2,1/(E338:J338&lt;&gt;""),E338:J338)&gt;INDEX(E338:J338,MATCH(TRUE(),E338:J338&lt;&gt;"",0)),"↓","→")))</f>
        <v>-</v>
      </c>
    </row>
    <row r="339" customFormat="false" ht="25.5" hidden="false" customHeight="true" outlineLevel="0" collapsed="false">
      <c r="A339" s="51" t="n">
        <v>338</v>
      </c>
      <c r="B339" s="51" t="n">
        <v>2</v>
      </c>
      <c r="C339" s="13" t="s">
        <v>902</v>
      </c>
      <c r="D339" s="13" t="s">
        <v>903</v>
      </c>
      <c r="E339" s="51"/>
      <c r="F339" s="51"/>
      <c r="G339" s="51"/>
      <c r="H339" s="51"/>
      <c r="I339" s="51"/>
      <c r="J339" s="51"/>
      <c r="K339" s="12" t="n">
        <f aca="false">IFERROR(MIN(E339:J339),"")</f>
        <v>0</v>
      </c>
      <c r="L339" s="51" t="str">
        <f aca="false">IF(COUNT(E339:J339)&lt;2,"-",IF(LOOKUP(2,1/(E339:J339&lt;&gt;""),E339:J339)&lt;INDEX(E339:J339,MATCH(TRUE(),E339:J339&lt;&gt;"",0)),"↑",IF(LOOKUP(2,1/(E339:J339&lt;&gt;""),E339:J339)&gt;INDEX(E339:J339,MATCH(TRUE(),E339:J339&lt;&gt;"",0)),"↓","→")))</f>
        <v>-</v>
      </c>
    </row>
    <row r="340" customFormat="false" ht="25.5" hidden="false" customHeight="true" outlineLevel="0" collapsed="false">
      <c r="A340" s="51" t="n">
        <v>339</v>
      </c>
      <c r="B340" s="51" t="n">
        <v>2</v>
      </c>
      <c r="C340" s="11" t="s">
        <v>904</v>
      </c>
      <c r="D340" s="11" t="s">
        <v>905</v>
      </c>
      <c r="E340" s="51"/>
      <c r="F340" s="51"/>
      <c r="G340" s="51"/>
      <c r="H340" s="51"/>
      <c r="I340" s="51"/>
      <c r="J340" s="51"/>
      <c r="K340" s="12" t="n">
        <f aca="false">IFERROR(MIN(E340:J340),"")</f>
        <v>0</v>
      </c>
      <c r="L340" s="51" t="str">
        <f aca="false">IF(COUNT(E340:J340)&lt;2,"-",IF(LOOKUP(2,1/(E340:J340&lt;&gt;""),E340:J340)&lt;INDEX(E340:J340,MATCH(TRUE(),E340:J340&lt;&gt;"",0)),"↑",IF(LOOKUP(2,1/(E340:J340&lt;&gt;""),E340:J340)&gt;INDEX(E340:J340,MATCH(TRUE(),E340:J340&lt;&gt;"",0)),"↓","→")))</f>
        <v>-</v>
      </c>
    </row>
    <row r="341" customFormat="false" ht="25.5" hidden="false" customHeight="true" outlineLevel="0" collapsed="false">
      <c r="A341" s="51" t="n">
        <v>340</v>
      </c>
      <c r="B341" s="51" t="n">
        <v>2</v>
      </c>
      <c r="C341" s="13" t="s">
        <v>906</v>
      </c>
      <c r="D341" s="13" t="s">
        <v>907</v>
      </c>
      <c r="E341" s="51"/>
      <c r="F341" s="51"/>
      <c r="G341" s="51"/>
      <c r="H341" s="51"/>
      <c r="I341" s="51"/>
      <c r="J341" s="51"/>
      <c r="K341" s="12" t="n">
        <f aca="false">IFERROR(MIN(E341:J341),"")</f>
        <v>0</v>
      </c>
      <c r="L341" s="51" t="str">
        <f aca="false">IF(COUNT(E341:J341)&lt;2,"-",IF(LOOKUP(2,1/(E341:J341&lt;&gt;""),E341:J341)&lt;INDEX(E341:J341,MATCH(TRUE(),E341:J341&lt;&gt;"",0)),"↑",IF(LOOKUP(2,1/(E341:J341&lt;&gt;""),E341:J341)&gt;INDEX(E341:J341,MATCH(TRUE(),E341:J341&lt;&gt;"",0)),"↓","→")))</f>
        <v>-</v>
      </c>
    </row>
    <row r="342" customFormat="false" ht="25.5" hidden="false" customHeight="true" outlineLevel="0" collapsed="false">
      <c r="A342" s="51" t="n">
        <v>341</v>
      </c>
      <c r="B342" s="51" t="n">
        <v>2</v>
      </c>
      <c r="C342" s="11" t="s">
        <v>908</v>
      </c>
      <c r="D342" s="11" t="s">
        <v>909</v>
      </c>
      <c r="E342" s="51"/>
      <c r="F342" s="51"/>
      <c r="G342" s="51"/>
      <c r="H342" s="51"/>
      <c r="I342" s="51"/>
      <c r="J342" s="51"/>
      <c r="K342" s="12" t="n">
        <f aca="false">IFERROR(MIN(E342:J342),"")</f>
        <v>0</v>
      </c>
      <c r="L342" s="51" t="str">
        <f aca="false">IF(COUNT(E342:J342)&lt;2,"-",IF(LOOKUP(2,1/(E342:J342&lt;&gt;""),E342:J342)&lt;INDEX(E342:J342,MATCH(TRUE(),E342:J342&lt;&gt;"",0)),"↑",IF(LOOKUP(2,1/(E342:J342&lt;&gt;""),E342:J342)&gt;INDEX(E342:J342,MATCH(TRUE(),E342:J342&lt;&gt;"",0)),"↓","→")))</f>
        <v>-</v>
      </c>
    </row>
    <row r="343" customFormat="false" ht="25.5" hidden="false" customHeight="true" outlineLevel="0" collapsed="false">
      <c r="A343" s="51" t="n">
        <v>342</v>
      </c>
      <c r="B343" s="51" t="n">
        <v>2</v>
      </c>
      <c r="C343" s="13" t="s">
        <v>910</v>
      </c>
      <c r="D343" s="13" t="s">
        <v>911</v>
      </c>
      <c r="E343" s="51"/>
      <c r="F343" s="51"/>
      <c r="G343" s="51"/>
      <c r="H343" s="51"/>
      <c r="I343" s="51"/>
      <c r="J343" s="51"/>
      <c r="K343" s="12" t="n">
        <f aca="false">IFERROR(MIN(E343:J343),"")</f>
        <v>0</v>
      </c>
      <c r="L343" s="51" t="str">
        <f aca="false">IF(COUNT(E343:J343)&lt;2,"-",IF(LOOKUP(2,1/(E343:J343&lt;&gt;""),E343:J343)&lt;INDEX(E343:J343,MATCH(TRUE(),E343:J343&lt;&gt;"",0)),"↑",IF(LOOKUP(2,1/(E343:J343&lt;&gt;""),E343:J343)&gt;INDEX(E343:J343,MATCH(TRUE(),E343:J343&lt;&gt;"",0)),"↓","→")))</f>
        <v>-</v>
      </c>
    </row>
    <row r="344" customFormat="false" ht="25.5" hidden="false" customHeight="true" outlineLevel="0" collapsed="false">
      <c r="A344" s="51" t="n">
        <v>343</v>
      </c>
      <c r="B344" s="51" t="n">
        <v>2</v>
      </c>
      <c r="C344" s="11" t="s">
        <v>912</v>
      </c>
      <c r="D344" s="11" t="s">
        <v>913</v>
      </c>
      <c r="E344" s="51"/>
      <c r="F344" s="51"/>
      <c r="G344" s="51"/>
      <c r="H344" s="51"/>
      <c r="I344" s="51"/>
      <c r="J344" s="51"/>
      <c r="K344" s="12" t="n">
        <f aca="false">IFERROR(MIN(E344:J344),"")</f>
        <v>0</v>
      </c>
      <c r="L344" s="51" t="str">
        <f aca="false">IF(COUNT(E344:J344)&lt;2,"-",IF(LOOKUP(2,1/(E344:J344&lt;&gt;""),E344:J344)&lt;INDEX(E344:J344,MATCH(TRUE(),E344:J344&lt;&gt;"",0)),"↑",IF(LOOKUP(2,1/(E344:J344&lt;&gt;""),E344:J344)&gt;INDEX(E344:J344,MATCH(TRUE(),E344:J344&lt;&gt;"",0)),"↓","→")))</f>
        <v>-</v>
      </c>
    </row>
    <row r="345" customFormat="false" ht="25.5" hidden="false" customHeight="true" outlineLevel="0" collapsed="false">
      <c r="A345" s="51" t="n">
        <v>344</v>
      </c>
      <c r="B345" s="51" t="n">
        <v>2</v>
      </c>
      <c r="C345" s="13" t="s">
        <v>914</v>
      </c>
      <c r="D345" s="13" t="s">
        <v>915</v>
      </c>
      <c r="E345" s="51"/>
      <c r="F345" s="51"/>
      <c r="G345" s="51"/>
      <c r="H345" s="51"/>
      <c r="I345" s="51"/>
      <c r="J345" s="51"/>
      <c r="K345" s="12" t="n">
        <f aca="false">IFERROR(MIN(E345:J345),"")</f>
        <v>0</v>
      </c>
      <c r="L345" s="51" t="str">
        <f aca="false">IF(COUNT(E345:J345)&lt;2,"-",IF(LOOKUP(2,1/(E345:J345&lt;&gt;""),E345:J345)&lt;INDEX(E345:J345,MATCH(TRUE(),E345:J345&lt;&gt;"",0)),"↑",IF(LOOKUP(2,1/(E345:J345&lt;&gt;""),E345:J345)&gt;INDEX(E345:J345,MATCH(TRUE(),E345:J345&lt;&gt;"",0)),"↓","→")))</f>
        <v>-</v>
      </c>
    </row>
    <row r="346" customFormat="false" ht="25.5" hidden="false" customHeight="true" outlineLevel="0" collapsed="false">
      <c r="A346" s="51" t="n">
        <v>345</v>
      </c>
      <c r="B346" s="51" t="n">
        <v>2</v>
      </c>
      <c r="C346" s="11" t="s">
        <v>916</v>
      </c>
      <c r="D346" s="11" t="s">
        <v>917</v>
      </c>
      <c r="E346" s="51"/>
      <c r="F346" s="51"/>
      <c r="G346" s="51"/>
      <c r="H346" s="51"/>
      <c r="I346" s="51"/>
      <c r="J346" s="51"/>
      <c r="K346" s="12" t="n">
        <f aca="false">IFERROR(MIN(E346:J346),"")</f>
        <v>0</v>
      </c>
      <c r="L346" s="51" t="str">
        <f aca="false">IF(COUNT(E346:J346)&lt;2,"-",IF(LOOKUP(2,1/(E346:J346&lt;&gt;""),E346:J346)&lt;INDEX(E346:J346,MATCH(TRUE(),E346:J346&lt;&gt;"",0)),"↑",IF(LOOKUP(2,1/(E346:J346&lt;&gt;""),E346:J346)&gt;INDEX(E346:J346,MATCH(TRUE(),E346:J346&lt;&gt;"",0)),"↓","→")))</f>
        <v>-</v>
      </c>
    </row>
    <row r="347" customFormat="false" ht="25.5" hidden="false" customHeight="true" outlineLevel="0" collapsed="false">
      <c r="A347" s="51" t="n">
        <v>346</v>
      </c>
      <c r="B347" s="51" t="n">
        <v>2</v>
      </c>
      <c r="C347" s="13" t="s">
        <v>918</v>
      </c>
      <c r="D347" s="13" t="s">
        <v>919</v>
      </c>
      <c r="E347" s="51"/>
      <c r="F347" s="51"/>
      <c r="G347" s="51"/>
      <c r="H347" s="51"/>
      <c r="I347" s="51"/>
      <c r="J347" s="51"/>
      <c r="K347" s="12" t="n">
        <f aca="false">IFERROR(MIN(E347:J347),"")</f>
        <v>0</v>
      </c>
      <c r="L347" s="51" t="str">
        <f aca="false">IF(COUNT(E347:J347)&lt;2,"-",IF(LOOKUP(2,1/(E347:J347&lt;&gt;""),E347:J347)&lt;INDEX(E347:J347,MATCH(TRUE(),E347:J347&lt;&gt;"",0)),"↑",IF(LOOKUP(2,1/(E347:J347&lt;&gt;""),E347:J347)&gt;INDEX(E347:J347,MATCH(TRUE(),E347:J347&lt;&gt;"",0)),"↓","→")))</f>
        <v>-</v>
      </c>
    </row>
    <row r="348" customFormat="false" ht="25.5" hidden="false" customHeight="true" outlineLevel="0" collapsed="false">
      <c r="A348" s="51" t="n">
        <v>347</v>
      </c>
      <c r="B348" s="51" t="n">
        <v>2</v>
      </c>
      <c r="C348" s="11" t="s">
        <v>920</v>
      </c>
      <c r="D348" s="11" t="s">
        <v>921</v>
      </c>
      <c r="E348" s="51"/>
      <c r="F348" s="51"/>
      <c r="G348" s="51"/>
      <c r="H348" s="51"/>
      <c r="I348" s="51"/>
      <c r="J348" s="51"/>
      <c r="K348" s="12" t="n">
        <f aca="false">IFERROR(MIN(E348:J348),"")</f>
        <v>0</v>
      </c>
      <c r="L348" s="51" t="str">
        <f aca="false">IF(COUNT(E348:J348)&lt;2,"-",IF(LOOKUP(2,1/(E348:J348&lt;&gt;""),E348:J348)&lt;INDEX(E348:J348,MATCH(TRUE(),E348:J348&lt;&gt;"",0)),"↑",IF(LOOKUP(2,1/(E348:J348&lt;&gt;""),E348:J348)&gt;INDEX(E348:J348,MATCH(TRUE(),E348:J348&lt;&gt;"",0)),"↓","→")))</f>
        <v>-</v>
      </c>
    </row>
    <row r="349" customFormat="false" ht="25.5" hidden="false" customHeight="true" outlineLevel="0" collapsed="false">
      <c r="A349" s="51" t="n">
        <v>348</v>
      </c>
      <c r="B349" s="51" t="n">
        <v>2</v>
      </c>
      <c r="C349" s="13" t="s">
        <v>922</v>
      </c>
      <c r="D349" s="13" t="s">
        <v>923</v>
      </c>
      <c r="E349" s="51"/>
      <c r="F349" s="51"/>
      <c r="G349" s="51"/>
      <c r="H349" s="51"/>
      <c r="I349" s="51"/>
      <c r="J349" s="51"/>
      <c r="K349" s="12" t="n">
        <f aca="false">IFERROR(MIN(E349:J349),"")</f>
        <v>0</v>
      </c>
      <c r="L349" s="51" t="str">
        <f aca="false">IF(COUNT(E349:J349)&lt;2,"-",IF(LOOKUP(2,1/(E349:J349&lt;&gt;""),E349:J349)&lt;INDEX(E349:J349,MATCH(TRUE(),E349:J349&lt;&gt;"",0)),"↑",IF(LOOKUP(2,1/(E349:J349&lt;&gt;""),E349:J349)&gt;INDEX(E349:J349,MATCH(TRUE(),E349:J349&lt;&gt;"",0)),"↓","→")))</f>
        <v>-</v>
      </c>
    </row>
    <row r="350" customFormat="false" ht="25.5" hidden="false" customHeight="true" outlineLevel="0" collapsed="false">
      <c r="A350" s="51" t="n">
        <v>349</v>
      </c>
      <c r="B350" s="51" t="n">
        <v>2</v>
      </c>
      <c r="C350" s="11" t="s">
        <v>924</v>
      </c>
      <c r="D350" s="11" t="s">
        <v>925</v>
      </c>
      <c r="E350" s="51"/>
      <c r="F350" s="51"/>
      <c r="G350" s="51"/>
      <c r="H350" s="51"/>
      <c r="I350" s="51"/>
      <c r="J350" s="51"/>
      <c r="K350" s="12" t="n">
        <f aca="false">IFERROR(MIN(E350:J350),"")</f>
        <v>0</v>
      </c>
      <c r="L350" s="51" t="str">
        <f aca="false">IF(COUNT(E350:J350)&lt;2,"-",IF(LOOKUP(2,1/(E350:J350&lt;&gt;""),E350:J350)&lt;INDEX(E350:J350,MATCH(TRUE(),E350:J350&lt;&gt;"",0)),"↑",IF(LOOKUP(2,1/(E350:J350&lt;&gt;""),E350:J350)&gt;INDEX(E350:J350,MATCH(TRUE(),E350:J350&lt;&gt;"",0)),"↓","→")))</f>
        <v>-</v>
      </c>
    </row>
    <row r="351" customFormat="false" ht="25.5" hidden="false" customHeight="true" outlineLevel="0" collapsed="false">
      <c r="A351" s="51" t="n">
        <v>350</v>
      </c>
      <c r="B351" s="51" t="n">
        <v>2</v>
      </c>
      <c r="C351" s="13" t="s">
        <v>926</v>
      </c>
      <c r="D351" s="13" t="s">
        <v>927</v>
      </c>
      <c r="E351" s="51"/>
      <c r="F351" s="51"/>
      <c r="G351" s="51"/>
      <c r="H351" s="51"/>
      <c r="I351" s="51"/>
      <c r="J351" s="51"/>
      <c r="K351" s="12" t="n">
        <f aca="false">IFERROR(MIN(E351:J351),"")</f>
        <v>0</v>
      </c>
      <c r="L351" s="51" t="str">
        <f aca="false">IF(COUNT(E351:J351)&lt;2,"-",IF(LOOKUP(2,1/(E351:J351&lt;&gt;""),E351:J351)&lt;INDEX(E351:J351,MATCH(TRUE(),E351:J351&lt;&gt;"",0)),"↑",IF(LOOKUP(2,1/(E351:J351&lt;&gt;""),E351:J351)&gt;INDEX(E351:J351,MATCH(TRUE(),E351:J351&lt;&gt;"",0)),"↓","→")))</f>
        <v>-</v>
      </c>
    </row>
    <row r="352" customFormat="false" ht="25.5" hidden="false" customHeight="true" outlineLevel="0" collapsed="false">
      <c r="A352" s="51" t="n">
        <v>351</v>
      </c>
      <c r="B352" s="51" t="n">
        <v>2</v>
      </c>
      <c r="C352" s="11" t="s">
        <v>928</v>
      </c>
      <c r="D352" s="11" t="s">
        <v>929</v>
      </c>
      <c r="E352" s="51"/>
      <c r="F352" s="51"/>
      <c r="G352" s="51"/>
      <c r="H352" s="51"/>
      <c r="I352" s="51"/>
      <c r="J352" s="51"/>
      <c r="K352" s="12" t="n">
        <f aca="false">IFERROR(MIN(E352:J352),"")</f>
        <v>0</v>
      </c>
      <c r="L352" s="51" t="str">
        <f aca="false">IF(COUNT(E352:J352)&lt;2,"-",IF(LOOKUP(2,1/(E352:J352&lt;&gt;""),E352:J352)&lt;INDEX(E352:J352,MATCH(TRUE(),E352:J352&lt;&gt;"",0)),"↑",IF(LOOKUP(2,1/(E352:J352&lt;&gt;""),E352:J352)&gt;INDEX(E352:J352,MATCH(TRUE(),E352:J352&lt;&gt;"",0)),"↓","→")))</f>
        <v>-</v>
      </c>
    </row>
    <row r="353" customFormat="false" ht="25.5" hidden="false" customHeight="true" outlineLevel="0" collapsed="false">
      <c r="A353" s="51" t="n">
        <v>352</v>
      </c>
      <c r="B353" s="51" t="n">
        <v>2</v>
      </c>
      <c r="C353" s="13" t="s">
        <v>930</v>
      </c>
      <c r="D353" s="13" t="s">
        <v>931</v>
      </c>
      <c r="E353" s="51"/>
      <c r="F353" s="51"/>
      <c r="G353" s="51"/>
      <c r="H353" s="51"/>
      <c r="I353" s="51"/>
      <c r="J353" s="51"/>
      <c r="K353" s="12" t="n">
        <f aca="false">IFERROR(MIN(E353:J353),"")</f>
        <v>0</v>
      </c>
      <c r="L353" s="51" t="str">
        <f aca="false">IF(COUNT(E353:J353)&lt;2,"-",IF(LOOKUP(2,1/(E353:J353&lt;&gt;""),E353:J353)&lt;INDEX(E353:J353,MATCH(TRUE(),E353:J353&lt;&gt;"",0)),"↑",IF(LOOKUP(2,1/(E353:J353&lt;&gt;""),E353:J353)&gt;INDEX(E353:J353,MATCH(TRUE(),E353:J353&lt;&gt;"",0)),"↓","→")))</f>
        <v>-</v>
      </c>
    </row>
    <row r="354" customFormat="false" ht="25.5" hidden="false" customHeight="true" outlineLevel="0" collapsed="false">
      <c r="A354" s="51" t="n">
        <v>353</v>
      </c>
      <c r="B354" s="51" t="n">
        <v>2</v>
      </c>
      <c r="C354" s="11" t="s">
        <v>932</v>
      </c>
      <c r="D354" s="11" t="s">
        <v>933</v>
      </c>
      <c r="E354" s="51"/>
      <c r="F354" s="51"/>
      <c r="G354" s="51"/>
      <c r="H354" s="51"/>
      <c r="I354" s="51"/>
      <c r="J354" s="51"/>
      <c r="K354" s="12" t="n">
        <f aca="false">IFERROR(MIN(E354:J354),"")</f>
        <v>0</v>
      </c>
      <c r="L354" s="51" t="str">
        <f aca="false">IF(COUNT(E354:J354)&lt;2,"-",IF(LOOKUP(2,1/(E354:J354&lt;&gt;""),E354:J354)&lt;INDEX(E354:J354,MATCH(TRUE(),E354:J354&lt;&gt;"",0)),"↑",IF(LOOKUP(2,1/(E354:J354&lt;&gt;""),E354:J354)&gt;INDEX(E354:J354,MATCH(TRUE(),E354:J354&lt;&gt;"",0)),"↓","→")))</f>
        <v>-</v>
      </c>
    </row>
    <row r="355" customFormat="false" ht="25.5" hidden="false" customHeight="true" outlineLevel="0" collapsed="false">
      <c r="A355" s="51" t="n">
        <v>354</v>
      </c>
      <c r="B355" s="51" t="n">
        <v>2</v>
      </c>
      <c r="C355" s="13" t="s">
        <v>934</v>
      </c>
      <c r="D355" s="13" t="s">
        <v>935</v>
      </c>
      <c r="E355" s="51"/>
      <c r="F355" s="51"/>
      <c r="G355" s="51"/>
      <c r="H355" s="51"/>
      <c r="I355" s="51"/>
      <c r="J355" s="51"/>
      <c r="K355" s="12" t="n">
        <f aca="false">IFERROR(MIN(E355:J355),"")</f>
        <v>0</v>
      </c>
      <c r="L355" s="51" t="str">
        <f aca="false">IF(COUNT(E355:J355)&lt;2,"-",IF(LOOKUP(2,1/(E355:J355&lt;&gt;""),E355:J355)&lt;INDEX(E355:J355,MATCH(TRUE(),E355:J355&lt;&gt;"",0)),"↑",IF(LOOKUP(2,1/(E355:J355&lt;&gt;""),E355:J355)&gt;INDEX(E355:J355,MATCH(TRUE(),E355:J355&lt;&gt;"",0)),"↓","→")))</f>
        <v>-</v>
      </c>
    </row>
    <row r="356" customFormat="false" ht="25.5" hidden="false" customHeight="true" outlineLevel="0" collapsed="false">
      <c r="A356" s="51" t="n">
        <v>355</v>
      </c>
      <c r="B356" s="51" t="n">
        <v>2</v>
      </c>
      <c r="C356" s="11" t="s">
        <v>936</v>
      </c>
      <c r="D356" s="11" t="s">
        <v>937</v>
      </c>
      <c r="E356" s="51"/>
      <c r="F356" s="51"/>
      <c r="G356" s="51"/>
      <c r="H356" s="51"/>
      <c r="I356" s="51"/>
      <c r="J356" s="51"/>
      <c r="K356" s="12" t="n">
        <f aca="false">IFERROR(MIN(E356:J356),"")</f>
        <v>0</v>
      </c>
      <c r="L356" s="51" t="str">
        <f aca="false">IF(COUNT(E356:J356)&lt;2,"-",IF(LOOKUP(2,1/(E356:J356&lt;&gt;""),E356:J356)&lt;INDEX(E356:J356,MATCH(TRUE(),E356:J356&lt;&gt;"",0)),"↑",IF(LOOKUP(2,1/(E356:J356&lt;&gt;""),E356:J356)&gt;INDEX(E356:J356,MATCH(TRUE(),E356:J356&lt;&gt;"",0)),"↓","→")))</f>
        <v>-</v>
      </c>
    </row>
    <row r="357" customFormat="false" ht="25.5" hidden="false" customHeight="true" outlineLevel="0" collapsed="false">
      <c r="A357" s="51" t="n">
        <v>356</v>
      </c>
      <c r="B357" s="51" t="n">
        <v>2</v>
      </c>
      <c r="C357" s="13" t="s">
        <v>938</v>
      </c>
      <c r="D357" s="13" t="s">
        <v>939</v>
      </c>
      <c r="E357" s="51"/>
      <c r="F357" s="51"/>
      <c r="G357" s="51"/>
      <c r="H357" s="51"/>
      <c r="I357" s="51"/>
      <c r="J357" s="51"/>
      <c r="K357" s="12" t="n">
        <f aca="false">IFERROR(MIN(E357:J357),"")</f>
        <v>0</v>
      </c>
      <c r="L357" s="51" t="str">
        <f aca="false">IF(COUNT(E357:J357)&lt;2,"-",IF(LOOKUP(2,1/(E357:J357&lt;&gt;""),E357:J357)&lt;INDEX(E357:J357,MATCH(TRUE(),E357:J357&lt;&gt;"",0)),"↑",IF(LOOKUP(2,1/(E357:J357&lt;&gt;""),E357:J357)&gt;INDEX(E357:J357,MATCH(TRUE(),E357:J357&lt;&gt;"",0)),"↓","→")))</f>
        <v>-</v>
      </c>
    </row>
    <row r="358" customFormat="false" ht="25.5" hidden="false" customHeight="true" outlineLevel="0" collapsed="false">
      <c r="A358" s="51" t="n">
        <v>357</v>
      </c>
      <c r="B358" s="51" t="n">
        <v>2</v>
      </c>
      <c r="C358" s="11" t="s">
        <v>940</v>
      </c>
      <c r="D358" s="11" t="s">
        <v>941</v>
      </c>
      <c r="E358" s="51"/>
      <c r="F358" s="51"/>
      <c r="G358" s="51"/>
      <c r="H358" s="51"/>
      <c r="I358" s="51"/>
      <c r="J358" s="51"/>
      <c r="K358" s="12" t="n">
        <f aca="false">IFERROR(MIN(E358:J358),"")</f>
        <v>0</v>
      </c>
      <c r="L358" s="51" t="str">
        <f aca="false">IF(COUNT(E358:J358)&lt;2,"-",IF(LOOKUP(2,1/(E358:J358&lt;&gt;""),E358:J358)&lt;INDEX(E358:J358,MATCH(TRUE(),E358:J358&lt;&gt;"",0)),"↑",IF(LOOKUP(2,1/(E358:J358&lt;&gt;""),E358:J358)&gt;INDEX(E358:J358,MATCH(TRUE(),E358:J358&lt;&gt;"",0)),"↓","→")))</f>
        <v>-</v>
      </c>
    </row>
    <row r="359" customFormat="false" ht="25.5" hidden="false" customHeight="true" outlineLevel="0" collapsed="false">
      <c r="A359" s="51" t="n">
        <v>358</v>
      </c>
      <c r="B359" s="51" t="n">
        <v>2</v>
      </c>
      <c r="C359" s="13" t="s">
        <v>942</v>
      </c>
      <c r="D359" s="13" t="s">
        <v>943</v>
      </c>
      <c r="E359" s="51"/>
      <c r="F359" s="51"/>
      <c r="G359" s="51"/>
      <c r="H359" s="51"/>
      <c r="I359" s="51"/>
      <c r="J359" s="51"/>
      <c r="K359" s="12" t="n">
        <f aca="false">IFERROR(MIN(E359:J359),"")</f>
        <v>0</v>
      </c>
      <c r="L359" s="51" t="str">
        <f aca="false">IF(COUNT(E359:J359)&lt;2,"-",IF(LOOKUP(2,1/(E359:J359&lt;&gt;""),E359:J359)&lt;INDEX(E359:J359,MATCH(TRUE(),E359:J359&lt;&gt;"",0)),"↑",IF(LOOKUP(2,1/(E359:J359&lt;&gt;""),E359:J359)&gt;INDEX(E359:J359,MATCH(TRUE(),E359:J359&lt;&gt;"",0)),"↓","→")))</f>
        <v>-</v>
      </c>
    </row>
    <row r="360" customFormat="false" ht="25.5" hidden="false" customHeight="true" outlineLevel="0" collapsed="false">
      <c r="A360" s="51" t="n">
        <v>359</v>
      </c>
      <c r="B360" s="51" t="n">
        <v>2</v>
      </c>
      <c r="C360" s="11" t="s">
        <v>944</v>
      </c>
      <c r="D360" s="11" t="s">
        <v>945</v>
      </c>
      <c r="E360" s="51"/>
      <c r="F360" s="51"/>
      <c r="G360" s="51"/>
      <c r="H360" s="51"/>
      <c r="I360" s="51"/>
      <c r="J360" s="51"/>
      <c r="K360" s="12" t="n">
        <f aca="false">IFERROR(MIN(E360:J360),"")</f>
        <v>0</v>
      </c>
      <c r="L360" s="51" t="str">
        <f aca="false">IF(COUNT(E360:J360)&lt;2,"-",IF(LOOKUP(2,1/(E360:J360&lt;&gt;""),E360:J360)&lt;INDEX(E360:J360,MATCH(TRUE(),E360:J360&lt;&gt;"",0)),"↑",IF(LOOKUP(2,1/(E360:J360&lt;&gt;""),E360:J360)&gt;INDEX(E360:J360,MATCH(TRUE(),E360:J360&lt;&gt;"",0)),"↓","→")))</f>
        <v>-</v>
      </c>
    </row>
    <row r="361" customFormat="false" ht="25.5" hidden="false" customHeight="true" outlineLevel="0" collapsed="false">
      <c r="A361" s="51" t="n">
        <v>360</v>
      </c>
      <c r="B361" s="51" t="n">
        <v>2</v>
      </c>
      <c r="C361" s="13" t="s">
        <v>946</v>
      </c>
      <c r="D361" s="13" t="s">
        <v>947</v>
      </c>
      <c r="E361" s="51"/>
      <c r="F361" s="51"/>
      <c r="G361" s="51"/>
      <c r="H361" s="51"/>
      <c r="I361" s="51"/>
      <c r="J361" s="51"/>
      <c r="K361" s="12" t="n">
        <f aca="false">IFERROR(MIN(E361:J361),"")</f>
        <v>0</v>
      </c>
      <c r="L361" s="51" t="str">
        <f aca="false">IF(COUNT(E361:J361)&lt;2,"-",IF(LOOKUP(2,1/(E361:J361&lt;&gt;""),E361:J361)&lt;INDEX(E361:J361,MATCH(TRUE(),E361:J361&lt;&gt;"",0)),"↑",IF(LOOKUP(2,1/(E361:J361&lt;&gt;""),E361:J361)&gt;INDEX(E361:J361,MATCH(TRUE(),E361:J361&lt;&gt;"",0)),"↓","→")))</f>
        <v>-</v>
      </c>
    </row>
    <row r="362" customFormat="false" ht="25.5" hidden="false" customHeight="true" outlineLevel="0" collapsed="false">
      <c r="A362" s="51" t="n">
        <v>361</v>
      </c>
      <c r="B362" s="51" t="n">
        <v>2</v>
      </c>
      <c r="C362" s="11" t="s">
        <v>948</v>
      </c>
      <c r="D362" s="11" t="s">
        <v>949</v>
      </c>
      <c r="E362" s="51"/>
      <c r="F362" s="51"/>
      <c r="G362" s="51"/>
      <c r="H362" s="51"/>
      <c r="I362" s="51"/>
      <c r="J362" s="51"/>
      <c r="K362" s="12" t="n">
        <f aca="false">IFERROR(MIN(E362:J362),"")</f>
        <v>0</v>
      </c>
      <c r="L362" s="51" t="str">
        <f aca="false">IF(COUNT(E362:J362)&lt;2,"-",IF(LOOKUP(2,1/(E362:J362&lt;&gt;""),E362:J362)&lt;INDEX(E362:J362,MATCH(TRUE(),E362:J362&lt;&gt;"",0)),"↑",IF(LOOKUP(2,1/(E362:J362&lt;&gt;""),E362:J362)&gt;INDEX(E362:J362,MATCH(TRUE(),E362:J362&lt;&gt;"",0)),"↓","→")))</f>
        <v>-</v>
      </c>
    </row>
    <row r="363" customFormat="false" ht="25.5" hidden="false" customHeight="true" outlineLevel="0" collapsed="false">
      <c r="A363" s="51" t="n">
        <v>362</v>
      </c>
      <c r="B363" s="51" t="n">
        <v>2</v>
      </c>
      <c r="C363" s="13" t="s">
        <v>950</v>
      </c>
      <c r="D363" s="13" t="s">
        <v>951</v>
      </c>
      <c r="E363" s="51"/>
      <c r="F363" s="51"/>
      <c r="G363" s="51"/>
      <c r="H363" s="51"/>
      <c r="I363" s="51"/>
      <c r="J363" s="51"/>
      <c r="K363" s="12" t="n">
        <f aca="false">IFERROR(MIN(E363:J363),"")</f>
        <v>0</v>
      </c>
      <c r="L363" s="51" t="str">
        <f aca="false">IF(COUNT(E363:J363)&lt;2,"-",IF(LOOKUP(2,1/(E363:J363&lt;&gt;""),E363:J363)&lt;INDEX(E363:J363,MATCH(TRUE(),E363:J363&lt;&gt;"",0)),"↑",IF(LOOKUP(2,1/(E363:J363&lt;&gt;""),E363:J363)&gt;INDEX(E363:J363,MATCH(TRUE(),E363:J363&lt;&gt;"",0)),"↓","→")))</f>
        <v>-</v>
      </c>
    </row>
    <row r="364" customFormat="false" ht="25.5" hidden="false" customHeight="true" outlineLevel="0" collapsed="false">
      <c r="A364" s="51" t="n">
        <v>363</v>
      </c>
      <c r="B364" s="51" t="n">
        <v>2</v>
      </c>
      <c r="C364" s="11" t="s">
        <v>952</v>
      </c>
      <c r="D364" s="11" t="s">
        <v>953</v>
      </c>
      <c r="E364" s="51"/>
      <c r="F364" s="51"/>
      <c r="G364" s="51"/>
      <c r="H364" s="51"/>
      <c r="I364" s="51"/>
      <c r="J364" s="51"/>
      <c r="K364" s="12" t="n">
        <f aca="false">IFERROR(MIN(E364:J364),"")</f>
        <v>0</v>
      </c>
      <c r="L364" s="51" t="str">
        <f aca="false">IF(COUNT(E364:J364)&lt;2,"-",IF(LOOKUP(2,1/(E364:J364&lt;&gt;""),E364:J364)&lt;INDEX(E364:J364,MATCH(TRUE(),E364:J364&lt;&gt;"",0)),"↑",IF(LOOKUP(2,1/(E364:J364&lt;&gt;""),E364:J364)&gt;INDEX(E364:J364,MATCH(TRUE(),E364:J364&lt;&gt;"",0)),"↓","→")))</f>
        <v>-</v>
      </c>
    </row>
    <row r="365" customFormat="false" ht="25.5" hidden="false" customHeight="true" outlineLevel="0" collapsed="false">
      <c r="A365" s="51" t="n">
        <v>364</v>
      </c>
      <c r="B365" s="51" t="n">
        <v>2</v>
      </c>
      <c r="C365" s="13" t="s">
        <v>954</v>
      </c>
      <c r="D365" s="13" t="s">
        <v>955</v>
      </c>
      <c r="E365" s="51"/>
      <c r="F365" s="51"/>
      <c r="G365" s="51"/>
      <c r="H365" s="51"/>
      <c r="I365" s="51"/>
      <c r="J365" s="51"/>
      <c r="K365" s="12" t="n">
        <f aca="false">IFERROR(MIN(E365:J365),"")</f>
        <v>0</v>
      </c>
      <c r="L365" s="51" t="str">
        <f aca="false">IF(COUNT(E365:J365)&lt;2,"-",IF(LOOKUP(2,1/(E365:J365&lt;&gt;""),E365:J365)&lt;INDEX(E365:J365,MATCH(TRUE(),E365:J365&lt;&gt;"",0)),"↑",IF(LOOKUP(2,1/(E365:J365&lt;&gt;""),E365:J365)&gt;INDEX(E365:J365,MATCH(TRUE(),E365:J365&lt;&gt;"",0)),"↓","→")))</f>
        <v>-</v>
      </c>
    </row>
    <row r="366" customFormat="false" ht="25.5" hidden="false" customHeight="true" outlineLevel="0" collapsed="false">
      <c r="A366" s="51" t="n">
        <v>365</v>
      </c>
      <c r="B366" s="51" t="n">
        <v>2</v>
      </c>
      <c r="C366" s="11" t="s">
        <v>956</v>
      </c>
      <c r="D366" s="11" t="s">
        <v>957</v>
      </c>
      <c r="E366" s="51"/>
      <c r="F366" s="51"/>
      <c r="G366" s="51"/>
      <c r="H366" s="51"/>
      <c r="I366" s="51"/>
      <c r="J366" s="51"/>
      <c r="K366" s="12" t="n">
        <f aca="false">IFERROR(MIN(E366:J366),"")</f>
        <v>0</v>
      </c>
      <c r="L366" s="51" t="str">
        <f aca="false">IF(COUNT(E366:J366)&lt;2,"-",IF(LOOKUP(2,1/(E366:J366&lt;&gt;""),E366:J366)&lt;INDEX(E366:J366,MATCH(TRUE(),E366:J366&lt;&gt;"",0)),"↑",IF(LOOKUP(2,1/(E366:J366&lt;&gt;""),E366:J366)&gt;INDEX(E366:J366,MATCH(TRUE(),E366:J366&lt;&gt;"",0)),"↓","→")))</f>
        <v>-</v>
      </c>
    </row>
    <row r="367" customFormat="false" ht="25.5" hidden="false" customHeight="true" outlineLevel="0" collapsed="false">
      <c r="A367" s="51" t="n">
        <v>366</v>
      </c>
      <c r="B367" s="51" t="n">
        <v>2</v>
      </c>
      <c r="C367" s="13" t="s">
        <v>958</v>
      </c>
      <c r="D367" s="13" t="s">
        <v>959</v>
      </c>
      <c r="E367" s="51"/>
      <c r="F367" s="51"/>
      <c r="G367" s="51"/>
      <c r="H367" s="51"/>
      <c r="I367" s="51"/>
      <c r="J367" s="51"/>
      <c r="K367" s="12" t="n">
        <f aca="false">IFERROR(MIN(E367:J367),"")</f>
        <v>0</v>
      </c>
      <c r="L367" s="51" t="str">
        <f aca="false">IF(COUNT(E367:J367)&lt;2,"-",IF(LOOKUP(2,1/(E367:J367&lt;&gt;""),E367:J367)&lt;INDEX(E367:J367,MATCH(TRUE(),E367:J367&lt;&gt;"",0)),"↑",IF(LOOKUP(2,1/(E367:J367&lt;&gt;""),E367:J367)&gt;INDEX(E367:J367,MATCH(TRUE(),E367:J367&lt;&gt;"",0)),"↓","→")))</f>
        <v>-</v>
      </c>
    </row>
    <row r="368" customFormat="false" ht="25.5" hidden="false" customHeight="true" outlineLevel="0" collapsed="false">
      <c r="A368" s="51" t="n">
        <v>367</v>
      </c>
      <c r="B368" s="51" t="n">
        <v>2</v>
      </c>
      <c r="C368" s="11" t="s">
        <v>960</v>
      </c>
      <c r="D368" s="11" t="s">
        <v>961</v>
      </c>
      <c r="E368" s="51"/>
      <c r="F368" s="51"/>
      <c r="G368" s="51"/>
      <c r="H368" s="51"/>
      <c r="I368" s="51"/>
      <c r="J368" s="51"/>
      <c r="K368" s="12" t="n">
        <f aca="false">IFERROR(MIN(E368:J368),"")</f>
        <v>0</v>
      </c>
      <c r="L368" s="51" t="str">
        <f aca="false">IF(COUNT(E368:J368)&lt;2,"-",IF(LOOKUP(2,1/(E368:J368&lt;&gt;""),E368:J368)&lt;INDEX(E368:J368,MATCH(TRUE(),E368:J368&lt;&gt;"",0)),"↑",IF(LOOKUP(2,1/(E368:J368&lt;&gt;""),E368:J368)&gt;INDEX(E368:J368,MATCH(TRUE(),E368:J368&lt;&gt;"",0)),"↓","→")))</f>
        <v>-</v>
      </c>
    </row>
    <row r="369" customFormat="false" ht="25.5" hidden="false" customHeight="true" outlineLevel="0" collapsed="false">
      <c r="A369" s="51" t="n">
        <v>368</v>
      </c>
      <c r="B369" s="51" t="n">
        <v>2</v>
      </c>
      <c r="C369" s="13" t="s">
        <v>962</v>
      </c>
      <c r="D369" s="13" t="s">
        <v>963</v>
      </c>
      <c r="E369" s="51"/>
      <c r="F369" s="51"/>
      <c r="G369" s="51"/>
      <c r="H369" s="51"/>
      <c r="I369" s="51"/>
      <c r="J369" s="51"/>
      <c r="K369" s="12" t="n">
        <f aca="false">IFERROR(MIN(E369:J369),"")</f>
        <v>0</v>
      </c>
      <c r="L369" s="51" t="str">
        <f aca="false">IF(COUNT(E369:J369)&lt;2,"-",IF(LOOKUP(2,1/(E369:J369&lt;&gt;""),E369:J369)&lt;INDEX(E369:J369,MATCH(TRUE(),E369:J369&lt;&gt;"",0)),"↑",IF(LOOKUP(2,1/(E369:J369&lt;&gt;""),E369:J369)&gt;INDEX(E369:J369,MATCH(TRUE(),E369:J369&lt;&gt;"",0)),"↓","→")))</f>
        <v>-</v>
      </c>
    </row>
    <row r="370" customFormat="false" ht="25.5" hidden="false" customHeight="true" outlineLevel="0" collapsed="false">
      <c r="A370" s="51" t="n">
        <v>369</v>
      </c>
      <c r="B370" s="51" t="n">
        <v>2</v>
      </c>
      <c r="C370" s="11" t="s">
        <v>964</v>
      </c>
      <c r="D370" s="11" t="s">
        <v>965</v>
      </c>
      <c r="E370" s="51"/>
      <c r="F370" s="51"/>
      <c r="G370" s="51"/>
      <c r="H370" s="51"/>
      <c r="I370" s="51"/>
      <c r="J370" s="51"/>
      <c r="K370" s="12" t="n">
        <f aca="false">IFERROR(MIN(E370:J370),"")</f>
        <v>0</v>
      </c>
      <c r="L370" s="51" t="str">
        <f aca="false">IF(COUNT(E370:J370)&lt;2,"-",IF(LOOKUP(2,1/(E370:J370&lt;&gt;""),E370:J370)&lt;INDEX(E370:J370,MATCH(TRUE(),E370:J370&lt;&gt;"",0)),"↑",IF(LOOKUP(2,1/(E370:J370&lt;&gt;""),E370:J370)&gt;INDEX(E370:J370,MATCH(TRUE(),E370:J370&lt;&gt;"",0)),"↓","→")))</f>
        <v>-</v>
      </c>
    </row>
    <row r="371" customFormat="false" ht="25.5" hidden="false" customHeight="true" outlineLevel="0" collapsed="false">
      <c r="A371" s="51" t="n">
        <v>370</v>
      </c>
      <c r="B371" s="51" t="n">
        <v>2</v>
      </c>
      <c r="C371" s="13" t="s">
        <v>966</v>
      </c>
      <c r="D371" s="13" t="s">
        <v>967</v>
      </c>
      <c r="E371" s="51"/>
      <c r="F371" s="51"/>
      <c r="G371" s="51"/>
      <c r="H371" s="51"/>
      <c r="I371" s="51"/>
      <c r="J371" s="51"/>
      <c r="K371" s="12" t="n">
        <f aca="false">IFERROR(MIN(E371:J371),"")</f>
        <v>0</v>
      </c>
      <c r="L371" s="51" t="str">
        <f aca="false">IF(COUNT(E371:J371)&lt;2,"-",IF(LOOKUP(2,1/(E371:J371&lt;&gt;""),E371:J371)&lt;INDEX(E371:J371,MATCH(TRUE(),E371:J371&lt;&gt;"",0)),"↑",IF(LOOKUP(2,1/(E371:J371&lt;&gt;""),E371:J371)&gt;INDEX(E371:J371,MATCH(TRUE(),E371:J371&lt;&gt;"",0)),"↓","→")))</f>
        <v>-</v>
      </c>
    </row>
    <row r="372" customFormat="false" ht="25.5" hidden="false" customHeight="true" outlineLevel="0" collapsed="false">
      <c r="A372" s="51" t="n">
        <v>371</v>
      </c>
      <c r="B372" s="51" t="n">
        <v>2</v>
      </c>
      <c r="C372" s="11" t="s">
        <v>968</v>
      </c>
      <c r="D372" s="11" t="s">
        <v>969</v>
      </c>
      <c r="E372" s="51"/>
      <c r="F372" s="51"/>
      <c r="G372" s="51"/>
      <c r="H372" s="51"/>
      <c r="I372" s="51"/>
      <c r="J372" s="51"/>
      <c r="K372" s="12" t="n">
        <f aca="false">IFERROR(MIN(E372:J372),"")</f>
        <v>0</v>
      </c>
      <c r="L372" s="51" t="str">
        <f aca="false">IF(COUNT(E372:J372)&lt;2,"-",IF(LOOKUP(2,1/(E372:J372&lt;&gt;""),E372:J372)&lt;INDEX(E372:J372,MATCH(TRUE(),E372:J372&lt;&gt;"",0)),"↑",IF(LOOKUP(2,1/(E372:J372&lt;&gt;""),E372:J372)&gt;INDEX(E372:J372,MATCH(TRUE(),E372:J372&lt;&gt;"",0)),"↓","→")))</f>
        <v>-</v>
      </c>
    </row>
    <row r="373" customFormat="false" ht="25.5" hidden="false" customHeight="true" outlineLevel="0" collapsed="false">
      <c r="A373" s="51" t="n">
        <v>372</v>
      </c>
      <c r="B373" s="51" t="n">
        <v>2</v>
      </c>
      <c r="C373" s="13" t="s">
        <v>970</v>
      </c>
      <c r="D373" s="13" t="s">
        <v>971</v>
      </c>
      <c r="E373" s="51"/>
      <c r="F373" s="51"/>
      <c r="G373" s="51"/>
      <c r="H373" s="51"/>
      <c r="I373" s="51"/>
      <c r="J373" s="51"/>
      <c r="K373" s="12" t="n">
        <f aca="false">IFERROR(MIN(E373:J373),"")</f>
        <v>0</v>
      </c>
      <c r="L373" s="51" t="str">
        <f aca="false">IF(COUNT(E373:J373)&lt;2,"-",IF(LOOKUP(2,1/(E373:J373&lt;&gt;""),E373:J373)&lt;INDEX(E373:J373,MATCH(TRUE(),E373:J373&lt;&gt;"",0)),"↑",IF(LOOKUP(2,1/(E373:J373&lt;&gt;""),E373:J373)&gt;INDEX(E373:J373,MATCH(TRUE(),E373:J373&lt;&gt;"",0)),"↓","→")))</f>
        <v>-</v>
      </c>
    </row>
    <row r="374" customFormat="false" ht="25.5" hidden="false" customHeight="true" outlineLevel="0" collapsed="false">
      <c r="A374" s="51" t="n">
        <v>373</v>
      </c>
      <c r="B374" s="51" t="n">
        <v>2</v>
      </c>
      <c r="C374" s="11" t="s">
        <v>972</v>
      </c>
      <c r="D374" s="11" t="s">
        <v>973</v>
      </c>
      <c r="E374" s="51"/>
      <c r="F374" s="51"/>
      <c r="G374" s="51"/>
      <c r="H374" s="51"/>
      <c r="I374" s="51"/>
      <c r="J374" s="51"/>
      <c r="K374" s="12" t="n">
        <f aca="false">IFERROR(MIN(E374:J374),"")</f>
        <v>0</v>
      </c>
      <c r="L374" s="51" t="str">
        <f aca="false">IF(COUNT(E374:J374)&lt;2,"-",IF(LOOKUP(2,1/(E374:J374&lt;&gt;""),E374:J374)&lt;INDEX(E374:J374,MATCH(TRUE(),E374:J374&lt;&gt;"",0)),"↑",IF(LOOKUP(2,1/(E374:J374&lt;&gt;""),E374:J374)&gt;INDEX(E374:J374,MATCH(TRUE(),E374:J374&lt;&gt;"",0)),"↓","→")))</f>
        <v>-</v>
      </c>
    </row>
    <row r="375" customFormat="false" ht="25.5" hidden="false" customHeight="true" outlineLevel="0" collapsed="false">
      <c r="A375" s="51" t="n">
        <v>374</v>
      </c>
      <c r="B375" s="51" t="n">
        <v>2</v>
      </c>
      <c r="C375" s="13" t="s">
        <v>974</v>
      </c>
      <c r="D375" s="13" t="s">
        <v>975</v>
      </c>
      <c r="E375" s="51"/>
      <c r="F375" s="51"/>
      <c r="G375" s="51"/>
      <c r="H375" s="51"/>
      <c r="I375" s="51"/>
      <c r="J375" s="51"/>
      <c r="K375" s="12" t="n">
        <f aca="false">IFERROR(MIN(E375:J375),"")</f>
        <v>0</v>
      </c>
      <c r="L375" s="51" t="str">
        <f aca="false">IF(COUNT(E375:J375)&lt;2,"-",IF(LOOKUP(2,1/(E375:J375&lt;&gt;""),E375:J375)&lt;INDEX(E375:J375,MATCH(TRUE(),E375:J375&lt;&gt;"",0)),"↑",IF(LOOKUP(2,1/(E375:J375&lt;&gt;""),E375:J375)&gt;INDEX(E375:J375,MATCH(TRUE(),E375:J375&lt;&gt;"",0)),"↓","→")))</f>
        <v>-</v>
      </c>
    </row>
    <row r="376" customFormat="false" ht="25.5" hidden="false" customHeight="true" outlineLevel="0" collapsed="false">
      <c r="A376" s="51" t="n">
        <v>375</v>
      </c>
      <c r="B376" s="51" t="n">
        <v>2</v>
      </c>
      <c r="C376" s="11" t="s">
        <v>976</v>
      </c>
      <c r="D376" s="11" t="s">
        <v>977</v>
      </c>
      <c r="E376" s="51"/>
      <c r="F376" s="51"/>
      <c r="G376" s="51"/>
      <c r="H376" s="51"/>
      <c r="I376" s="51"/>
      <c r="J376" s="51"/>
      <c r="K376" s="12" t="n">
        <f aca="false">IFERROR(MIN(E376:J376),"")</f>
        <v>0</v>
      </c>
      <c r="L376" s="51" t="str">
        <f aca="false">IF(COUNT(E376:J376)&lt;2,"-",IF(LOOKUP(2,1/(E376:J376&lt;&gt;""),E376:J376)&lt;INDEX(E376:J376,MATCH(TRUE(),E376:J376&lt;&gt;"",0)),"↑",IF(LOOKUP(2,1/(E376:J376&lt;&gt;""),E376:J376)&gt;INDEX(E376:J376,MATCH(TRUE(),E376:J376&lt;&gt;"",0)),"↓","→")))</f>
        <v>-</v>
      </c>
    </row>
    <row r="377" customFormat="false" ht="25.5" hidden="false" customHeight="true" outlineLevel="0" collapsed="false">
      <c r="A377" s="51" t="n">
        <v>376</v>
      </c>
      <c r="B377" s="51" t="n">
        <v>2</v>
      </c>
      <c r="C377" s="13" t="s">
        <v>978</v>
      </c>
      <c r="D377" s="13" t="s">
        <v>979</v>
      </c>
      <c r="E377" s="51"/>
      <c r="F377" s="51"/>
      <c r="G377" s="51"/>
      <c r="H377" s="51"/>
      <c r="I377" s="51"/>
      <c r="J377" s="51"/>
      <c r="K377" s="12" t="n">
        <f aca="false">IFERROR(MIN(E377:J377),"")</f>
        <v>0</v>
      </c>
      <c r="L377" s="51" t="str">
        <f aca="false">IF(COUNT(E377:J377)&lt;2,"-",IF(LOOKUP(2,1/(E377:J377&lt;&gt;""),E377:J377)&lt;INDEX(E377:J377,MATCH(TRUE(),E377:J377&lt;&gt;"",0)),"↑",IF(LOOKUP(2,1/(E377:J377&lt;&gt;""),E377:J377)&gt;INDEX(E377:J377,MATCH(TRUE(),E377:J377&lt;&gt;"",0)),"↓","→")))</f>
        <v>-</v>
      </c>
    </row>
    <row r="378" customFormat="false" ht="25.5" hidden="false" customHeight="true" outlineLevel="0" collapsed="false">
      <c r="A378" s="51" t="n">
        <v>377</v>
      </c>
      <c r="B378" s="51" t="n">
        <v>2</v>
      </c>
      <c r="C378" s="11" t="s">
        <v>980</v>
      </c>
      <c r="D378" s="11" t="s">
        <v>981</v>
      </c>
      <c r="E378" s="51"/>
      <c r="F378" s="51"/>
      <c r="G378" s="51"/>
      <c r="H378" s="51"/>
      <c r="I378" s="51"/>
      <c r="J378" s="51"/>
      <c r="K378" s="12" t="n">
        <f aca="false">IFERROR(MIN(E378:J378),"")</f>
        <v>0</v>
      </c>
      <c r="L378" s="51" t="str">
        <f aca="false">IF(COUNT(E378:J378)&lt;2,"-",IF(LOOKUP(2,1/(E378:J378&lt;&gt;""),E378:J378)&lt;INDEX(E378:J378,MATCH(TRUE(),E378:J378&lt;&gt;"",0)),"↑",IF(LOOKUP(2,1/(E378:J378&lt;&gt;""),E378:J378)&gt;INDEX(E378:J378,MATCH(TRUE(),E378:J378&lt;&gt;"",0)),"↓","→")))</f>
        <v>-</v>
      </c>
    </row>
    <row r="379" customFormat="false" ht="25.5" hidden="false" customHeight="true" outlineLevel="0" collapsed="false">
      <c r="A379" s="51" t="n">
        <v>378</v>
      </c>
      <c r="B379" s="51" t="n">
        <v>2</v>
      </c>
      <c r="C379" s="13" t="s">
        <v>982</v>
      </c>
      <c r="D379" s="13" t="s">
        <v>983</v>
      </c>
      <c r="E379" s="51"/>
      <c r="F379" s="51"/>
      <c r="G379" s="51"/>
      <c r="H379" s="51"/>
      <c r="I379" s="51"/>
      <c r="J379" s="51"/>
      <c r="K379" s="12" t="n">
        <f aca="false">IFERROR(MIN(E379:J379),"")</f>
        <v>0</v>
      </c>
      <c r="L379" s="51" t="str">
        <f aca="false">IF(COUNT(E379:J379)&lt;2,"-",IF(LOOKUP(2,1/(E379:J379&lt;&gt;""),E379:J379)&lt;INDEX(E379:J379,MATCH(TRUE(),E379:J379&lt;&gt;"",0)),"↑",IF(LOOKUP(2,1/(E379:J379&lt;&gt;""),E379:J379)&gt;INDEX(E379:J379,MATCH(TRUE(),E379:J379&lt;&gt;"",0)),"↓","→")))</f>
        <v>-</v>
      </c>
    </row>
    <row r="380" customFormat="false" ht="25.5" hidden="false" customHeight="true" outlineLevel="0" collapsed="false">
      <c r="A380" s="51" t="n">
        <v>379</v>
      </c>
      <c r="B380" s="51" t="n">
        <v>2</v>
      </c>
      <c r="C380" s="11" t="s">
        <v>984</v>
      </c>
      <c r="D380" s="11" t="s">
        <v>985</v>
      </c>
      <c r="E380" s="51"/>
      <c r="F380" s="51"/>
      <c r="G380" s="51"/>
      <c r="H380" s="51"/>
      <c r="I380" s="51"/>
      <c r="J380" s="51"/>
      <c r="K380" s="12" t="n">
        <f aca="false">IFERROR(MIN(E380:J380),"")</f>
        <v>0</v>
      </c>
      <c r="L380" s="51" t="str">
        <f aca="false">IF(COUNT(E380:J380)&lt;2,"-",IF(LOOKUP(2,1/(E380:J380&lt;&gt;""),E380:J380)&lt;INDEX(E380:J380,MATCH(TRUE(),E380:J380&lt;&gt;"",0)),"↑",IF(LOOKUP(2,1/(E380:J380&lt;&gt;""),E380:J380)&gt;INDEX(E380:J380,MATCH(TRUE(),E380:J380&lt;&gt;"",0)),"↓","→")))</f>
        <v>-</v>
      </c>
    </row>
    <row r="381" customFormat="false" ht="25.5" hidden="false" customHeight="true" outlineLevel="0" collapsed="false">
      <c r="A381" s="51" t="n">
        <v>380</v>
      </c>
      <c r="B381" s="51" t="n">
        <v>2</v>
      </c>
      <c r="C381" s="13" t="s">
        <v>986</v>
      </c>
      <c r="D381" s="13" t="s">
        <v>987</v>
      </c>
      <c r="E381" s="51"/>
      <c r="F381" s="51"/>
      <c r="G381" s="51"/>
      <c r="H381" s="51"/>
      <c r="I381" s="51"/>
      <c r="J381" s="51"/>
      <c r="K381" s="12" t="n">
        <f aca="false">IFERROR(MIN(E381:J381),"")</f>
        <v>0</v>
      </c>
      <c r="L381" s="51" t="str">
        <f aca="false">IF(COUNT(E381:J381)&lt;2,"-",IF(LOOKUP(2,1/(E381:J381&lt;&gt;""),E381:J381)&lt;INDEX(E381:J381,MATCH(TRUE(),E381:J381&lt;&gt;"",0)),"↑",IF(LOOKUP(2,1/(E381:J381&lt;&gt;""),E381:J381)&gt;INDEX(E381:J381,MATCH(TRUE(),E381:J381&lt;&gt;"",0)),"↓","→")))</f>
        <v>-</v>
      </c>
    </row>
    <row r="382" customFormat="false" ht="25.5" hidden="false" customHeight="true" outlineLevel="0" collapsed="false">
      <c r="A382" s="52" t="n">
        <v>381</v>
      </c>
      <c r="B382" s="52" t="n">
        <v>3</v>
      </c>
      <c r="C382" s="15" t="s">
        <v>988</v>
      </c>
      <c r="D382" s="15" t="s">
        <v>991</v>
      </c>
      <c r="E382" s="52"/>
      <c r="F382" s="52"/>
      <c r="G382" s="52"/>
      <c r="H382" s="52"/>
      <c r="I382" s="52"/>
      <c r="J382" s="52"/>
      <c r="K382" s="16" t="n">
        <f aca="false">IFERROR(MIN(E382:J382),"")</f>
        <v>0</v>
      </c>
      <c r="L382" s="52" t="str">
        <f aca="false">IF(COUNT(E382:J382)&lt;2,"-",IF(LOOKUP(2,1/(E382:J382&lt;&gt;""),E382:J382)&lt;INDEX(E382:J382,MATCH(TRUE(),E382:J382&lt;&gt;"",0)),"↑",IF(LOOKUP(2,1/(E382:J382&lt;&gt;""),E382:J382)&gt;INDEX(E382:J382,MATCH(TRUE(),E382:J382&lt;&gt;"",0)),"↓","→")))</f>
        <v>-</v>
      </c>
    </row>
    <row r="383" customFormat="false" ht="25.5" hidden="false" customHeight="true" outlineLevel="0" collapsed="false">
      <c r="A383" s="52" t="n">
        <v>382</v>
      </c>
      <c r="B383" s="52" t="n">
        <v>3</v>
      </c>
      <c r="C383" s="17" t="s">
        <v>993</v>
      </c>
      <c r="D383" s="17" t="s">
        <v>995</v>
      </c>
      <c r="E383" s="52"/>
      <c r="F383" s="52"/>
      <c r="G383" s="52"/>
      <c r="H383" s="52"/>
      <c r="I383" s="52"/>
      <c r="J383" s="52"/>
      <c r="K383" s="16" t="n">
        <f aca="false">IFERROR(MIN(E383:J383),"")</f>
        <v>0</v>
      </c>
      <c r="L383" s="52" t="str">
        <f aca="false">IF(COUNT(E383:J383)&lt;2,"-",IF(LOOKUP(2,1/(E383:J383&lt;&gt;""),E383:J383)&lt;INDEX(E383:J383,MATCH(TRUE(),E383:J383&lt;&gt;"",0)),"↑",IF(LOOKUP(2,1/(E383:J383&lt;&gt;""),E383:J383)&gt;INDEX(E383:J383,MATCH(TRUE(),E383:J383&lt;&gt;"",0)),"↓","→")))</f>
        <v>-</v>
      </c>
    </row>
    <row r="384" customFormat="false" ht="25.5" hidden="false" customHeight="true" outlineLevel="0" collapsed="false">
      <c r="A384" s="52" t="n">
        <v>383</v>
      </c>
      <c r="B384" s="52" t="n">
        <v>3</v>
      </c>
      <c r="C384" s="15" t="s">
        <v>996</v>
      </c>
      <c r="D384" s="15" t="s">
        <v>998</v>
      </c>
      <c r="E384" s="52"/>
      <c r="F384" s="52"/>
      <c r="G384" s="52"/>
      <c r="H384" s="52"/>
      <c r="I384" s="52"/>
      <c r="J384" s="52"/>
      <c r="K384" s="16" t="n">
        <f aca="false">IFERROR(MIN(E384:J384),"")</f>
        <v>0</v>
      </c>
      <c r="L384" s="52" t="str">
        <f aca="false">IF(COUNT(E384:J384)&lt;2,"-",IF(LOOKUP(2,1/(E384:J384&lt;&gt;""),E384:J384)&lt;INDEX(E384:J384,MATCH(TRUE(),E384:J384&lt;&gt;"",0)),"↑",IF(LOOKUP(2,1/(E384:J384&lt;&gt;""),E384:J384)&gt;INDEX(E384:J384,MATCH(TRUE(),E384:J384&lt;&gt;"",0)),"↓","→")))</f>
        <v>-</v>
      </c>
    </row>
    <row r="385" customFormat="false" ht="25.5" hidden="false" customHeight="true" outlineLevel="0" collapsed="false">
      <c r="A385" s="52" t="n">
        <v>384</v>
      </c>
      <c r="B385" s="52" t="n">
        <v>3</v>
      </c>
      <c r="C385" s="17" t="s">
        <v>999</v>
      </c>
      <c r="D385" s="17" t="s">
        <v>1001</v>
      </c>
      <c r="E385" s="52"/>
      <c r="F385" s="52"/>
      <c r="G385" s="52"/>
      <c r="H385" s="52"/>
      <c r="I385" s="52"/>
      <c r="J385" s="52"/>
      <c r="K385" s="16" t="n">
        <f aca="false">IFERROR(MIN(E385:J385),"")</f>
        <v>0</v>
      </c>
      <c r="L385" s="52" t="str">
        <f aca="false">IF(COUNT(E385:J385)&lt;2,"-",IF(LOOKUP(2,1/(E385:J385&lt;&gt;""),E385:J385)&lt;INDEX(E385:J385,MATCH(TRUE(),E385:J385&lt;&gt;"",0)),"↑",IF(LOOKUP(2,1/(E385:J385&lt;&gt;""),E385:J385)&gt;INDEX(E385:J385,MATCH(TRUE(),E385:J385&lt;&gt;"",0)),"↓","→")))</f>
        <v>-</v>
      </c>
    </row>
    <row r="386" customFormat="false" ht="25.5" hidden="false" customHeight="true" outlineLevel="0" collapsed="false">
      <c r="A386" s="52" t="n">
        <v>385</v>
      </c>
      <c r="B386" s="52" t="n">
        <v>3</v>
      </c>
      <c r="C386" s="15" t="s">
        <v>1002</v>
      </c>
      <c r="D386" s="15" t="s">
        <v>1003</v>
      </c>
      <c r="E386" s="52"/>
      <c r="F386" s="52"/>
      <c r="G386" s="52"/>
      <c r="H386" s="52"/>
      <c r="I386" s="52"/>
      <c r="J386" s="52"/>
      <c r="K386" s="16" t="n">
        <f aca="false">IFERROR(MIN(E386:J386),"")</f>
        <v>0</v>
      </c>
      <c r="L386" s="52" t="str">
        <f aca="false">IF(COUNT(E386:J386)&lt;2,"-",IF(LOOKUP(2,1/(E386:J386&lt;&gt;""),E386:J386)&lt;INDEX(E386:J386,MATCH(TRUE(),E386:J386&lt;&gt;"",0)),"↑",IF(LOOKUP(2,1/(E386:J386&lt;&gt;""),E386:J386)&gt;INDEX(E386:J386,MATCH(TRUE(),E386:J386&lt;&gt;"",0)),"↓","→")))</f>
        <v>-</v>
      </c>
    </row>
    <row r="387" customFormat="false" ht="25.5" hidden="false" customHeight="true" outlineLevel="0" collapsed="false">
      <c r="A387" s="52" t="n">
        <v>386</v>
      </c>
      <c r="B387" s="52" t="n">
        <v>3</v>
      </c>
      <c r="C387" s="17" t="s">
        <v>1004</v>
      </c>
      <c r="D387" s="17" t="s">
        <v>1005</v>
      </c>
      <c r="E387" s="52"/>
      <c r="F387" s="52"/>
      <c r="G387" s="52"/>
      <c r="H387" s="52"/>
      <c r="I387" s="52"/>
      <c r="J387" s="52"/>
      <c r="K387" s="16" t="n">
        <f aca="false">IFERROR(MIN(E387:J387),"")</f>
        <v>0</v>
      </c>
      <c r="L387" s="52" t="str">
        <f aca="false">IF(COUNT(E387:J387)&lt;2,"-",IF(LOOKUP(2,1/(E387:J387&lt;&gt;""),E387:J387)&lt;INDEX(E387:J387,MATCH(TRUE(),E387:J387&lt;&gt;"",0)),"↑",IF(LOOKUP(2,1/(E387:J387&lt;&gt;""),E387:J387)&gt;INDEX(E387:J387,MATCH(TRUE(),E387:J387&lt;&gt;"",0)),"↓","→")))</f>
        <v>-</v>
      </c>
    </row>
    <row r="388" customFormat="false" ht="25.5" hidden="false" customHeight="true" outlineLevel="0" collapsed="false">
      <c r="A388" s="52" t="n">
        <v>387</v>
      </c>
      <c r="B388" s="52" t="n">
        <v>3</v>
      </c>
      <c r="C388" s="15" t="s">
        <v>1006</v>
      </c>
      <c r="D388" s="15" t="s">
        <v>1007</v>
      </c>
      <c r="E388" s="52"/>
      <c r="F388" s="52"/>
      <c r="G388" s="52"/>
      <c r="H388" s="52"/>
      <c r="I388" s="52"/>
      <c r="J388" s="52"/>
      <c r="K388" s="16" t="n">
        <f aca="false">IFERROR(MIN(E388:J388),"")</f>
        <v>0</v>
      </c>
      <c r="L388" s="52" t="str">
        <f aca="false">IF(COUNT(E388:J388)&lt;2,"-",IF(LOOKUP(2,1/(E388:J388&lt;&gt;""),E388:J388)&lt;INDEX(E388:J388,MATCH(TRUE(),E388:J388&lt;&gt;"",0)),"↑",IF(LOOKUP(2,1/(E388:J388&lt;&gt;""),E388:J388)&gt;INDEX(E388:J388,MATCH(TRUE(),E388:J388&lt;&gt;"",0)),"↓","→")))</f>
        <v>-</v>
      </c>
    </row>
    <row r="389" customFormat="false" ht="25.5" hidden="false" customHeight="true" outlineLevel="0" collapsed="false">
      <c r="A389" s="52" t="n">
        <v>388</v>
      </c>
      <c r="B389" s="52" t="n">
        <v>3</v>
      </c>
      <c r="C389" s="17" t="s">
        <v>1008</v>
      </c>
      <c r="D389" s="17" t="s">
        <v>1009</v>
      </c>
      <c r="E389" s="52"/>
      <c r="F389" s="52"/>
      <c r="G389" s="52"/>
      <c r="H389" s="52"/>
      <c r="I389" s="52"/>
      <c r="J389" s="52"/>
      <c r="K389" s="16" t="n">
        <f aca="false">IFERROR(MIN(E389:J389),"")</f>
        <v>0</v>
      </c>
      <c r="L389" s="52" t="str">
        <f aca="false">IF(COUNT(E389:J389)&lt;2,"-",IF(LOOKUP(2,1/(E389:J389&lt;&gt;""),E389:J389)&lt;INDEX(E389:J389,MATCH(TRUE(),E389:J389&lt;&gt;"",0)),"↑",IF(LOOKUP(2,1/(E389:J389&lt;&gt;""),E389:J389)&gt;INDEX(E389:J389,MATCH(TRUE(),E389:J389&lt;&gt;"",0)),"↓","→")))</f>
        <v>-</v>
      </c>
    </row>
    <row r="390" customFormat="false" ht="25.5" hidden="false" customHeight="true" outlineLevel="0" collapsed="false">
      <c r="A390" s="52" t="n">
        <v>389</v>
      </c>
      <c r="B390" s="52" t="n">
        <v>3</v>
      </c>
      <c r="C390" s="15" t="s">
        <v>1010</v>
      </c>
      <c r="D390" s="15" t="s">
        <v>1011</v>
      </c>
      <c r="E390" s="52"/>
      <c r="F390" s="52"/>
      <c r="G390" s="52"/>
      <c r="H390" s="52"/>
      <c r="I390" s="52"/>
      <c r="J390" s="52"/>
      <c r="K390" s="16" t="n">
        <f aca="false">IFERROR(MIN(E390:J390),"")</f>
        <v>0</v>
      </c>
      <c r="L390" s="52" t="str">
        <f aca="false">IF(COUNT(E390:J390)&lt;2,"-",IF(LOOKUP(2,1/(E390:J390&lt;&gt;""),E390:J390)&lt;INDEX(E390:J390,MATCH(TRUE(),E390:J390&lt;&gt;"",0)),"↑",IF(LOOKUP(2,1/(E390:J390&lt;&gt;""),E390:J390)&gt;INDEX(E390:J390,MATCH(TRUE(),E390:J390&lt;&gt;"",0)),"↓","→")))</f>
        <v>-</v>
      </c>
    </row>
    <row r="391" customFormat="false" ht="25.5" hidden="false" customHeight="true" outlineLevel="0" collapsed="false">
      <c r="A391" s="52" t="n">
        <v>390</v>
      </c>
      <c r="B391" s="52" t="n">
        <v>3</v>
      </c>
      <c r="C391" s="17" t="s">
        <v>1012</v>
      </c>
      <c r="D391" s="17" t="s">
        <v>1013</v>
      </c>
      <c r="E391" s="52"/>
      <c r="F391" s="52"/>
      <c r="G391" s="52"/>
      <c r="H391" s="52"/>
      <c r="I391" s="52"/>
      <c r="J391" s="52"/>
      <c r="K391" s="16" t="n">
        <f aca="false">IFERROR(MIN(E391:J391),"")</f>
        <v>0</v>
      </c>
      <c r="L391" s="52" t="str">
        <f aca="false">IF(COUNT(E391:J391)&lt;2,"-",IF(LOOKUP(2,1/(E391:J391&lt;&gt;""),E391:J391)&lt;INDEX(E391:J391,MATCH(TRUE(),E391:J391&lt;&gt;"",0)),"↑",IF(LOOKUP(2,1/(E391:J391&lt;&gt;""),E391:J391)&gt;INDEX(E391:J391,MATCH(TRUE(),E391:J391&lt;&gt;"",0)),"↓","→")))</f>
        <v>-</v>
      </c>
    </row>
    <row r="392" customFormat="false" ht="25.5" hidden="false" customHeight="true" outlineLevel="0" collapsed="false">
      <c r="A392" s="52" t="n">
        <v>391</v>
      </c>
      <c r="B392" s="52" t="n">
        <v>3</v>
      </c>
      <c r="C392" s="15" t="s">
        <v>1014</v>
      </c>
      <c r="D392" s="15" t="s">
        <v>1015</v>
      </c>
      <c r="E392" s="52"/>
      <c r="F392" s="52"/>
      <c r="G392" s="52"/>
      <c r="H392" s="52"/>
      <c r="I392" s="52"/>
      <c r="J392" s="52"/>
      <c r="K392" s="16" t="n">
        <f aca="false">IFERROR(MIN(E392:J392),"")</f>
        <v>0</v>
      </c>
      <c r="L392" s="52" t="str">
        <f aca="false">IF(COUNT(E392:J392)&lt;2,"-",IF(LOOKUP(2,1/(E392:J392&lt;&gt;""),E392:J392)&lt;INDEX(E392:J392,MATCH(TRUE(),E392:J392&lt;&gt;"",0)),"↑",IF(LOOKUP(2,1/(E392:J392&lt;&gt;""),E392:J392)&gt;INDEX(E392:J392,MATCH(TRUE(),E392:J392&lt;&gt;"",0)),"↓","→")))</f>
        <v>-</v>
      </c>
    </row>
    <row r="393" customFormat="false" ht="25.5" hidden="false" customHeight="true" outlineLevel="0" collapsed="false">
      <c r="A393" s="52" t="n">
        <v>392</v>
      </c>
      <c r="B393" s="52" t="n">
        <v>3</v>
      </c>
      <c r="C393" s="17" t="s">
        <v>1016</v>
      </c>
      <c r="D393" s="17" t="s">
        <v>1017</v>
      </c>
      <c r="E393" s="52"/>
      <c r="F393" s="52"/>
      <c r="G393" s="52"/>
      <c r="H393" s="52"/>
      <c r="I393" s="52"/>
      <c r="J393" s="52"/>
      <c r="K393" s="16" t="n">
        <f aca="false">IFERROR(MIN(E393:J393),"")</f>
        <v>0</v>
      </c>
      <c r="L393" s="52" t="str">
        <f aca="false">IF(COUNT(E393:J393)&lt;2,"-",IF(LOOKUP(2,1/(E393:J393&lt;&gt;""),E393:J393)&lt;INDEX(E393:J393,MATCH(TRUE(),E393:J393&lt;&gt;"",0)),"↑",IF(LOOKUP(2,1/(E393:J393&lt;&gt;""),E393:J393)&gt;INDEX(E393:J393,MATCH(TRUE(),E393:J393&lt;&gt;"",0)),"↓","→")))</f>
        <v>-</v>
      </c>
    </row>
    <row r="394" customFormat="false" ht="25.5" hidden="false" customHeight="true" outlineLevel="0" collapsed="false">
      <c r="A394" s="52" t="n">
        <v>393</v>
      </c>
      <c r="B394" s="52" t="n">
        <v>3</v>
      </c>
      <c r="C394" s="15" t="s">
        <v>1018</v>
      </c>
      <c r="D394" s="15" t="s">
        <v>1020</v>
      </c>
      <c r="E394" s="52"/>
      <c r="F394" s="52"/>
      <c r="G394" s="52"/>
      <c r="H394" s="52"/>
      <c r="I394" s="52"/>
      <c r="J394" s="52"/>
      <c r="K394" s="16" t="n">
        <f aca="false">IFERROR(MIN(E394:J394),"")</f>
        <v>0</v>
      </c>
      <c r="L394" s="52" t="str">
        <f aca="false">IF(COUNT(E394:J394)&lt;2,"-",IF(LOOKUP(2,1/(E394:J394&lt;&gt;""),E394:J394)&lt;INDEX(E394:J394,MATCH(TRUE(),E394:J394&lt;&gt;"",0)),"↑",IF(LOOKUP(2,1/(E394:J394&lt;&gt;""),E394:J394)&gt;INDEX(E394:J394,MATCH(TRUE(),E394:J394&lt;&gt;"",0)),"↓","→")))</f>
        <v>-</v>
      </c>
    </row>
    <row r="395" customFormat="false" ht="25.5" hidden="false" customHeight="true" outlineLevel="0" collapsed="false">
      <c r="A395" s="52" t="n">
        <v>394</v>
      </c>
      <c r="B395" s="52" t="n">
        <v>3</v>
      </c>
      <c r="C395" s="17" t="s">
        <v>1021</v>
      </c>
      <c r="D395" s="17" t="s">
        <v>1023</v>
      </c>
      <c r="E395" s="52"/>
      <c r="F395" s="52"/>
      <c r="G395" s="52"/>
      <c r="H395" s="52"/>
      <c r="I395" s="52"/>
      <c r="J395" s="52"/>
      <c r="K395" s="16" t="n">
        <f aca="false">IFERROR(MIN(E395:J395),"")</f>
        <v>0</v>
      </c>
      <c r="L395" s="52" t="str">
        <f aca="false">IF(COUNT(E395:J395)&lt;2,"-",IF(LOOKUP(2,1/(E395:J395&lt;&gt;""),E395:J395)&lt;INDEX(E395:J395,MATCH(TRUE(),E395:J395&lt;&gt;"",0)),"↑",IF(LOOKUP(2,1/(E395:J395&lt;&gt;""),E395:J395)&gt;INDEX(E395:J395,MATCH(TRUE(),E395:J395&lt;&gt;"",0)),"↓","→")))</f>
        <v>-</v>
      </c>
    </row>
    <row r="396" customFormat="false" ht="25.5" hidden="false" customHeight="true" outlineLevel="0" collapsed="false">
      <c r="A396" s="52" t="n">
        <v>395</v>
      </c>
      <c r="B396" s="52" t="n">
        <v>3</v>
      </c>
      <c r="C396" s="15" t="s">
        <v>1024</v>
      </c>
      <c r="D396" s="15" t="s">
        <v>1025</v>
      </c>
      <c r="E396" s="52"/>
      <c r="F396" s="52"/>
      <c r="G396" s="52"/>
      <c r="H396" s="52"/>
      <c r="I396" s="52"/>
      <c r="J396" s="52"/>
      <c r="K396" s="16" t="n">
        <f aca="false">IFERROR(MIN(E396:J396),"")</f>
        <v>0</v>
      </c>
      <c r="L396" s="52" t="str">
        <f aca="false">IF(COUNT(E396:J396)&lt;2,"-",IF(LOOKUP(2,1/(E396:J396&lt;&gt;""),E396:J396)&lt;INDEX(E396:J396,MATCH(TRUE(),E396:J396&lt;&gt;"",0)),"↑",IF(LOOKUP(2,1/(E396:J396&lt;&gt;""),E396:J396)&gt;INDEX(E396:J396,MATCH(TRUE(),E396:J396&lt;&gt;"",0)),"↓","→")))</f>
        <v>-</v>
      </c>
    </row>
    <row r="397" customFormat="false" ht="25.5" hidden="false" customHeight="true" outlineLevel="0" collapsed="false">
      <c r="A397" s="52" t="n">
        <v>396</v>
      </c>
      <c r="B397" s="52" t="n">
        <v>3</v>
      </c>
      <c r="C397" s="17" t="s">
        <v>1026</v>
      </c>
      <c r="D397" s="17" t="s">
        <v>1027</v>
      </c>
      <c r="E397" s="52"/>
      <c r="F397" s="52"/>
      <c r="G397" s="52"/>
      <c r="H397" s="52"/>
      <c r="I397" s="52"/>
      <c r="J397" s="52"/>
      <c r="K397" s="16" t="n">
        <f aca="false">IFERROR(MIN(E397:J397),"")</f>
        <v>0</v>
      </c>
      <c r="L397" s="52" t="str">
        <f aca="false">IF(COUNT(E397:J397)&lt;2,"-",IF(LOOKUP(2,1/(E397:J397&lt;&gt;""),E397:J397)&lt;INDEX(E397:J397,MATCH(TRUE(),E397:J397&lt;&gt;"",0)),"↑",IF(LOOKUP(2,1/(E397:J397&lt;&gt;""),E397:J397)&gt;INDEX(E397:J397,MATCH(TRUE(),E397:J397&lt;&gt;"",0)),"↓","→")))</f>
        <v>-</v>
      </c>
    </row>
    <row r="398" customFormat="false" ht="25.5" hidden="false" customHeight="true" outlineLevel="0" collapsed="false">
      <c r="A398" s="52" t="n">
        <v>397</v>
      </c>
      <c r="B398" s="52" t="n">
        <v>3</v>
      </c>
      <c r="C398" s="15" t="s">
        <v>1028</v>
      </c>
      <c r="D398" s="15" t="s">
        <v>1029</v>
      </c>
      <c r="E398" s="52"/>
      <c r="F398" s="52"/>
      <c r="G398" s="52"/>
      <c r="H398" s="52"/>
      <c r="I398" s="52"/>
      <c r="J398" s="52"/>
      <c r="K398" s="16" t="n">
        <f aca="false">IFERROR(MIN(E398:J398),"")</f>
        <v>0</v>
      </c>
      <c r="L398" s="52" t="str">
        <f aca="false">IF(COUNT(E398:J398)&lt;2,"-",IF(LOOKUP(2,1/(E398:J398&lt;&gt;""),E398:J398)&lt;INDEX(E398:J398,MATCH(TRUE(),E398:J398&lt;&gt;"",0)),"↑",IF(LOOKUP(2,1/(E398:J398&lt;&gt;""),E398:J398)&gt;INDEX(E398:J398,MATCH(TRUE(),E398:J398&lt;&gt;"",0)),"↓","→")))</f>
        <v>-</v>
      </c>
    </row>
    <row r="399" customFormat="false" ht="25.5" hidden="false" customHeight="true" outlineLevel="0" collapsed="false">
      <c r="A399" s="52" t="n">
        <v>398</v>
      </c>
      <c r="B399" s="52" t="n">
        <v>3</v>
      </c>
      <c r="C399" s="17" t="s">
        <v>1030</v>
      </c>
      <c r="D399" s="17" t="s">
        <v>1031</v>
      </c>
      <c r="E399" s="52"/>
      <c r="F399" s="52"/>
      <c r="G399" s="52"/>
      <c r="H399" s="52"/>
      <c r="I399" s="52"/>
      <c r="J399" s="52"/>
      <c r="K399" s="16" t="n">
        <f aca="false">IFERROR(MIN(E399:J399),"")</f>
        <v>0</v>
      </c>
      <c r="L399" s="52" t="str">
        <f aca="false">IF(COUNT(E399:J399)&lt;2,"-",IF(LOOKUP(2,1/(E399:J399&lt;&gt;""),E399:J399)&lt;INDEX(E399:J399,MATCH(TRUE(),E399:J399&lt;&gt;"",0)),"↑",IF(LOOKUP(2,1/(E399:J399&lt;&gt;""),E399:J399)&gt;INDEX(E399:J399,MATCH(TRUE(),E399:J399&lt;&gt;"",0)),"↓","→")))</f>
        <v>-</v>
      </c>
    </row>
    <row r="400" customFormat="false" ht="25.5" hidden="false" customHeight="true" outlineLevel="0" collapsed="false">
      <c r="A400" s="52" t="n">
        <v>399</v>
      </c>
      <c r="B400" s="52" t="n">
        <v>3</v>
      </c>
      <c r="C400" s="15" t="s">
        <v>1032</v>
      </c>
      <c r="D400" s="15" t="s">
        <v>1033</v>
      </c>
      <c r="E400" s="52"/>
      <c r="F400" s="52"/>
      <c r="G400" s="52"/>
      <c r="H400" s="52"/>
      <c r="I400" s="52"/>
      <c r="J400" s="52"/>
      <c r="K400" s="16" t="n">
        <f aca="false">IFERROR(MIN(E400:J400),"")</f>
        <v>0</v>
      </c>
      <c r="L400" s="52" t="str">
        <f aca="false">IF(COUNT(E400:J400)&lt;2,"-",IF(LOOKUP(2,1/(E400:J400&lt;&gt;""),E400:J400)&lt;INDEX(E400:J400,MATCH(TRUE(),E400:J400&lt;&gt;"",0)),"↑",IF(LOOKUP(2,1/(E400:J400&lt;&gt;""),E400:J400)&gt;INDEX(E400:J400,MATCH(TRUE(),E400:J400&lt;&gt;"",0)),"↓","→")))</f>
        <v>-</v>
      </c>
    </row>
    <row r="401" customFormat="false" ht="25.5" hidden="false" customHeight="true" outlineLevel="0" collapsed="false">
      <c r="A401" s="52" t="n">
        <v>400</v>
      </c>
      <c r="B401" s="52" t="n">
        <v>3</v>
      </c>
      <c r="C401" s="17" t="s">
        <v>1034</v>
      </c>
      <c r="D401" s="17" t="s">
        <v>1035</v>
      </c>
      <c r="E401" s="52"/>
      <c r="F401" s="52"/>
      <c r="G401" s="52"/>
      <c r="H401" s="52"/>
      <c r="I401" s="52"/>
      <c r="J401" s="52"/>
      <c r="K401" s="16" t="n">
        <f aca="false">IFERROR(MIN(E401:J401),"")</f>
        <v>0</v>
      </c>
      <c r="L401" s="52" t="str">
        <f aca="false">IF(COUNT(E401:J401)&lt;2,"-",IF(LOOKUP(2,1/(E401:J401&lt;&gt;""),E401:J401)&lt;INDEX(E401:J401,MATCH(TRUE(),E401:J401&lt;&gt;"",0)),"↑",IF(LOOKUP(2,1/(E401:J401&lt;&gt;""),E401:J401)&gt;INDEX(E401:J401,MATCH(TRUE(),E401:J401&lt;&gt;"",0)),"↓","→")))</f>
        <v>-</v>
      </c>
    </row>
    <row r="402" customFormat="false" ht="25.5" hidden="false" customHeight="true" outlineLevel="0" collapsed="false">
      <c r="A402" s="52" t="n">
        <v>401</v>
      </c>
      <c r="B402" s="52" t="n">
        <v>3</v>
      </c>
      <c r="C402" s="15" t="s">
        <v>1036</v>
      </c>
      <c r="D402" s="15" t="s">
        <v>1037</v>
      </c>
      <c r="E402" s="52"/>
      <c r="F402" s="52"/>
      <c r="G402" s="52"/>
      <c r="H402" s="52"/>
      <c r="I402" s="52"/>
      <c r="J402" s="52"/>
      <c r="K402" s="16" t="n">
        <f aca="false">IFERROR(MIN(E402:J402),"")</f>
        <v>0</v>
      </c>
      <c r="L402" s="52" t="str">
        <f aca="false">IF(COUNT(E402:J402)&lt;2,"-",IF(LOOKUP(2,1/(E402:J402&lt;&gt;""),E402:J402)&lt;INDEX(E402:J402,MATCH(TRUE(),E402:J402&lt;&gt;"",0)),"↑",IF(LOOKUP(2,1/(E402:J402&lt;&gt;""),E402:J402)&gt;INDEX(E402:J402,MATCH(TRUE(),E402:J402&lt;&gt;"",0)),"↓","→")))</f>
        <v>-</v>
      </c>
    </row>
    <row r="403" customFormat="false" ht="25.5" hidden="false" customHeight="true" outlineLevel="0" collapsed="false">
      <c r="A403" s="52" t="n">
        <v>402</v>
      </c>
      <c r="B403" s="52" t="n">
        <v>3</v>
      </c>
      <c r="C403" s="17" t="s">
        <v>1038</v>
      </c>
      <c r="D403" s="17" t="s">
        <v>1039</v>
      </c>
      <c r="E403" s="52"/>
      <c r="F403" s="52"/>
      <c r="G403" s="52"/>
      <c r="H403" s="52"/>
      <c r="I403" s="52"/>
      <c r="J403" s="52"/>
      <c r="K403" s="16" t="n">
        <f aca="false">IFERROR(MIN(E403:J403),"")</f>
        <v>0</v>
      </c>
      <c r="L403" s="52" t="str">
        <f aca="false">IF(COUNT(E403:J403)&lt;2,"-",IF(LOOKUP(2,1/(E403:J403&lt;&gt;""),E403:J403)&lt;INDEX(E403:J403,MATCH(TRUE(),E403:J403&lt;&gt;"",0)),"↑",IF(LOOKUP(2,1/(E403:J403&lt;&gt;""),E403:J403)&gt;INDEX(E403:J403,MATCH(TRUE(),E403:J403&lt;&gt;"",0)),"↓","→")))</f>
        <v>-</v>
      </c>
    </row>
    <row r="404" customFormat="false" ht="25.5" hidden="false" customHeight="true" outlineLevel="0" collapsed="false">
      <c r="A404" s="52" t="n">
        <v>403</v>
      </c>
      <c r="B404" s="52" t="n">
        <v>3</v>
      </c>
      <c r="C404" s="15" t="s">
        <v>1040</v>
      </c>
      <c r="D404" s="15" t="s">
        <v>1041</v>
      </c>
      <c r="E404" s="52"/>
      <c r="F404" s="52"/>
      <c r="G404" s="52"/>
      <c r="H404" s="52"/>
      <c r="I404" s="52"/>
      <c r="J404" s="52"/>
      <c r="K404" s="16" t="n">
        <f aca="false">IFERROR(MIN(E404:J404),"")</f>
        <v>0</v>
      </c>
      <c r="L404" s="52" t="str">
        <f aca="false">IF(COUNT(E404:J404)&lt;2,"-",IF(LOOKUP(2,1/(E404:J404&lt;&gt;""),E404:J404)&lt;INDEX(E404:J404,MATCH(TRUE(),E404:J404&lt;&gt;"",0)),"↑",IF(LOOKUP(2,1/(E404:J404&lt;&gt;""),E404:J404)&gt;INDEX(E404:J404,MATCH(TRUE(),E404:J404&lt;&gt;"",0)),"↓","→")))</f>
        <v>-</v>
      </c>
    </row>
    <row r="405" customFormat="false" ht="25.5" hidden="false" customHeight="true" outlineLevel="0" collapsed="false">
      <c r="A405" s="52" t="n">
        <v>404</v>
      </c>
      <c r="B405" s="52" t="n">
        <v>3</v>
      </c>
      <c r="C405" s="17" t="s">
        <v>1042</v>
      </c>
      <c r="D405" s="17" t="s">
        <v>1043</v>
      </c>
      <c r="E405" s="52"/>
      <c r="F405" s="52"/>
      <c r="G405" s="52"/>
      <c r="H405" s="52"/>
      <c r="I405" s="52"/>
      <c r="J405" s="52"/>
      <c r="K405" s="16" t="n">
        <f aca="false">IFERROR(MIN(E405:J405),"")</f>
        <v>0</v>
      </c>
      <c r="L405" s="52" t="str">
        <f aca="false">IF(COUNT(E405:J405)&lt;2,"-",IF(LOOKUP(2,1/(E405:J405&lt;&gt;""),E405:J405)&lt;INDEX(E405:J405,MATCH(TRUE(),E405:J405&lt;&gt;"",0)),"↑",IF(LOOKUP(2,1/(E405:J405&lt;&gt;""),E405:J405)&gt;INDEX(E405:J405,MATCH(TRUE(),E405:J405&lt;&gt;"",0)),"↓","→")))</f>
        <v>-</v>
      </c>
    </row>
    <row r="406" customFormat="false" ht="25.5" hidden="false" customHeight="true" outlineLevel="0" collapsed="false">
      <c r="A406" s="52" t="n">
        <v>405</v>
      </c>
      <c r="B406" s="52" t="n">
        <v>3</v>
      </c>
      <c r="C406" s="15" t="s">
        <v>1044</v>
      </c>
      <c r="D406" s="15" t="s">
        <v>1045</v>
      </c>
      <c r="E406" s="52"/>
      <c r="F406" s="52"/>
      <c r="G406" s="52"/>
      <c r="H406" s="52"/>
      <c r="I406" s="52"/>
      <c r="J406" s="52"/>
      <c r="K406" s="16" t="n">
        <f aca="false">IFERROR(MIN(E406:J406),"")</f>
        <v>0</v>
      </c>
      <c r="L406" s="52" t="str">
        <f aca="false">IF(COUNT(E406:J406)&lt;2,"-",IF(LOOKUP(2,1/(E406:J406&lt;&gt;""),E406:J406)&lt;INDEX(E406:J406,MATCH(TRUE(),E406:J406&lt;&gt;"",0)),"↑",IF(LOOKUP(2,1/(E406:J406&lt;&gt;""),E406:J406)&gt;INDEX(E406:J406,MATCH(TRUE(),E406:J406&lt;&gt;"",0)),"↓","→")))</f>
        <v>-</v>
      </c>
    </row>
    <row r="407" customFormat="false" ht="25.5" hidden="false" customHeight="true" outlineLevel="0" collapsed="false">
      <c r="A407" s="52" t="n">
        <v>406</v>
      </c>
      <c r="B407" s="52" t="n">
        <v>3</v>
      </c>
      <c r="C407" s="17" t="s">
        <v>1046</v>
      </c>
      <c r="D407" s="17" t="s">
        <v>1047</v>
      </c>
      <c r="E407" s="52"/>
      <c r="F407" s="52"/>
      <c r="G407" s="52"/>
      <c r="H407" s="52"/>
      <c r="I407" s="52"/>
      <c r="J407" s="52"/>
      <c r="K407" s="16" t="n">
        <f aca="false">IFERROR(MIN(E407:J407),"")</f>
        <v>0</v>
      </c>
      <c r="L407" s="52" t="str">
        <f aca="false">IF(COUNT(E407:J407)&lt;2,"-",IF(LOOKUP(2,1/(E407:J407&lt;&gt;""),E407:J407)&lt;INDEX(E407:J407,MATCH(TRUE(),E407:J407&lt;&gt;"",0)),"↑",IF(LOOKUP(2,1/(E407:J407&lt;&gt;""),E407:J407)&gt;INDEX(E407:J407,MATCH(TRUE(),E407:J407&lt;&gt;"",0)),"↓","→")))</f>
        <v>-</v>
      </c>
    </row>
    <row r="408" customFormat="false" ht="25.5" hidden="false" customHeight="true" outlineLevel="0" collapsed="false">
      <c r="A408" s="52" t="n">
        <v>407</v>
      </c>
      <c r="B408" s="52" t="n">
        <v>3</v>
      </c>
      <c r="C408" s="15" t="s">
        <v>1048</v>
      </c>
      <c r="D408" s="15" t="s">
        <v>1049</v>
      </c>
      <c r="E408" s="52"/>
      <c r="F408" s="52"/>
      <c r="G408" s="52"/>
      <c r="H408" s="52"/>
      <c r="I408" s="52"/>
      <c r="J408" s="52"/>
      <c r="K408" s="16" t="n">
        <f aca="false">IFERROR(MIN(E408:J408),"")</f>
        <v>0</v>
      </c>
      <c r="L408" s="52" t="str">
        <f aca="false">IF(COUNT(E408:J408)&lt;2,"-",IF(LOOKUP(2,1/(E408:J408&lt;&gt;""),E408:J408)&lt;INDEX(E408:J408,MATCH(TRUE(),E408:J408&lt;&gt;"",0)),"↑",IF(LOOKUP(2,1/(E408:J408&lt;&gt;""),E408:J408)&gt;INDEX(E408:J408,MATCH(TRUE(),E408:J408&lt;&gt;"",0)),"↓","→")))</f>
        <v>-</v>
      </c>
    </row>
    <row r="409" customFormat="false" ht="25.5" hidden="false" customHeight="true" outlineLevel="0" collapsed="false">
      <c r="A409" s="52" t="n">
        <v>408</v>
      </c>
      <c r="B409" s="52" t="n">
        <v>3</v>
      </c>
      <c r="C409" s="17" t="s">
        <v>1050</v>
      </c>
      <c r="D409" s="17" t="s">
        <v>1051</v>
      </c>
      <c r="E409" s="52"/>
      <c r="F409" s="52"/>
      <c r="G409" s="52"/>
      <c r="H409" s="52"/>
      <c r="I409" s="52"/>
      <c r="J409" s="52"/>
      <c r="K409" s="16" t="n">
        <f aca="false">IFERROR(MIN(E409:J409),"")</f>
        <v>0</v>
      </c>
      <c r="L409" s="52" t="str">
        <f aca="false">IF(COUNT(E409:J409)&lt;2,"-",IF(LOOKUP(2,1/(E409:J409&lt;&gt;""),E409:J409)&lt;INDEX(E409:J409,MATCH(TRUE(),E409:J409&lt;&gt;"",0)),"↑",IF(LOOKUP(2,1/(E409:J409&lt;&gt;""),E409:J409)&gt;INDEX(E409:J409,MATCH(TRUE(),E409:J409&lt;&gt;"",0)),"↓","→")))</f>
        <v>-</v>
      </c>
    </row>
    <row r="410" customFormat="false" ht="25.5" hidden="false" customHeight="true" outlineLevel="0" collapsed="false">
      <c r="A410" s="52" t="n">
        <v>409</v>
      </c>
      <c r="B410" s="52" t="n">
        <v>3</v>
      </c>
      <c r="C410" s="15" t="s">
        <v>1052</v>
      </c>
      <c r="D410" s="15" t="s">
        <v>1053</v>
      </c>
      <c r="E410" s="52"/>
      <c r="F410" s="52"/>
      <c r="G410" s="52"/>
      <c r="H410" s="52"/>
      <c r="I410" s="52"/>
      <c r="J410" s="52"/>
      <c r="K410" s="16" t="n">
        <f aca="false">IFERROR(MIN(E410:J410),"")</f>
        <v>0</v>
      </c>
      <c r="L410" s="52" t="str">
        <f aca="false">IF(COUNT(E410:J410)&lt;2,"-",IF(LOOKUP(2,1/(E410:J410&lt;&gt;""),E410:J410)&lt;INDEX(E410:J410,MATCH(TRUE(),E410:J410&lt;&gt;"",0)),"↑",IF(LOOKUP(2,1/(E410:J410&lt;&gt;""),E410:J410)&gt;INDEX(E410:J410,MATCH(TRUE(),E410:J410&lt;&gt;"",0)),"↓","→")))</f>
        <v>-</v>
      </c>
    </row>
    <row r="411" customFormat="false" ht="25.5" hidden="false" customHeight="true" outlineLevel="0" collapsed="false">
      <c r="A411" s="52" t="n">
        <v>410</v>
      </c>
      <c r="B411" s="52" t="n">
        <v>3</v>
      </c>
      <c r="C411" s="17" t="s">
        <v>1054</v>
      </c>
      <c r="D411" s="17" t="s">
        <v>1055</v>
      </c>
      <c r="E411" s="52"/>
      <c r="F411" s="52"/>
      <c r="G411" s="52"/>
      <c r="H411" s="52"/>
      <c r="I411" s="52"/>
      <c r="J411" s="52"/>
      <c r="K411" s="16" t="n">
        <f aca="false">IFERROR(MIN(E411:J411),"")</f>
        <v>0</v>
      </c>
      <c r="L411" s="52" t="str">
        <f aca="false">IF(COUNT(E411:J411)&lt;2,"-",IF(LOOKUP(2,1/(E411:J411&lt;&gt;""),E411:J411)&lt;INDEX(E411:J411,MATCH(TRUE(),E411:J411&lt;&gt;"",0)),"↑",IF(LOOKUP(2,1/(E411:J411&lt;&gt;""),E411:J411)&gt;INDEX(E411:J411,MATCH(TRUE(),E411:J411&lt;&gt;"",0)),"↓","→")))</f>
        <v>-</v>
      </c>
    </row>
    <row r="412" customFormat="false" ht="25.5" hidden="false" customHeight="true" outlineLevel="0" collapsed="false">
      <c r="A412" s="52" t="n">
        <v>411</v>
      </c>
      <c r="B412" s="52" t="n">
        <v>3</v>
      </c>
      <c r="C412" s="15" t="s">
        <v>1056</v>
      </c>
      <c r="D412" s="15" t="s">
        <v>1057</v>
      </c>
      <c r="E412" s="52"/>
      <c r="F412" s="52"/>
      <c r="G412" s="52"/>
      <c r="H412" s="52"/>
      <c r="I412" s="52"/>
      <c r="J412" s="52"/>
      <c r="K412" s="16" t="n">
        <f aca="false">IFERROR(MIN(E412:J412),"")</f>
        <v>0</v>
      </c>
      <c r="L412" s="52" t="str">
        <f aca="false">IF(COUNT(E412:J412)&lt;2,"-",IF(LOOKUP(2,1/(E412:J412&lt;&gt;""),E412:J412)&lt;INDEX(E412:J412,MATCH(TRUE(),E412:J412&lt;&gt;"",0)),"↑",IF(LOOKUP(2,1/(E412:J412&lt;&gt;""),E412:J412)&gt;INDEX(E412:J412,MATCH(TRUE(),E412:J412&lt;&gt;"",0)),"↓","→")))</f>
        <v>-</v>
      </c>
    </row>
    <row r="413" customFormat="false" ht="25.5" hidden="false" customHeight="true" outlineLevel="0" collapsed="false">
      <c r="A413" s="52" t="n">
        <v>412</v>
      </c>
      <c r="B413" s="52" t="n">
        <v>3</v>
      </c>
      <c r="C413" s="17" t="s">
        <v>1058</v>
      </c>
      <c r="D413" s="17" t="s">
        <v>1059</v>
      </c>
      <c r="E413" s="52"/>
      <c r="F413" s="52"/>
      <c r="G413" s="52"/>
      <c r="H413" s="52"/>
      <c r="I413" s="52"/>
      <c r="J413" s="52"/>
      <c r="K413" s="16" t="n">
        <f aca="false">IFERROR(MIN(E413:J413),"")</f>
        <v>0</v>
      </c>
      <c r="L413" s="52" t="str">
        <f aca="false">IF(COUNT(E413:J413)&lt;2,"-",IF(LOOKUP(2,1/(E413:J413&lt;&gt;""),E413:J413)&lt;INDEX(E413:J413,MATCH(TRUE(),E413:J413&lt;&gt;"",0)),"↑",IF(LOOKUP(2,1/(E413:J413&lt;&gt;""),E413:J413)&gt;INDEX(E413:J413,MATCH(TRUE(),E413:J413&lt;&gt;"",0)),"↓","→")))</f>
        <v>-</v>
      </c>
    </row>
    <row r="414" customFormat="false" ht="25.5" hidden="false" customHeight="true" outlineLevel="0" collapsed="false">
      <c r="A414" s="52" t="n">
        <v>413</v>
      </c>
      <c r="B414" s="52" t="n">
        <v>3</v>
      </c>
      <c r="C414" s="15" t="s">
        <v>1060</v>
      </c>
      <c r="D414" s="15" t="s">
        <v>1061</v>
      </c>
      <c r="E414" s="52"/>
      <c r="F414" s="52"/>
      <c r="G414" s="52"/>
      <c r="H414" s="52"/>
      <c r="I414" s="52"/>
      <c r="J414" s="52"/>
      <c r="K414" s="16" t="n">
        <f aca="false">IFERROR(MIN(E414:J414),"")</f>
        <v>0</v>
      </c>
      <c r="L414" s="52" t="str">
        <f aca="false">IF(COUNT(E414:J414)&lt;2,"-",IF(LOOKUP(2,1/(E414:J414&lt;&gt;""),E414:J414)&lt;INDEX(E414:J414,MATCH(TRUE(),E414:J414&lt;&gt;"",0)),"↑",IF(LOOKUP(2,1/(E414:J414&lt;&gt;""),E414:J414)&gt;INDEX(E414:J414,MATCH(TRUE(),E414:J414&lt;&gt;"",0)),"↓","→")))</f>
        <v>-</v>
      </c>
    </row>
    <row r="415" customFormat="false" ht="25.5" hidden="false" customHeight="true" outlineLevel="0" collapsed="false">
      <c r="A415" s="52" t="n">
        <v>414</v>
      </c>
      <c r="B415" s="52" t="n">
        <v>3</v>
      </c>
      <c r="C415" s="17" t="s">
        <v>1062</v>
      </c>
      <c r="D415" s="17" t="s">
        <v>1063</v>
      </c>
      <c r="E415" s="52"/>
      <c r="F415" s="52"/>
      <c r="G415" s="52"/>
      <c r="H415" s="52"/>
      <c r="I415" s="52"/>
      <c r="J415" s="52"/>
      <c r="K415" s="16" t="n">
        <f aca="false">IFERROR(MIN(E415:J415),"")</f>
        <v>0</v>
      </c>
      <c r="L415" s="52" t="str">
        <f aca="false">IF(COUNT(E415:J415)&lt;2,"-",IF(LOOKUP(2,1/(E415:J415&lt;&gt;""),E415:J415)&lt;INDEX(E415:J415,MATCH(TRUE(),E415:J415&lt;&gt;"",0)),"↑",IF(LOOKUP(2,1/(E415:J415&lt;&gt;""),E415:J415)&gt;INDEX(E415:J415,MATCH(TRUE(),E415:J415&lt;&gt;"",0)),"↓","→")))</f>
        <v>-</v>
      </c>
    </row>
    <row r="416" customFormat="false" ht="25.5" hidden="false" customHeight="true" outlineLevel="0" collapsed="false">
      <c r="A416" s="52" t="n">
        <v>415</v>
      </c>
      <c r="B416" s="52" t="n">
        <v>3</v>
      </c>
      <c r="C416" s="15" t="s">
        <v>1064</v>
      </c>
      <c r="D416" s="15" t="s">
        <v>1065</v>
      </c>
      <c r="E416" s="52"/>
      <c r="F416" s="52"/>
      <c r="G416" s="52"/>
      <c r="H416" s="52"/>
      <c r="I416" s="52"/>
      <c r="J416" s="52"/>
      <c r="K416" s="16" t="n">
        <f aca="false">IFERROR(MIN(E416:J416),"")</f>
        <v>0</v>
      </c>
      <c r="L416" s="52" t="str">
        <f aca="false">IF(COUNT(E416:J416)&lt;2,"-",IF(LOOKUP(2,1/(E416:J416&lt;&gt;""),E416:J416)&lt;INDEX(E416:J416,MATCH(TRUE(),E416:J416&lt;&gt;"",0)),"↑",IF(LOOKUP(2,1/(E416:J416&lt;&gt;""),E416:J416)&gt;INDEX(E416:J416,MATCH(TRUE(),E416:J416&lt;&gt;"",0)),"↓","→")))</f>
        <v>-</v>
      </c>
    </row>
    <row r="417" customFormat="false" ht="25.5" hidden="false" customHeight="true" outlineLevel="0" collapsed="false">
      <c r="A417" s="52" t="n">
        <v>416</v>
      </c>
      <c r="B417" s="52" t="n">
        <v>3</v>
      </c>
      <c r="C417" s="17" t="s">
        <v>1066</v>
      </c>
      <c r="D417" s="17" t="s">
        <v>1067</v>
      </c>
      <c r="E417" s="52"/>
      <c r="F417" s="52"/>
      <c r="G417" s="52"/>
      <c r="H417" s="52"/>
      <c r="I417" s="52"/>
      <c r="J417" s="52"/>
      <c r="K417" s="16" t="n">
        <f aca="false">IFERROR(MIN(E417:J417),"")</f>
        <v>0</v>
      </c>
      <c r="L417" s="52" t="str">
        <f aca="false">IF(COUNT(E417:J417)&lt;2,"-",IF(LOOKUP(2,1/(E417:J417&lt;&gt;""),E417:J417)&lt;INDEX(E417:J417,MATCH(TRUE(),E417:J417&lt;&gt;"",0)),"↑",IF(LOOKUP(2,1/(E417:J417&lt;&gt;""),E417:J417)&gt;INDEX(E417:J417,MATCH(TRUE(),E417:J417&lt;&gt;"",0)),"↓","→")))</f>
        <v>-</v>
      </c>
    </row>
    <row r="418" customFormat="false" ht="25.5" hidden="false" customHeight="true" outlineLevel="0" collapsed="false">
      <c r="A418" s="52" t="n">
        <v>417</v>
      </c>
      <c r="B418" s="52" t="n">
        <v>3</v>
      </c>
      <c r="C418" s="15" t="s">
        <v>1068</v>
      </c>
      <c r="D418" s="15" t="s">
        <v>1069</v>
      </c>
      <c r="E418" s="52"/>
      <c r="F418" s="52"/>
      <c r="G418" s="52"/>
      <c r="H418" s="52"/>
      <c r="I418" s="52"/>
      <c r="J418" s="52"/>
      <c r="K418" s="16" t="n">
        <f aca="false">IFERROR(MIN(E418:J418),"")</f>
        <v>0</v>
      </c>
      <c r="L418" s="52" t="str">
        <f aca="false">IF(COUNT(E418:J418)&lt;2,"-",IF(LOOKUP(2,1/(E418:J418&lt;&gt;""),E418:J418)&lt;INDEX(E418:J418,MATCH(TRUE(),E418:J418&lt;&gt;"",0)),"↑",IF(LOOKUP(2,1/(E418:J418&lt;&gt;""),E418:J418)&gt;INDEX(E418:J418,MATCH(TRUE(),E418:J418&lt;&gt;"",0)),"↓","→")))</f>
        <v>-</v>
      </c>
    </row>
    <row r="419" customFormat="false" ht="25.5" hidden="false" customHeight="true" outlineLevel="0" collapsed="false">
      <c r="A419" s="52" t="n">
        <v>418</v>
      </c>
      <c r="B419" s="52" t="n">
        <v>3</v>
      </c>
      <c r="C419" s="17" t="s">
        <v>1070</v>
      </c>
      <c r="D419" s="17" t="s">
        <v>1071</v>
      </c>
      <c r="E419" s="52"/>
      <c r="F419" s="52"/>
      <c r="G419" s="52"/>
      <c r="H419" s="52"/>
      <c r="I419" s="52"/>
      <c r="J419" s="52"/>
      <c r="K419" s="16" t="n">
        <f aca="false">IFERROR(MIN(E419:J419),"")</f>
        <v>0</v>
      </c>
      <c r="L419" s="52" t="str">
        <f aca="false">IF(COUNT(E419:J419)&lt;2,"-",IF(LOOKUP(2,1/(E419:J419&lt;&gt;""),E419:J419)&lt;INDEX(E419:J419,MATCH(TRUE(),E419:J419&lt;&gt;"",0)),"↑",IF(LOOKUP(2,1/(E419:J419&lt;&gt;""),E419:J419)&gt;INDEX(E419:J419,MATCH(TRUE(),E419:J419&lt;&gt;"",0)),"↓","→")))</f>
        <v>-</v>
      </c>
    </row>
    <row r="420" customFormat="false" ht="25.5" hidden="false" customHeight="true" outlineLevel="0" collapsed="false">
      <c r="A420" s="52" t="n">
        <v>419</v>
      </c>
      <c r="B420" s="52" t="n">
        <v>3</v>
      </c>
      <c r="C420" s="15" t="s">
        <v>1072</v>
      </c>
      <c r="D420" s="15" t="s">
        <v>1073</v>
      </c>
      <c r="E420" s="52"/>
      <c r="F420" s="52"/>
      <c r="G420" s="52"/>
      <c r="H420" s="52"/>
      <c r="I420" s="52"/>
      <c r="J420" s="52"/>
      <c r="K420" s="16" t="n">
        <f aca="false">IFERROR(MIN(E420:J420),"")</f>
        <v>0</v>
      </c>
      <c r="L420" s="52" t="str">
        <f aca="false">IF(COUNT(E420:J420)&lt;2,"-",IF(LOOKUP(2,1/(E420:J420&lt;&gt;""),E420:J420)&lt;INDEX(E420:J420,MATCH(TRUE(),E420:J420&lt;&gt;"",0)),"↑",IF(LOOKUP(2,1/(E420:J420&lt;&gt;""),E420:J420)&gt;INDEX(E420:J420,MATCH(TRUE(),E420:J420&lt;&gt;"",0)),"↓","→")))</f>
        <v>-</v>
      </c>
    </row>
    <row r="421" customFormat="false" ht="25.5" hidden="false" customHeight="true" outlineLevel="0" collapsed="false">
      <c r="A421" s="52" t="n">
        <v>420</v>
      </c>
      <c r="B421" s="52" t="n">
        <v>3</v>
      </c>
      <c r="C421" s="17" t="s">
        <v>1074</v>
      </c>
      <c r="D421" s="17" t="s">
        <v>1075</v>
      </c>
      <c r="E421" s="52"/>
      <c r="F421" s="52"/>
      <c r="G421" s="52"/>
      <c r="H421" s="52"/>
      <c r="I421" s="52"/>
      <c r="J421" s="52"/>
      <c r="K421" s="16" t="n">
        <f aca="false">IFERROR(MIN(E421:J421),"")</f>
        <v>0</v>
      </c>
      <c r="L421" s="52" t="str">
        <f aca="false">IF(COUNT(E421:J421)&lt;2,"-",IF(LOOKUP(2,1/(E421:J421&lt;&gt;""),E421:J421)&lt;INDEX(E421:J421,MATCH(TRUE(),E421:J421&lt;&gt;"",0)),"↑",IF(LOOKUP(2,1/(E421:J421&lt;&gt;""),E421:J421)&gt;INDEX(E421:J421,MATCH(TRUE(),E421:J421&lt;&gt;"",0)),"↓","→")))</f>
        <v>-</v>
      </c>
    </row>
    <row r="422" customFormat="false" ht="25.5" hidden="false" customHeight="true" outlineLevel="0" collapsed="false">
      <c r="A422" s="52" t="n">
        <v>421</v>
      </c>
      <c r="B422" s="52" t="n">
        <v>3</v>
      </c>
      <c r="C422" s="15" t="s">
        <v>1076</v>
      </c>
      <c r="D422" s="15" t="s">
        <v>1077</v>
      </c>
      <c r="E422" s="52"/>
      <c r="F422" s="52"/>
      <c r="G422" s="52"/>
      <c r="H422" s="52"/>
      <c r="I422" s="52"/>
      <c r="J422" s="52"/>
      <c r="K422" s="16" t="n">
        <f aca="false">IFERROR(MIN(E422:J422),"")</f>
        <v>0</v>
      </c>
      <c r="L422" s="52" t="str">
        <f aca="false">IF(COUNT(E422:J422)&lt;2,"-",IF(LOOKUP(2,1/(E422:J422&lt;&gt;""),E422:J422)&lt;INDEX(E422:J422,MATCH(TRUE(),E422:J422&lt;&gt;"",0)),"↑",IF(LOOKUP(2,1/(E422:J422&lt;&gt;""),E422:J422)&gt;INDEX(E422:J422,MATCH(TRUE(),E422:J422&lt;&gt;"",0)),"↓","→")))</f>
        <v>-</v>
      </c>
    </row>
    <row r="423" customFormat="false" ht="25.5" hidden="false" customHeight="true" outlineLevel="0" collapsed="false">
      <c r="A423" s="52" t="n">
        <v>422</v>
      </c>
      <c r="B423" s="52" t="n">
        <v>3</v>
      </c>
      <c r="C423" s="17" t="s">
        <v>1078</v>
      </c>
      <c r="D423" s="17" t="s">
        <v>1079</v>
      </c>
      <c r="E423" s="52"/>
      <c r="F423" s="52"/>
      <c r="G423" s="52"/>
      <c r="H423" s="52"/>
      <c r="I423" s="52"/>
      <c r="J423" s="52"/>
      <c r="K423" s="16" t="n">
        <f aca="false">IFERROR(MIN(E423:J423),"")</f>
        <v>0</v>
      </c>
      <c r="L423" s="52" t="str">
        <f aca="false">IF(COUNT(E423:J423)&lt;2,"-",IF(LOOKUP(2,1/(E423:J423&lt;&gt;""),E423:J423)&lt;INDEX(E423:J423,MATCH(TRUE(),E423:J423&lt;&gt;"",0)),"↑",IF(LOOKUP(2,1/(E423:J423&lt;&gt;""),E423:J423)&gt;INDEX(E423:J423,MATCH(TRUE(),E423:J423&lt;&gt;"",0)),"↓","→")))</f>
        <v>-</v>
      </c>
    </row>
    <row r="424" customFormat="false" ht="25.5" hidden="false" customHeight="true" outlineLevel="0" collapsed="false">
      <c r="A424" s="52" t="n">
        <v>423</v>
      </c>
      <c r="B424" s="52" t="n">
        <v>3</v>
      </c>
      <c r="C424" s="15" t="s">
        <v>1080</v>
      </c>
      <c r="D424" s="15" t="s">
        <v>1081</v>
      </c>
      <c r="E424" s="52"/>
      <c r="F424" s="52"/>
      <c r="G424" s="52"/>
      <c r="H424" s="52"/>
      <c r="I424" s="52"/>
      <c r="J424" s="52"/>
      <c r="K424" s="16" t="n">
        <f aca="false">IFERROR(MIN(E424:J424),"")</f>
        <v>0</v>
      </c>
      <c r="L424" s="52" t="str">
        <f aca="false">IF(COUNT(E424:J424)&lt;2,"-",IF(LOOKUP(2,1/(E424:J424&lt;&gt;""),E424:J424)&lt;INDEX(E424:J424,MATCH(TRUE(),E424:J424&lt;&gt;"",0)),"↑",IF(LOOKUP(2,1/(E424:J424&lt;&gt;""),E424:J424)&gt;INDEX(E424:J424,MATCH(TRUE(),E424:J424&lt;&gt;"",0)),"↓","→")))</f>
        <v>-</v>
      </c>
    </row>
    <row r="425" customFormat="false" ht="25.5" hidden="false" customHeight="true" outlineLevel="0" collapsed="false">
      <c r="A425" s="52" t="n">
        <v>424</v>
      </c>
      <c r="B425" s="52" t="n">
        <v>3</v>
      </c>
      <c r="C425" s="17" t="s">
        <v>1082</v>
      </c>
      <c r="D425" s="17" t="s">
        <v>1083</v>
      </c>
      <c r="E425" s="52"/>
      <c r="F425" s="52"/>
      <c r="G425" s="52"/>
      <c r="H425" s="52"/>
      <c r="I425" s="52"/>
      <c r="J425" s="52"/>
      <c r="K425" s="16" t="n">
        <f aca="false">IFERROR(MIN(E425:J425),"")</f>
        <v>0</v>
      </c>
      <c r="L425" s="52" t="str">
        <f aca="false">IF(COUNT(E425:J425)&lt;2,"-",IF(LOOKUP(2,1/(E425:J425&lt;&gt;""),E425:J425)&lt;INDEX(E425:J425,MATCH(TRUE(),E425:J425&lt;&gt;"",0)),"↑",IF(LOOKUP(2,1/(E425:J425&lt;&gt;""),E425:J425)&gt;INDEX(E425:J425,MATCH(TRUE(),E425:J425&lt;&gt;"",0)),"↓","→")))</f>
        <v>-</v>
      </c>
    </row>
    <row r="426" customFormat="false" ht="25.5" hidden="false" customHeight="true" outlineLevel="0" collapsed="false">
      <c r="A426" s="52" t="n">
        <v>425</v>
      </c>
      <c r="B426" s="52" t="n">
        <v>3</v>
      </c>
      <c r="C426" s="15" t="s">
        <v>1084</v>
      </c>
      <c r="D426" s="15" t="s">
        <v>1085</v>
      </c>
      <c r="E426" s="52"/>
      <c r="F426" s="52"/>
      <c r="G426" s="52"/>
      <c r="H426" s="52"/>
      <c r="I426" s="52"/>
      <c r="J426" s="52"/>
      <c r="K426" s="16" t="n">
        <f aca="false">IFERROR(MIN(E426:J426),"")</f>
        <v>0</v>
      </c>
      <c r="L426" s="52" t="str">
        <f aca="false">IF(COUNT(E426:J426)&lt;2,"-",IF(LOOKUP(2,1/(E426:J426&lt;&gt;""),E426:J426)&lt;INDEX(E426:J426,MATCH(TRUE(),E426:J426&lt;&gt;"",0)),"↑",IF(LOOKUP(2,1/(E426:J426&lt;&gt;""),E426:J426)&gt;INDEX(E426:J426,MATCH(TRUE(),E426:J426&lt;&gt;"",0)),"↓","→")))</f>
        <v>-</v>
      </c>
    </row>
    <row r="427" customFormat="false" ht="25.5" hidden="false" customHeight="true" outlineLevel="0" collapsed="false">
      <c r="A427" s="52" t="n">
        <v>426</v>
      </c>
      <c r="B427" s="52" t="n">
        <v>3</v>
      </c>
      <c r="C427" s="17" t="s">
        <v>1086</v>
      </c>
      <c r="D427" s="17" t="s">
        <v>1087</v>
      </c>
      <c r="E427" s="52"/>
      <c r="F427" s="52"/>
      <c r="G427" s="52"/>
      <c r="H427" s="52"/>
      <c r="I427" s="52"/>
      <c r="J427" s="52"/>
      <c r="K427" s="16" t="n">
        <f aca="false">IFERROR(MIN(E427:J427),"")</f>
        <v>0</v>
      </c>
      <c r="L427" s="52" t="str">
        <f aca="false">IF(COUNT(E427:J427)&lt;2,"-",IF(LOOKUP(2,1/(E427:J427&lt;&gt;""),E427:J427)&lt;INDEX(E427:J427,MATCH(TRUE(),E427:J427&lt;&gt;"",0)),"↑",IF(LOOKUP(2,1/(E427:J427&lt;&gt;""),E427:J427)&gt;INDEX(E427:J427,MATCH(TRUE(),E427:J427&lt;&gt;"",0)),"↓","→")))</f>
        <v>-</v>
      </c>
    </row>
    <row r="428" customFormat="false" ht="25.5" hidden="false" customHeight="true" outlineLevel="0" collapsed="false">
      <c r="A428" s="52" t="n">
        <v>427</v>
      </c>
      <c r="B428" s="52" t="n">
        <v>3</v>
      </c>
      <c r="C428" s="15" t="s">
        <v>1088</v>
      </c>
      <c r="D428" s="15" t="s">
        <v>1089</v>
      </c>
      <c r="E428" s="52"/>
      <c r="F428" s="52"/>
      <c r="G428" s="52"/>
      <c r="H428" s="52"/>
      <c r="I428" s="52"/>
      <c r="J428" s="52"/>
      <c r="K428" s="16" t="n">
        <f aca="false">IFERROR(MIN(E428:J428),"")</f>
        <v>0</v>
      </c>
      <c r="L428" s="52" t="str">
        <f aca="false">IF(COUNT(E428:J428)&lt;2,"-",IF(LOOKUP(2,1/(E428:J428&lt;&gt;""),E428:J428)&lt;INDEX(E428:J428,MATCH(TRUE(),E428:J428&lt;&gt;"",0)),"↑",IF(LOOKUP(2,1/(E428:J428&lt;&gt;""),E428:J428)&gt;INDEX(E428:J428,MATCH(TRUE(),E428:J428&lt;&gt;"",0)),"↓","→")))</f>
        <v>-</v>
      </c>
    </row>
    <row r="429" customFormat="false" ht="25.5" hidden="false" customHeight="true" outlineLevel="0" collapsed="false">
      <c r="A429" s="52" t="n">
        <v>428</v>
      </c>
      <c r="B429" s="52" t="n">
        <v>3</v>
      </c>
      <c r="C429" s="17" t="s">
        <v>1090</v>
      </c>
      <c r="D429" s="17" t="s">
        <v>1091</v>
      </c>
      <c r="E429" s="52"/>
      <c r="F429" s="52"/>
      <c r="G429" s="52"/>
      <c r="H429" s="52"/>
      <c r="I429" s="52"/>
      <c r="J429" s="52"/>
      <c r="K429" s="16" t="n">
        <f aca="false">IFERROR(MIN(E429:J429),"")</f>
        <v>0</v>
      </c>
      <c r="L429" s="52" t="str">
        <f aca="false">IF(COUNT(E429:J429)&lt;2,"-",IF(LOOKUP(2,1/(E429:J429&lt;&gt;""),E429:J429)&lt;INDEX(E429:J429,MATCH(TRUE(),E429:J429&lt;&gt;"",0)),"↑",IF(LOOKUP(2,1/(E429:J429&lt;&gt;""),E429:J429)&gt;INDEX(E429:J429,MATCH(TRUE(),E429:J429&lt;&gt;"",0)),"↓","→")))</f>
        <v>-</v>
      </c>
    </row>
    <row r="430" customFormat="false" ht="25.5" hidden="false" customHeight="true" outlineLevel="0" collapsed="false">
      <c r="A430" s="52" t="n">
        <v>429</v>
      </c>
      <c r="B430" s="52" t="n">
        <v>3</v>
      </c>
      <c r="C430" s="15" t="s">
        <v>1092</v>
      </c>
      <c r="D430" s="15" t="s">
        <v>1093</v>
      </c>
      <c r="E430" s="52"/>
      <c r="F430" s="52"/>
      <c r="G430" s="52"/>
      <c r="H430" s="52"/>
      <c r="I430" s="52"/>
      <c r="J430" s="52"/>
      <c r="K430" s="16" t="n">
        <f aca="false">IFERROR(MIN(E430:J430),"")</f>
        <v>0</v>
      </c>
      <c r="L430" s="52" t="str">
        <f aca="false">IF(COUNT(E430:J430)&lt;2,"-",IF(LOOKUP(2,1/(E430:J430&lt;&gt;""),E430:J430)&lt;INDEX(E430:J430,MATCH(TRUE(),E430:J430&lt;&gt;"",0)),"↑",IF(LOOKUP(2,1/(E430:J430&lt;&gt;""),E430:J430)&gt;INDEX(E430:J430,MATCH(TRUE(),E430:J430&lt;&gt;"",0)),"↓","→")))</f>
        <v>-</v>
      </c>
    </row>
    <row r="431" customFormat="false" ht="25.5" hidden="false" customHeight="true" outlineLevel="0" collapsed="false">
      <c r="A431" s="52" t="n">
        <v>430</v>
      </c>
      <c r="B431" s="52" t="n">
        <v>3</v>
      </c>
      <c r="C431" s="17" t="s">
        <v>1094</v>
      </c>
      <c r="D431" s="17" t="s">
        <v>1095</v>
      </c>
      <c r="E431" s="52"/>
      <c r="F431" s="52"/>
      <c r="G431" s="52"/>
      <c r="H431" s="52"/>
      <c r="I431" s="52"/>
      <c r="J431" s="52"/>
      <c r="K431" s="16" t="n">
        <f aca="false">IFERROR(MIN(E431:J431),"")</f>
        <v>0</v>
      </c>
      <c r="L431" s="52" t="str">
        <f aca="false">IF(COUNT(E431:J431)&lt;2,"-",IF(LOOKUP(2,1/(E431:J431&lt;&gt;""),E431:J431)&lt;INDEX(E431:J431,MATCH(TRUE(),E431:J431&lt;&gt;"",0)),"↑",IF(LOOKUP(2,1/(E431:J431&lt;&gt;""),E431:J431)&gt;INDEX(E431:J431,MATCH(TRUE(),E431:J431&lt;&gt;"",0)),"↓","→")))</f>
        <v>-</v>
      </c>
    </row>
    <row r="432" customFormat="false" ht="25.5" hidden="false" customHeight="true" outlineLevel="0" collapsed="false">
      <c r="A432" s="52" t="n">
        <v>431</v>
      </c>
      <c r="B432" s="52" t="n">
        <v>3</v>
      </c>
      <c r="C432" s="15" t="s">
        <v>1096</v>
      </c>
      <c r="D432" s="15" t="s">
        <v>1097</v>
      </c>
      <c r="E432" s="52"/>
      <c r="F432" s="52"/>
      <c r="G432" s="52"/>
      <c r="H432" s="52"/>
      <c r="I432" s="52"/>
      <c r="J432" s="52"/>
      <c r="K432" s="16" t="n">
        <f aca="false">IFERROR(MIN(E432:J432),"")</f>
        <v>0</v>
      </c>
      <c r="L432" s="52" t="str">
        <f aca="false">IF(COUNT(E432:J432)&lt;2,"-",IF(LOOKUP(2,1/(E432:J432&lt;&gt;""),E432:J432)&lt;INDEX(E432:J432,MATCH(TRUE(),E432:J432&lt;&gt;"",0)),"↑",IF(LOOKUP(2,1/(E432:J432&lt;&gt;""),E432:J432)&gt;INDEX(E432:J432,MATCH(TRUE(),E432:J432&lt;&gt;"",0)),"↓","→")))</f>
        <v>-</v>
      </c>
    </row>
    <row r="433" customFormat="false" ht="25.5" hidden="false" customHeight="true" outlineLevel="0" collapsed="false">
      <c r="A433" s="52" t="n">
        <v>432</v>
      </c>
      <c r="B433" s="52" t="n">
        <v>3</v>
      </c>
      <c r="C433" s="17" t="s">
        <v>1098</v>
      </c>
      <c r="D433" s="17" t="s">
        <v>1099</v>
      </c>
      <c r="E433" s="52"/>
      <c r="F433" s="52"/>
      <c r="G433" s="52"/>
      <c r="H433" s="52"/>
      <c r="I433" s="52"/>
      <c r="J433" s="52"/>
      <c r="K433" s="16" t="n">
        <f aca="false">IFERROR(MIN(E433:J433),"")</f>
        <v>0</v>
      </c>
      <c r="L433" s="52" t="str">
        <f aca="false">IF(COUNT(E433:J433)&lt;2,"-",IF(LOOKUP(2,1/(E433:J433&lt;&gt;""),E433:J433)&lt;INDEX(E433:J433,MATCH(TRUE(),E433:J433&lt;&gt;"",0)),"↑",IF(LOOKUP(2,1/(E433:J433&lt;&gt;""),E433:J433)&gt;INDEX(E433:J433,MATCH(TRUE(),E433:J433&lt;&gt;"",0)),"↓","→")))</f>
        <v>-</v>
      </c>
    </row>
    <row r="434" customFormat="false" ht="25.5" hidden="false" customHeight="true" outlineLevel="0" collapsed="false">
      <c r="A434" s="53" t="n">
        <v>433</v>
      </c>
      <c r="B434" s="53" t="n">
        <v>4</v>
      </c>
      <c r="C434" s="19" t="s">
        <v>1100</v>
      </c>
      <c r="D434" s="19" t="s">
        <v>1104</v>
      </c>
      <c r="E434" s="53"/>
      <c r="F434" s="53"/>
      <c r="G434" s="53"/>
      <c r="H434" s="53"/>
      <c r="I434" s="53"/>
      <c r="J434" s="53"/>
      <c r="K434" s="20" t="n">
        <f aca="false">IFERROR(MIN(E434:J434),"")</f>
        <v>0</v>
      </c>
      <c r="L434" s="53" t="str">
        <f aca="false">IF(COUNT(E434:J434)&lt;2,"-",IF(LOOKUP(2,1/(E434:J434&lt;&gt;""),E434:J434)&lt;INDEX(E434:J434,MATCH(TRUE(),E434:J434&lt;&gt;"",0)),"↑",IF(LOOKUP(2,1/(E434:J434&lt;&gt;""),E434:J434)&gt;INDEX(E434:J434,MATCH(TRUE(),E434:J434&lt;&gt;"",0)),"↓","→")))</f>
        <v>-</v>
      </c>
    </row>
    <row r="435" customFormat="false" ht="25.5" hidden="false" customHeight="true" outlineLevel="0" collapsed="false">
      <c r="A435" s="53" t="n">
        <v>434</v>
      </c>
      <c r="B435" s="53" t="n">
        <v>4</v>
      </c>
      <c r="C435" s="21" t="s">
        <v>1106</v>
      </c>
      <c r="D435" s="21" t="s">
        <v>1107</v>
      </c>
      <c r="E435" s="53"/>
      <c r="F435" s="53"/>
      <c r="G435" s="53"/>
      <c r="H435" s="53"/>
      <c r="I435" s="53"/>
      <c r="J435" s="53"/>
      <c r="K435" s="20" t="n">
        <f aca="false">IFERROR(MIN(E435:J435),"")</f>
        <v>0</v>
      </c>
      <c r="L435" s="53" t="str">
        <f aca="false">IF(COUNT(E435:J435)&lt;2,"-",IF(LOOKUP(2,1/(E435:J435&lt;&gt;""),E435:J435)&lt;INDEX(E435:J435,MATCH(TRUE(),E435:J435&lt;&gt;"",0)),"↑",IF(LOOKUP(2,1/(E435:J435&lt;&gt;""),E435:J435)&gt;INDEX(E435:J435,MATCH(TRUE(),E435:J435&lt;&gt;"",0)),"↓","→")))</f>
        <v>-</v>
      </c>
    </row>
    <row r="436" customFormat="false" ht="25.5" hidden="false" customHeight="true" outlineLevel="0" collapsed="false">
      <c r="A436" s="53" t="n">
        <v>435</v>
      </c>
      <c r="B436" s="53" t="n">
        <v>4</v>
      </c>
      <c r="C436" s="19" t="s">
        <v>1108</v>
      </c>
      <c r="D436" s="19" t="s">
        <v>1109</v>
      </c>
      <c r="E436" s="53"/>
      <c r="F436" s="53"/>
      <c r="G436" s="53"/>
      <c r="H436" s="53"/>
      <c r="I436" s="53"/>
      <c r="J436" s="53"/>
      <c r="K436" s="20" t="n">
        <f aca="false">IFERROR(MIN(E436:J436),"")</f>
        <v>0</v>
      </c>
      <c r="L436" s="53" t="str">
        <f aca="false">IF(COUNT(E436:J436)&lt;2,"-",IF(LOOKUP(2,1/(E436:J436&lt;&gt;""),E436:J436)&lt;INDEX(E436:J436,MATCH(TRUE(),E436:J436&lt;&gt;"",0)),"↑",IF(LOOKUP(2,1/(E436:J436&lt;&gt;""),E436:J436)&gt;INDEX(E436:J436,MATCH(TRUE(),E436:J436&lt;&gt;"",0)),"↓","→")))</f>
        <v>-</v>
      </c>
    </row>
    <row r="437" customFormat="false" ht="25.5" hidden="false" customHeight="true" outlineLevel="0" collapsed="false">
      <c r="A437" s="53" t="n">
        <v>436</v>
      </c>
      <c r="B437" s="53" t="n">
        <v>4</v>
      </c>
      <c r="C437" s="21" t="s">
        <v>1110</v>
      </c>
      <c r="D437" s="21" t="s">
        <v>1111</v>
      </c>
      <c r="E437" s="53"/>
      <c r="F437" s="53"/>
      <c r="G437" s="53"/>
      <c r="H437" s="53"/>
      <c r="I437" s="53"/>
      <c r="J437" s="53"/>
      <c r="K437" s="20" t="n">
        <f aca="false">IFERROR(MIN(E437:J437),"")</f>
        <v>0</v>
      </c>
      <c r="L437" s="53" t="str">
        <f aca="false">IF(COUNT(E437:J437)&lt;2,"-",IF(LOOKUP(2,1/(E437:J437&lt;&gt;""),E437:J437)&lt;INDEX(E437:J437,MATCH(TRUE(),E437:J437&lt;&gt;"",0)),"↑",IF(LOOKUP(2,1/(E437:J437&lt;&gt;""),E437:J437)&gt;INDEX(E437:J437,MATCH(TRUE(),E437:J437&lt;&gt;"",0)),"↓","→")))</f>
        <v>-</v>
      </c>
    </row>
    <row r="438" customFormat="false" ht="25.5" hidden="false" customHeight="true" outlineLevel="0" collapsed="false">
      <c r="A438" s="53" t="n">
        <v>437</v>
      </c>
      <c r="B438" s="53" t="n">
        <v>4</v>
      </c>
      <c r="C438" s="19" t="s">
        <v>1112</v>
      </c>
      <c r="D438" s="19" t="s">
        <v>1113</v>
      </c>
      <c r="E438" s="53"/>
      <c r="F438" s="53"/>
      <c r="G438" s="53"/>
      <c r="H438" s="53"/>
      <c r="I438" s="53"/>
      <c r="J438" s="53"/>
      <c r="K438" s="20" t="n">
        <f aca="false">IFERROR(MIN(E438:J438),"")</f>
        <v>0</v>
      </c>
      <c r="L438" s="53" t="str">
        <f aca="false">IF(COUNT(E438:J438)&lt;2,"-",IF(LOOKUP(2,1/(E438:J438&lt;&gt;""),E438:J438)&lt;INDEX(E438:J438,MATCH(TRUE(),E438:J438&lt;&gt;"",0)),"↑",IF(LOOKUP(2,1/(E438:J438&lt;&gt;""),E438:J438)&gt;INDEX(E438:J438,MATCH(TRUE(),E438:J438&lt;&gt;"",0)),"↓","→")))</f>
        <v>-</v>
      </c>
    </row>
    <row r="439" customFormat="false" ht="25.5" hidden="false" customHeight="true" outlineLevel="0" collapsed="false">
      <c r="A439" s="53" t="n">
        <v>438</v>
      </c>
      <c r="B439" s="53" t="n">
        <v>4</v>
      </c>
      <c r="C439" s="21" t="s">
        <v>1114</v>
      </c>
      <c r="D439" s="21" t="s">
        <v>1116</v>
      </c>
      <c r="E439" s="53"/>
      <c r="F439" s="53"/>
      <c r="G439" s="53"/>
      <c r="H439" s="53"/>
      <c r="I439" s="53"/>
      <c r="J439" s="53"/>
      <c r="K439" s="20" t="n">
        <f aca="false">IFERROR(MIN(E439:J439),"")</f>
        <v>0</v>
      </c>
      <c r="L439" s="53" t="str">
        <f aca="false">IF(COUNT(E439:J439)&lt;2,"-",IF(LOOKUP(2,1/(E439:J439&lt;&gt;""),E439:J439)&lt;INDEX(E439:J439,MATCH(TRUE(),E439:J439&lt;&gt;"",0)),"↑",IF(LOOKUP(2,1/(E439:J439&lt;&gt;""),E439:J439)&gt;INDEX(E439:J439,MATCH(TRUE(),E439:J439&lt;&gt;"",0)),"↓","→")))</f>
        <v>-</v>
      </c>
    </row>
    <row r="440" customFormat="false" ht="25.5" hidden="false" customHeight="true" outlineLevel="0" collapsed="false">
      <c r="A440" s="53" t="n">
        <v>439</v>
      </c>
      <c r="B440" s="53" t="n">
        <v>4</v>
      </c>
      <c r="C440" s="19" t="s">
        <v>1117</v>
      </c>
      <c r="D440" s="19" t="s">
        <v>1118</v>
      </c>
      <c r="E440" s="53"/>
      <c r="F440" s="53"/>
      <c r="G440" s="53"/>
      <c r="H440" s="53"/>
      <c r="I440" s="53"/>
      <c r="J440" s="53"/>
      <c r="K440" s="20" t="n">
        <f aca="false">IFERROR(MIN(E440:J440),"")</f>
        <v>0</v>
      </c>
      <c r="L440" s="53" t="str">
        <f aca="false">IF(COUNT(E440:J440)&lt;2,"-",IF(LOOKUP(2,1/(E440:J440&lt;&gt;""),E440:J440)&lt;INDEX(E440:J440,MATCH(TRUE(),E440:J440&lt;&gt;"",0)),"↑",IF(LOOKUP(2,1/(E440:J440&lt;&gt;""),E440:J440)&gt;INDEX(E440:J440,MATCH(TRUE(),E440:J440&lt;&gt;"",0)),"↓","→")))</f>
        <v>-</v>
      </c>
    </row>
    <row r="441" customFormat="false" ht="25.5" hidden="false" customHeight="true" outlineLevel="0" collapsed="false">
      <c r="A441" s="53" t="n">
        <v>440</v>
      </c>
      <c r="B441" s="53" t="n">
        <v>4</v>
      </c>
      <c r="C441" s="21" t="s">
        <v>1119</v>
      </c>
      <c r="D441" s="21" t="s">
        <v>1120</v>
      </c>
      <c r="E441" s="53"/>
      <c r="F441" s="53"/>
      <c r="G441" s="53"/>
      <c r="H441" s="53"/>
      <c r="I441" s="53"/>
      <c r="J441" s="53"/>
      <c r="K441" s="20" t="n">
        <f aca="false">IFERROR(MIN(E441:J441),"")</f>
        <v>0</v>
      </c>
      <c r="L441" s="53" t="str">
        <f aca="false">IF(COUNT(E441:J441)&lt;2,"-",IF(LOOKUP(2,1/(E441:J441&lt;&gt;""),E441:J441)&lt;INDEX(E441:J441,MATCH(TRUE(),E441:J441&lt;&gt;"",0)),"↑",IF(LOOKUP(2,1/(E441:J441&lt;&gt;""),E441:J441)&gt;INDEX(E441:J441,MATCH(TRUE(),E441:J441&lt;&gt;"",0)),"↓","→")))</f>
        <v>-</v>
      </c>
    </row>
    <row r="442" customFormat="false" ht="25.5" hidden="false" customHeight="true" outlineLevel="0" collapsed="false">
      <c r="A442" s="53" t="n">
        <v>441</v>
      </c>
      <c r="B442" s="53" t="n">
        <v>4</v>
      </c>
      <c r="C442" s="19" t="s">
        <v>1121</v>
      </c>
      <c r="D442" s="19" t="s">
        <v>1122</v>
      </c>
      <c r="E442" s="53"/>
      <c r="F442" s="53"/>
      <c r="G442" s="53"/>
      <c r="H442" s="53"/>
      <c r="I442" s="53"/>
      <c r="J442" s="53"/>
      <c r="K442" s="20" t="n">
        <f aca="false">IFERROR(MIN(E442:J442),"")</f>
        <v>0</v>
      </c>
      <c r="L442" s="53" t="str">
        <f aca="false">IF(COUNT(E442:J442)&lt;2,"-",IF(LOOKUP(2,1/(E442:J442&lt;&gt;""),E442:J442)&lt;INDEX(E442:J442,MATCH(TRUE(),E442:J442&lt;&gt;"",0)),"↑",IF(LOOKUP(2,1/(E442:J442&lt;&gt;""),E442:J442)&gt;INDEX(E442:J442,MATCH(TRUE(),E442:J442&lt;&gt;"",0)),"↓","→")))</f>
        <v>-</v>
      </c>
    </row>
    <row r="443" customFormat="false" ht="25.5" hidden="false" customHeight="true" outlineLevel="0" collapsed="false">
      <c r="A443" s="53" t="n">
        <v>442</v>
      </c>
      <c r="B443" s="53" t="n">
        <v>4</v>
      </c>
      <c r="C443" s="21" t="s">
        <v>1123</v>
      </c>
      <c r="D443" s="21" t="s">
        <v>1124</v>
      </c>
      <c r="E443" s="53"/>
      <c r="F443" s="53"/>
      <c r="G443" s="53"/>
      <c r="H443" s="53"/>
      <c r="I443" s="53"/>
      <c r="J443" s="53"/>
      <c r="K443" s="20" t="n">
        <f aca="false">IFERROR(MIN(E443:J443),"")</f>
        <v>0</v>
      </c>
      <c r="L443" s="53" t="str">
        <f aca="false">IF(COUNT(E443:J443)&lt;2,"-",IF(LOOKUP(2,1/(E443:J443&lt;&gt;""),E443:J443)&lt;INDEX(E443:J443,MATCH(TRUE(),E443:J443&lt;&gt;"",0)),"↑",IF(LOOKUP(2,1/(E443:J443&lt;&gt;""),E443:J443)&gt;INDEX(E443:J443,MATCH(TRUE(),E443:J443&lt;&gt;"",0)),"↓","→")))</f>
        <v>-</v>
      </c>
    </row>
    <row r="444" customFormat="false" ht="25.5" hidden="false" customHeight="true" outlineLevel="0" collapsed="false">
      <c r="A444" s="53" t="n">
        <v>443</v>
      </c>
      <c r="B444" s="53" t="n">
        <v>4</v>
      </c>
      <c r="C444" s="19" t="s">
        <v>1125</v>
      </c>
      <c r="D444" s="19" t="s">
        <v>1126</v>
      </c>
      <c r="E444" s="53"/>
      <c r="F444" s="53"/>
      <c r="G444" s="53"/>
      <c r="H444" s="53"/>
      <c r="I444" s="53"/>
      <c r="J444" s="53"/>
      <c r="K444" s="20" t="n">
        <f aca="false">IFERROR(MIN(E444:J444),"")</f>
        <v>0</v>
      </c>
      <c r="L444" s="53" t="str">
        <f aca="false">IF(COUNT(E444:J444)&lt;2,"-",IF(LOOKUP(2,1/(E444:J444&lt;&gt;""),E444:J444)&lt;INDEX(E444:J444,MATCH(TRUE(),E444:J444&lt;&gt;"",0)),"↑",IF(LOOKUP(2,1/(E444:J444&lt;&gt;""),E444:J444)&gt;INDEX(E444:J444,MATCH(TRUE(),E444:J444&lt;&gt;"",0)),"↓","→")))</f>
        <v>-</v>
      </c>
    </row>
    <row r="445" customFormat="false" ht="25.5" hidden="false" customHeight="true" outlineLevel="0" collapsed="false">
      <c r="A445" s="53" t="n">
        <v>444</v>
      </c>
      <c r="B445" s="53" t="n">
        <v>4</v>
      </c>
      <c r="C445" s="21" t="s">
        <v>1127</v>
      </c>
      <c r="D445" s="21" t="s">
        <v>1128</v>
      </c>
      <c r="E445" s="53"/>
      <c r="F445" s="53"/>
      <c r="G445" s="53"/>
      <c r="H445" s="53"/>
      <c r="I445" s="53"/>
      <c r="J445" s="53"/>
      <c r="K445" s="20" t="n">
        <f aca="false">IFERROR(MIN(E445:J445),"")</f>
        <v>0</v>
      </c>
      <c r="L445" s="53" t="str">
        <f aca="false">IF(COUNT(E445:J445)&lt;2,"-",IF(LOOKUP(2,1/(E445:J445&lt;&gt;""),E445:J445)&lt;INDEX(E445:J445,MATCH(TRUE(),E445:J445&lt;&gt;"",0)),"↑",IF(LOOKUP(2,1/(E445:J445&lt;&gt;""),E445:J445)&gt;INDEX(E445:J445,MATCH(TRUE(),E445:J445&lt;&gt;"",0)),"↓","→")))</f>
        <v>-</v>
      </c>
    </row>
    <row r="446" customFormat="false" ht="25.5" hidden="false" customHeight="true" outlineLevel="0" collapsed="false">
      <c r="A446" s="53" t="n">
        <v>445</v>
      </c>
      <c r="B446" s="53" t="n">
        <v>4</v>
      </c>
      <c r="C446" s="19" t="s">
        <v>1129</v>
      </c>
      <c r="D446" s="19" t="s">
        <v>1130</v>
      </c>
      <c r="E446" s="53"/>
      <c r="F446" s="53"/>
      <c r="G446" s="53"/>
      <c r="H446" s="53"/>
      <c r="I446" s="53"/>
      <c r="J446" s="53"/>
      <c r="K446" s="20" t="n">
        <f aca="false">IFERROR(MIN(E446:J446),"")</f>
        <v>0</v>
      </c>
      <c r="L446" s="53" t="str">
        <f aca="false">IF(COUNT(E446:J446)&lt;2,"-",IF(LOOKUP(2,1/(E446:J446&lt;&gt;""),E446:J446)&lt;INDEX(E446:J446,MATCH(TRUE(),E446:J446&lt;&gt;"",0)),"↑",IF(LOOKUP(2,1/(E446:J446&lt;&gt;""),E446:J446)&gt;INDEX(E446:J446,MATCH(TRUE(),E446:J446&lt;&gt;"",0)),"↓","→")))</f>
        <v>-</v>
      </c>
    </row>
    <row r="447" customFormat="false" ht="25.5" hidden="false" customHeight="true" outlineLevel="0" collapsed="false">
      <c r="A447" s="53" t="n">
        <v>446</v>
      </c>
      <c r="B447" s="53" t="n">
        <v>4</v>
      </c>
      <c r="C447" s="21" t="s">
        <v>1131</v>
      </c>
      <c r="D447" s="21" t="s">
        <v>1132</v>
      </c>
      <c r="E447" s="53"/>
      <c r="F447" s="53"/>
      <c r="G447" s="53"/>
      <c r="H447" s="53"/>
      <c r="I447" s="53"/>
      <c r="J447" s="53"/>
      <c r="K447" s="20" t="n">
        <f aca="false">IFERROR(MIN(E447:J447),"")</f>
        <v>0</v>
      </c>
      <c r="L447" s="53" t="str">
        <f aca="false">IF(COUNT(E447:J447)&lt;2,"-",IF(LOOKUP(2,1/(E447:J447&lt;&gt;""),E447:J447)&lt;INDEX(E447:J447,MATCH(TRUE(),E447:J447&lt;&gt;"",0)),"↑",IF(LOOKUP(2,1/(E447:J447&lt;&gt;""),E447:J447)&gt;INDEX(E447:J447,MATCH(TRUE(),E447:J447&lt;&gt;"",0)),"↓","→")))</f>
        <v>-</v>
      </c>
    </row>
    <row r="448" customFormat="false" ht="25.5" hidden="false" customHeight="true" outlineLevel="0" collapsed="false">
      <c r="A448" s="53" t="n">
        <v>447</v>
      </c>
      <c r="B448" s="53" t="n">
        <v>4</v>
      </c>
      <c r="C448" s="19" t="s">
        <v>1133</v>
      </c>
      <c r="D448" s="19" t="s">
        <v>1134</v>
      </c>
      <c r="E448" s="53"/>
      <c r="F448" s="53"/>
      <c r="G448" s="53"/>
      <c r="H448" s="53"/>
      <c r="I448" s="53"/>
      <c r="J448" s="53"/>
      <c r="K448" s="20" t="n">
        <f aca="false">IFERROR(MIN(E448:J448),"")</f>
        <v>0</v>
      </c>
      <c r="L448" s="53" t="str">
        <f aca="false">IF(COUNT(E448:J448)&lt;2,"-",IF(LOOKUP(2,1/(E448:J448&lt;&gt;""),E448:J448)&lt;INDEX(E448:J448,MATCH(TRUE(),E448:J448&lt;&gt;"",0)),"↑",IF(LOOKUP(2,1/(E448:J448&lt;&gt;""),E448:J448)&gt;INDEX(E448:J448,MATCH(TRUE(),E448:J448&lt;&gt;"",0)),"↓","→")))</f>
        <v>-</v>
      </c>
    </row>
    <row r="449" customFormat="false" ht="25.5" hidden="false" customHeight="true" outlineLevel="0" collapsed="false">
      <c r="A449" s="53" t="n">
        <v>448</v>
      </c>
      <c r="B449" s="53" t="n">
        <v>4</v>
      </c>
      <c r="C449" s="21" t="s">
        <v>1135</v>
      </c>
      <c r="D449" s="21" t="s">
        <v>1136</v>
      </c>
      <c r="E449" s="53"/>
      <c r="F449" s="53"/>
      <c r="G449" s="53"/>
      <c r="H449" s="53"/>
      <c r="I449" s="53"/>
      <c r="J449" s="53"/>
      <c r="K449" s="20" t="n">
        <f aca="false">IFERROR(MIN(E449:J449),"")</f>
        <v>0</v>
      </c>
      <c r="L449" s="53" t="str">
        <f aca="false">IF(COUNT(E449:J449)&lt;2,"-",IF(LOOKUP(2,1/(E449:J449&lt;&gt;""),E449:J449)&lt;INDEX(E449:J449,MATCH(TRUE(),E449:J449&lt;&gt;"",0)),"↑",IF(LOOKUP(2,1/(E449:J449&lt;&gt;""),E449:J449)&gt;INDEX(E449:J449,MATCH(TRUE(),E449:J449&lt;&gt;"",0)),"↓","→")))</f>
        <v>-</v>
      </c>
    </row>
    <row r="450" customFormat="false" ht="25.5" hidden="false" customHeight="true" outlineLevel="0" collapsed="false">
      <c r="A450" s="53" t="n">
        <v>449</v>
      </c>
      <c r="B450" s="53" t="n">
        <v>4</v>
      </c>
      <c r="C450" s="19" t="s">
        <v>1137</v>
      </c>
      <c r="D450" s="19" t="s">
        <v>1138</v>
      </c>
      <c r="E450" s="53"/>
      <c r="F450" s="53"/>
      <c r="G450" s="53"/>
      <c r="H450" s="53"/>
      <c r="I450" s="53"/>
      <c r="J450" s="53"/>
      <c r="K450" s="20" t="n">
        <f aca="false">IFERROR(MIN(E450:J450),"")</f>
        <v>0</v>
      </c>
      <c r="L450" s="53" t="str">
        <f aca="false">IF(COUNT(E450:J450)&lt;2,"-",IF(LOOKUP(2,1/(E450:J450&lt;&gt;""),E450:J450)&lt;INDEX(E450:J450,MATCH(TRUE(),E450:J450&lt;&gt;"",0)),"↑",IF(LOOKUP(2,1/(E450:J450&lt;&gt;""),E450:J450)&gt;INDEX(E450:J450,MATCH(TRUE(),E450:J450&lt;&gt;"",0)),"↓","→")))</f>
        <v>-</v>
      </c>
    </row>
    <row r="451" customFormat="false" ht="25.5" hidden="false" customHeight="true" outlineLevel="0" collapsed="false">
      <c r="A451" s="53" t="n">
        <v>450</v>
      </c>
      <c r="B451" s="53" t="n">
        <v>4</v>
      </c>
      <c r="C451" s="21" t="s">
        <v>1139</v>
      </c>
      <c r="D451" s="21" t="s">
        <v>1140</v>
      </c>
      <c r="E451" s="53"/>
      <c r="F451" s="53"/>
      <c r="G451" s="53"/>
      <c r="H451" s="53"/>
      <c r="I451" s="53"/>
      <c r="J451" s="53"/>
      <c r="K451" s="20" t="n">
        <f aca="false">IFERROR(MIN(E451:J451),"")</f>
        <v>0</v>
      </c>
      <c r="L451" s="53" t="str">
        <f aca="false">IF(COUNT(E451:J451)&lt;2,"-",IF(LOOKUP(2,1/(E451:J451&lt;&gt;""),E451:J451)&lt;INDEX(E451:J451,MATCH(TRUE(),E451:J451&lt;&gt;"",0)),"↑",IF(LOOKUP(2,1/(E451:J451&lt;&gt;""),E451:J451)&gt;INDEX(E451:J451,MATCH(TRUE(),E451:J451&lt;&gt;"",0)),"↓","→")))</f>
        <v>-</v>
      </c>
    </row>
    <row r="452" customFormat="false" ht="25.5" hidden="false" customHeight="true" outlineLevel="0" collapsed="false">
      <c r="A452" s="53" t="n">
        <v>451</v>
      </c>
      <c r="B452" s="53" t="n">
        <v>4</v>
      </c>
      <c r="C452" s="19" t="s">
        <v>1141</v>
      </c>
      <c r="D452" s="19" t="s">
        <v>1142</v>
      </c>
      <c r="E452" s="53"/>
      <c r="F452" s="53"/>
      <c r="G452" s="53"/>
      <c r="H452" s="53"/>
      <c r="I452" s="53"/>
      <c r="J452" s="53"/>
      <c r="K452" s="20" t="n">
        <f aca="false">IFERROR(MIN(E452:J452),"")</f>
        <v>0</v>
      </c>
      <c r="L452" s="53" t="str">
        <f aca="false">IF(COUNT(E452:J452)&lt;2,"-",IF(LOOKUP(2,1/(E452:J452&lt;&gt;""),E452:J452)&lt;INDEX(E452:J452,MATCH(TRUE(),E452:J452&lt;&gt;"",0)),"↑",IF(LOOKUP(2,1/(E452:J452&lt;&gt;""),E452:J452)&gt;INDEX(E452:J452,MATCH(TRUE(),E452:J452&lt;&gt;"",0)),"↓","→")))</f>
        <v>-</v>
      </c>
    </row>
    <row r="453" customFormat="false" ht="25.5" hidden="false" customHeight="true" outlineLevel="0" collapsed="false">
      <c r="A453" s="53" t="n">
        <v>452</v>
      </c>
      <c r="B453" s="53" t="n">
        <v>4</v>
      </c>
      <c r="C453" s="21" t="s">
        <v>1143</v>
      </c>
      <c r="D453" s="21" t="s">
        <v>1144</v>
      </c>
      <c r="E453" s="53"/>
      <c r="F453" s="53"/>
      <c r="G453" s="53"/>
      <c r="H453" s="53"/>
      <c r="I453" s="53"/>
      <c r="J453" s="53"/>
      <c r="K453" s="20" t="n">
        <f aca="false">IFERROR(MIN(E453:J453),"")</f>
        <v>0</v>
      </c>
      <c r="L453" s="53" t="str">
        <f aca="false">IF(COUNT(E453:J453)&lt;2,"-",IF(LOOKUP(2,1/(E453:J453&lt;&gt;""),E453:J453)&lt;INDEX(E453:J453,MATCH(TRUE(),E453:J453&lt;&gt;"",0)),"↑",IF(LOOKUP(2,1/(E453:J453&lt;&gt;""),E453:J453)&gt;INDEX(E453:J453,MATCH(TRUE(),E453:J453&lt;&gt;"",0)),"↓","→")))</f>
        <v>-</v>
      </c>
    </row>
    <row r="454" customFormat="false" ht="25.5" hidden="false" customHeight="true" outlineLevel="0" collapsed="false">
      <c r="A454" s="53" t="n">
        <v>453</v>
      </c>
      <c r="B454" s="53" t="n">
        <v>4</v>
      </c>
      <c r="C454" s="19" t="s">
        <v>1145</v>
      </c>
      <c r="D454" s="19" t="s">
        <v>1146</v>
      </c>
      <c r="E454" s="53"/>
      <c r="F454" s="53"/>
      <c r="G454" s="53"/>
      <c r="H454" s="53"/>
      <c r="I454" s="53"/>
      <c r="J454" s="53"/>
      <c r="K454" s="20" t="n">
        <f aca="false">IFERROR(MIN(E454:J454),"")</f>
        <v>0</v>
      </c>
      <c r="L454" s="53" t="str">
        <f aca="false">IF(COUNT(E454:J454)&lt;2,"-",IF(LOOKUP(2,1/(E454:J454&lt;&gt;""),E454:J454)&lt;INDEX(E454:J454,MATCH(TRUE(),E454:J454&lt;&gt;"",0)),"↑",IF(LOOKUP(2,1/(E454:J454&lt;&gt;""),E454:J454)&gt;INDEX(E454:J454,MATCH(TRUE(),E454:J454&lt;&gt;"",0)),"↓","→")))</f>
        <v>-</v>
      </c>
    </row>
    <row r="455" customFormat="false" ht="25.5" hidden="false" customHeight="true" outlineLevel="0" collapsed="false">
      <c r="A455" s="53" t="n">
        <v>454</v>
      </c>
      <c r="B455" s="53" t="n">
        <v>4</v>
      </c>
      <c r="C455" s="21" t="s">
        <v>1147</v>
      </c>
      <c r="D455" s="21" t="s">
        <v>1148</v>
      </c>
      <c r="E455" s="53"/>
      <c r="F455" s="53"/>
      <c r="G455" s="53"/>
      <c r="H455" s="53"/>
      <c r="I455" s="53"/>
      <c r="J455" s="53"/>
      <c r="K455" s="20" t="n">
        <f aca="false">IFERROR(MIN(E455:J455),"")</f>
        <v>0</v>
      </c>
      <c r="L455" s="53" t="str">
        <f aca="false">IF(COUNT(E455:J455)&lt;2,"-",IF(LOOKUP(2,1/(E455:J455&lt;&gt;""),E455:J455)&lt;INDEX(E455:J455,MATCH(TRUE(),E455:J455&lt;&gt;"",0)),"↑",IF(LOOKUP(2,1/(E455:J455&lt;&gt;""),E455:J455)&gt;INDEX(E455:J455,MATCH(TRUE(),E455:J455&lt;&gt;"",0)),"↓","→")))</f>
        <v>-</v>
      </c>
    </row>
    <row r="456" customFormat="false" ht="25.5" hidden="false" customHeight="true" outlineLevel="0" collapsed="false">
      <c r="A456" s="53" t="n">
        <v>455</v>
      </c>
      <c r="B456" s="53" t="n">
        <v>4</v>
      </c>
      <c r="C456" s="19" t="s">
        <v>1149</v>
      </c>
      <c r="D456" s="19" t="s">
        <v>1150</v>
      </c>
      <c r="E456" s="53"/>
      <c r="F456" s="53"/>
      <c r="G456" s="53"/>
      <c r="H456" s="53"/>
      <c r="I456" s="53"/>
      <c r="J456" s="53"/>
      <c r="K456" s="20" t="n">
        <f aca="false">IFERROR(MIN(E456:J456),"")</f>
        <v>0</v>
      </c>
      <c r="L456" s="53" t="str">
        <f aca="false">IF(COUNT(E456:J456)&lt;2,"-",IF(LOOKUP(2,1/(E456:J456&lt;&gt;""),E456:J456)&lt;INDEX(E456:J456,MATCH(TRUE(),E456:J456&lt;&gt;"",0)),"↑",IF(LOOKUP(2,1/(E456:J456&lt;&gt;""),E456:J456)&gt;INDEX(E456:J456,MATCH(TRUE(),E456:J456&lt;&gt;"",0)),"↓","→")))</f>
        <v>-</v>
      </c>
    </row>
    <row r="457" customFormat="false" ht="25.5" hidden="false" customHeight="true" outlineLevel="0" collapsed="false">
      <c r="A457" s="53" t="n">
        <v>456</v>
      </c>
      <c r="B457" s="53" t="n">
        <v>4</v>
      </c>
      <c r="C457" s="21" t="s">
        <v>1151</v>
      </c>
      <c r="D457" s="21" t="s">
        <v>1152</v>
      </c>
      <c r="E457" s="53"/>
      <c r="F457" s="53"/>
      <c r="G457" s="53"/>
      <c r="H457" s="53"/>
      <c r="I457" s="53"/>
      <c r="J457" s="53"/>
      <c r="K457" s="20" t="n">
        <f aca="false">IFERROR(MIN(E457:J457),"")</f>
        <v>0</v>
      </c>
      <c r="L457" s="53" t="str">
        <f aca="false">IF(COUNT(E457:J457)&lt;2,"-",IF(LOOKUP(2,1/(E457:J457&lt;&gt;""),E457:J457)&lt;INDEX(E457:J457,MATCH(TRUE(),E457:J457&lt;&gt;"",0)),"↑",IF(LOOKUP(2,1/(E457:J457&lt;&gt;""),E457:J457)&gt;INDEX(E457:J457,MATCH(TRUE(),E457:J457&lt;&gt;"",0)),"↓","→")))</f>
        <v>-</v>
      </c>
    </row>
    <row r="458" customFormat="false" ht="25.5" hidden="false" customHeight="true" outlineLevel="0" collapsed="false">
      <c r="A458" s="53" t="n">
        <v>457</v>
      </c>
      <c r="B458" s="53" t="n">
        <v>4</v>
      </c>
      <c r="C458" s="19" t="s">
        <v>1153</v>
      </c>
      <c r="D458" s="19" t="s">
        <v>1154</v>
      </c>
      <c r="E458" s="53"/>
      <c r="F458" s="53"/>
      <c r="G458" s="53"/>
      <c r="H458" s="53"/>
      <c r="I458" s="53"/>
      <c r="J458" s="53"/>
      <c r="K458" s="20" t="n">
        <f aca="false">IFERROR(MIN(E458:J458),"")</f>
        <v>0</v>
      </c>
      <c r="L458" s="53" t="str">
        <f aca="false">IF(COUNT(E458:J458)&lt;2,"-",IF(LOOKUP(2,1/(E458:J458&lt;&gt;""),E458:J458)&lt;INDEX(E458:J458,MATCH(TRUE(),E458:J458&lt;&gt;"",0)),"↑",IF(LOOKUP(2,1/(E458:J458&lt;&gt;""),E458:J458)&gt;INDEX(E458:J458,MATCH(TRUE(),E458:J458&lt;&gt;"",0)),"↓","→")))</f>
        <v>-</v>
      </c>
    </row>
    <row r="459" customFormat="false" ht="25.5" hidden="false" customHeight="true" outlineLevel="0" collapsed="false">
      <c r="A459" s="53" t="n">
        <v>458</v>
      </c>
      <c r="B459" s="53" t="n">
        <v>4</v>
      </c>
      <c r="C459" s="21" t="s">
        <v>1155</v>
      </c>
      <c r="D459" s="21" t="s">
        <v>1156</v>
      </c>
      <c r="E459" s="53"/>
      <c r="F459" s="53"/>
      <c r="G459" s="53"/>
      <c r="H459" s="53"/>
      <c r="I459" s="53"/>
      <c r="J459" s="53"/>
      <c r="K459" s="20" t="n">
        <f aca="false">IFERROR(MIN(E459:J459),"")</f>
        <v>0</v>
      </c>
      <c r="L459" s="53" t="str">
        <f aca="false">IF(COUNT(E459:J459)&lt;2,"-",IF(LOOKUP(2,1/(E459:J459&lt;&gt;""),E459:J459)&lt;INDEX(E459:J459,MATCH(TRUE(),E459:J459&lt;&gt;"",0)),"↑",IF(LOOKUP(2,1/(E459:J459&lt;&gt;""),E459:J459)&gt;INDEX(E459:J459,MATCH(TRUE(),E459:J459&lt;&gt;"",0)),"↓","→")))</f>
        <v>-</v>
      </c>
    </row>
    <row r="460" customFormat="false" ht="25.5" hidden="false" customHeight="true" outlineLevel="0" collapsed="false">
      <c r="A460" s="53" t="n">
        <v>459</v>
      </c>
      <c r="B460" s="53" t="n">
        <v>4</v>
      </c>
      <c r="C460" s="19" t="s">
        <v>1157</v>
      </c>
      <c r="D460" s="19" t="s">
        <v>1159</v>
      </c>
      <c r="E460" s="53"/>
      <c r="F460" s="53"/>
      <c r="G460" s="53"/>
      <c r="H460" s="53"/>
      <c r="I460" s="53"/>
      <c r="J460" s="53"/>
      <c r="K460" s="20" t="n">
        <f aca="false">IFERROR(MIN(E460:J460),"")</f>
        <v>0</v>
      </c>
      <c r="L460" s="53" t="str">
        <f aca="false">IF(COUNT(E460:J460)&lt;2,"-",IF(LOOKUP(2,1/(E460:J460&lt;&gt;""),E460:J460)&lt;INDEX(E460:J460,MATCH(TRUE(),E460:J460&lt;&gt;"",0)),"↑",IF(LOOKUP(2,1/(E460:J460&lt;&gt;""),E460:J460)&gt;INDEX(E460:J460,MATCH(TRUE(),E460:J460&lt;&gt;"",0)),"↓","→")))</f>
        <v>-</v>
      </c>
    </row>
    <row r="461" customFormat="false" ht="25.5" hidden="false" customHeight="true" outlineLevel="0" collapsed="false">
      <c r="A461" s="53" t="n">
        <v>460</v>
      </c>
      <c r="B461" s="53" t="n">
        <v>4</v>
      </c>
      <c r="C461" s="21" t="s">
        <v>1160</v>
      </c>
      <c r="D461" s="21" t="s">
        <v>1161</v>
      </c>
      <c r="E461" s="53"/>
      <c r="F461" s="53"/>
      <c r="G461" s="53"/>
      <c r="H461" s="53"/>
      <c r="I461" s="53"/>
      <c r="J461" s="53"/>
      <c r="K461" s="20" t="n">
        <f aca="false">IFERROR(MIN(E461:J461),"")</f>
        <v>0</v>
      </c>
      <c r="L461" s="53" t="str">
        <f aca="false">IF(COUNT(E461:J461)&lt;2,"-",IF(LOOKUP(2,1/(E461:J461&lt;&gt;""),E461:J461)&lt;INDEX(E461:J461,MATCH(TRUE(),E461:J461&lt;&gt;"",0)),"↑",IF(LOOKUP(2,1/(E461:J461&lt;&gt;""),E461:J461)&gt;INDEX(E461:J461,MATCH(TRUE(),E461:J461&lt;&gt;"",0)),"↓","→")))</f>
        <v>-</v>
      </c>
    </row>
    <row r="462" customFormat="false" ht="25.5" hidden="false" customHeight="true" outlineLevel="0" collapsed="false">
      <c r="A462" s="53" t="n">
        <v>461</v>
      </c>
      <c r="B462" s="53" t="n">
        <v>4</v>
      </c>
      <c r="C462" s="19" t="s">
        <v>1162</v>
      </c>
      <c r="D462" s="19" t="s">
        <v>1163</v>
      </c>
      <c r="E462" s="53"/>
      <c r="F462" s="53"/>
      <c r="G462" s="53"/>
      <c r="H462" s="53"/>
      <c r="I462" s="53"/>
      <c r="J462" s="53"/>
      <c r="K462" s="20" t="n">
        <f aca="false">IFERROR(MIN(E462:J462),"")</f>
        <v>0</v>
      </c>
      <c r="L462" s="53" t="str">
        <f aca="false">IF(COUNT(E462:J462)&lt;2,"-",IF(LOOKUP(2,1/(E462:J462&lt;&gt;""),E462:J462)&lt;INDEX(E462:J462,MATCH(TRUE(),E462:J462&lt;&gt;"",0)),"↑",IF(LOOKUP(2,1/(E462:J462&lt;&gt;""),E462:J462)&gt;INDEX(E462:J462,MATCH(TRUE(),E462:J462&lt;&gt;"",0)),"↓","→")))</f>
        <v>-</v>
      </c>
    </row>
    <row r="463" customFormat="false" ht="25.5" hidden="false" customHeight="true" outlineLevel="0" collapsed="false">
      <c r="A463" s="53" t="n">
        <v>462</v>
      </c>
      <c r="B463" s="53" t="n">
        <v>4</v>
      </c>
      <c r="C463" s="21" t="s">
        <v>1164</v>
      </c>
      <c r="D463" s="21" t="s">
        <v>1165</v>
      </c>
      <c r="E463" s="53"/>
      <c r="F463" s="53"/>
      <c r="G463" s="53"/>
      <c r="H463" s="53"/>
      <c r="I463" s="53"/>
      <c r="J463" s="53"/>
      <c r="K463" s="20" t="n">
        <f aca="false">IFERROR(MIN(E463:J463),"")</f>
        <v>0</v>
      </c>
      <c r="L463" s="53" t="str">
        <f aca="false">IF(COUNT(E463:J463)&lt;2,"-",IF(LOOKUP(2,1/(E463:J463&lt;&gt;""),E463:J463)&lt;INDEX(E463:J463,MATCH(TRUE(),E463:J463&lt;&gt;"",0)),"↑",IF(LOOKUP(2,1/(E463:J463&lt;&gt;""),E463:J463)&gt;INDEX(E463:J463,MATCH(TRUE(),E463:J463&lt;&gt;"",0)),"↓","→")))</f>
        <v>-</v>
      </c>
    </row>
    <row r="464" customFormat="false" ht="25.5" hidden="false" customHeight="true" outlineLevel="0" collapsed="false">
      <c r="A464" s="53" t="n">
        <v>463</v>
      </c>
      <c r="B464" s="53" t="n">
        <v>4</v>
      </c>
      <c r="C464" s="19" t="s">
        <v>1166</v>
      </c>
      <c r="D464" s="19" t="s">
        <v>1167</v>
      </c>
      <c r="E464" s="53"/>
      <c r="F464" s="53"/>
      <c r="G464" s="53"/>
      <c r="H464" s="53"/>
      <c r="I464" s="53"/>
      <c r="J464" s="53"/>
      <c r="K464" s="20" t="n">
        <f aca="false">IFERROR(MIN(E464:J464),"")</f>
        <v>0</v>
      </c>
      <c r="L464" s="53" t="str">
        <f aca="false">IF(COUNT(E464:J464)&lt;2,"-",IF(LOOKUP(2,1/(E464:J464&lt;&gt;""),E464:J464)&lt;INDEX(E464:J464,MATCH(TRUE(),E464:J464&lt;&gt;"",0)),"↑",IF(LOOKUP(2,1/(E464:J464&lt;&gt;""),E464:J464)&gt;INDEX(E464:J464,MATCH(TRUE(),E464:J464&lt;&gt;"",0)),"↓","→")))</f>
        <v>-</v>
      </c>
    </row>
    <row r="465" customFormat="false" ht="25.5" hidden="false" customHeight="true" outlineLevel="0" collapsed="false">
      <c r="A465" s="53" t="n">
        <v>464</v>
      </c>
      <c r="B465" s="53" t="n">
        <v>4</v>
      </c>
      <c r="C465" s="21" t="s">
        <v>1168</v>
      </c>
      <c r="D465" s="21" t="s">
        <v>1169</v>
      </c>
      <c r="E465" s="53"/>
      <c r="F465" s="53"/>
      <c r="G465" s="53"/>
      <c r="H465" s="53"/>
      <c r="I465" s="53"/>
      <c r="J465" s="53"/>
      <c r="K465" s="20" t="n">
        <f aca="false">IFERROR(MIN(E465:J465),"")</f>
        <v>0</v>
      </c>
      <c r="L465" s="53" t="str">
        <f aca="false">IF(COUNT(E465:J465)&lt;2,"-",IF(LOOKUP(2,1/(E465:J465&lt;&gt;""),E465:J465)&lt;INDEX(E465:J465,MATCH(TRUE(),E465:J465&lt;&gt;"",0)),"↑",IF(LOOKUP(2,1/(E465:J465&lt;&gt;""),E465:J465)&gt;INDEX(E465:J465,MATCH(TRUE(),E465:J465&lt;&gt;"",0)),"↓","→")))</f>
        <v>-</v>
      </c>
    </row>
    <row r="466" customFormat="false" ht="25.5" hidden="false" customHeight="true" outlineLevel="0" collapsed="false">
      <c r="A466" s="53" t="n">
        <v>465</v>
      </c>
      <c r="B466" s="53" t="n">
        <v>4</v>
      </c>
      <c r="C466" s="19" t="s">
        <v>1170</v>
      </c>
      <c r="D466" s="19" t="s">
        <v>1171</v>
      </c>
      <c r="E466" s="53"/>
      <c r="F466" s="53"/>
      <c r="G466" s="53"/>
      <c r="H466" s="53"/>
      <c r="I466" s="53"/>
      <c r="J466" s="53"/>
      <c r="K466" s="20" t="n">
        <f aca="false">IFERROR(MIN(E466:J466),"")</f>
        <v>0</v>
      </c>
      <c r="L466" s="53" t="str">
        <f aca="false">IF(COUNT(E466:J466)&lt;2,"-",IF(LOOKUP(2,1/(E466:J466&lt;&gt;""),E466:J466)&lt;INDEX(E466:J466,MATCH(TRUE(),E466:J466&lt;&gt;"",0)),"↑",IF(LOOKUP(2,1/(E466:J466&lt;&gt;""),E466:J466)&gt;INDEX(E466:J466,MATCH(TRUE(),E466:J466&lt;&gt;"",0)),"↓","→")))</f>
        <v>-</v>
      </c>
    </row>
    <row r="467" customFormat="false" ht="25.5" hidden="false" customHeight="true" outlineLevel="0" collapsed="false">
      <c r="A467" s="53" t="n">
        <v>466</v>
      </c>
      <c r="B467" s="53" t="n">
        <v>4</v>
      </c>
      <c r="C467" s="21" t="s">
        <v>1172</v>
      </c>
      <c r="D467" s="21" t="s">
        <v>1173</v>
      </c>
      <c r="E467" s="53"/>
      <c r="F467" s="53"/>
      <c r="G467" s="53"/>
      <c r="H467" s="53"/>
      <c r="I467" s="53"/>
      <c r="J467" s="53"/>
      <c r="K467" s="20" t="n">
        <f aca="false">IFERROR(MIN(E467:J467),"")</f>
        <v>0</v>
      </c>
      <c r="L467" s="53" t="str">
        <f aca="false">IF(COUNT(E467:J467)&lt;2,"-",IF(LOOKUP(2,1/(E467:J467&lt;&gt;""),E467:J467)&lt;INDEX(E467:J467,MATCH(TRUE(),E467:J467&lt;&gt;"",0)),"↑",IF(LOOKUP(2,1/(E467:J467&lt;&gt;""),E467:J467)&gt;INDEX(E467:J467,MATCH(TRUE(),E467:J467&lt;&gt;"",0)),"↓","→")))</f>
        <v>-</v>
      </c>
    </row>
    <row r="468" customFormat="false" ht="25.5" hidden="false" customHeight="true" outlineLevel="0" collapsed="false">
      <c r="A468" s="53" t="n">
        <v>467</v>
      </c>
      <c r="B468" s="53" t="n">
        <v>4</v>
      </c>
      <c r="C468" s="19" t="s">
        <v>1174</v>
      </c>
      <c r="D468" s="19" t="s">
        <v>1175</v>
      </c>
      <c r="E468" s="53"/>
      <c r="F468" s="53"/>
      <c r="G468" s="53"/>
      <c r="H468" s="53"/>
      <c r="I468" s="53"/>
      <c r="J468" s="53"/>
      <c r="K468" s="20" t="n">
        <f aca="false">IFERROR(MIN(E468:J468),"")</f>
        <v>0</v>
      </c>
      <c r="L468" s="53" t="str">
        <f aca="false">IF(COUNT(E468:J468)&lt;2,"-",IF(LOOKUP(2,1/(E468:J468&lt;&gt;""),E468:J468)&lt;INDEX(E468:J468,MATCH(TRUE(),E468:J468&lt;&gt;"",0)),"↑",IF(LOOKUP(2,1/(E468:J468&lt;&gt;""),E468:J468)&gt;INDEX(E468:J468,MATCH(TRUE(),E468:J468&lt;&gt;"",0)),"↓","→")))</f>
        <v>-</v>
      </c>
    </row>
    <row r="469" customFormat="false" ht="25.5" hidden="false" customHeight="true" outlineLevel="0" collapsed="false">
      <c r="A469" s="53" t="n">
        <v>468</v>
      </c>
      <c r="B469" s="53" t="n">
        <v>4</v>
      </c>
      <c r="C469" s="21" t="s">
        <v>1176</v>
      </c>
      <c r="D469" s="21" t="s">
        <v>1177</v>
      </c>
      <c r="E469" s="53"/>
      <c r="F469" s="53"/>
      <c r="G469" s="53"/>
      <c r="H469" s="53"/>
      <c r="I469" s="53"/>
      <c r="J469" s="53"/>
      <c r="K469" s="20" t="n">
        <f aca="false">IFERROR(MIN(E469:J469),"")</f>
        <v>0</v>
      </c>
      <c r="L469" s="53" t="str">
        <f aca="false">IF(COUNT(E469:J469)&lt;2,"-",IF(LOOKUP(2,1/(E469:J469&lt;&gt;""),E469:J469)&lt;INDEX(E469:J469,MATCH(TRUE(),E469:J469&lt;&gt;"",0)),"↑",IF(LOOKUP(2,1/(E469:J469&lt;&gt;""),E469:J469)&gt;INDEX(E469:J469,MATCH(TRUE(),E469:J469&lt;&gt;"",0)),"↓","→")))</f>
        <v>-</v>
      </c>
    </row>
    <row r="470" customFormat="false" ht="25.5" hidden="false" customHeight="true" outlineLevel="0" collapsed="false">
      <c r="A470" s="53" t="n">
        <v>469</v>
      </c>
      <c r="B470" s="53" t="n">
        <v>4</v>
      </c>
      <c r="C470" s="19" t="s">
        <v>1178</v>
      </c>
      <c r="D470" s="19" t="s">
        <v>1179</v>
      </c>
      <c r="E470" s="53"/>
      <c r="F470" s="53"/>
      <c r="G470" s="53"/>
      <c r="H470" s="53"/>
      <c r="I470" s="53"/>
      <c r="J470" s="53"/>
      <c r="K470" s="20" t="n">
        <f aca="false">IFERROR(MIN(E470:J470),"")</f>
        <v>0</v>
      </c>
      <c r="L470" s="53" t="str">
        <f aca="false">IF(COUNT(E470:J470)&lt;2,"-",IF(LOOKUP(2,1/(E470:J470&lt;&gt;""),E470:J470)&lt;INDEX(E470:J470,MATCH(TRUE(),E470:J470&lt;&gt;"",0)),"↑",IF(LOOKUP(2,1/(E470:J470&lt;&gt;""),E470:J470)&gt;INDEX(E470:J470,MATCH(TRUE(),E470:J470&lt;&gt;"",0)),"↓","→")))</f>
        <v>-</v>
      </c>
    </row>
    <row r="471" customFormat="false" ht="25.5" hidden="false" customHeight="true" outlineLevel="0" collapsed="false">
      <c r="A471" s="53" t="n">
        <v>470</v>
      </c>
      <c r="B471" s="53" t="n">
        <v>4</v>
      </c>
      <c r="C471" s="21" t="s">
        <v>1180</v>
      </c>
      <c r="D471" s="21" t="s">
        <v>1181</v>
      </c>
      <c r="E471" s="53"/>
      <c r="F471" s="53"/>
      <c r="G471" s="53"/>
      <c r="H471" s="53"/>
      <c r="I471" s="53"/>
      <c r="J471" s="53"/>
      <c r="K471" s="20" t="n">
        <f aca="false">IFERROR(MIN(E471:J471),"")</f>
        <v>0</v>
      </c>
      <c r="L471" s="53" t="str">
        <f aca="false">IF(COUNT(E471:J471)&lt;2,"-",IF(LOOKUP(2,1/(E471:J471&lt;&gt;""),E471:J471)&lt;INDEX(E471:J471,MATCH(TRUE(),E471:J471&lt;&gt;"",0)),"↑",IF(LOOKUP(2,1/(E471:J471&lt;&gt;""),E471:J471)&gt;INDEX(E471:J471,MATCH(TRUE(),E471:J471&lt;&gt;"",0)),"↓","→")))</f>
        <v>-</v>
      </c>
    </row>
    <row r="472" customFormat="false" ht="25.5" hidden="false" customHeight="true" outlineLevel="0" collapsed="false">
      <c r="A472" s="53" t="n">
        <v>471</v>
      </c>
      <c r="B472" s="53" t="n">
        <v>4</v>
      </c>
      <c r="C472" s="19" t="s">
        <v>1182</v>
      </c>
      <c r="D472" s="19" t="s">
        <v>1183</v>
      </c>
      <c r="E472" s="53"/>
      <c r="F472" s="53"/>
      <c r="G472" s="53"/>
      <c r="H472" s="53"/>
      <c r="I472" s="53"/>
      <c r="J472" s="53"/>
      <c r="K472" s="20" t="n">
        <f aca="false">IFERROR(MIN(E472:J472),"")</f>
        <v>0</v>
      </c>
      <c r="L472" s="53" t="str">
        <f aca="false">IF(COUNT(E472:J472)&lt;2,"-",IF(LOOKUP(2,1/(E472:J472&lt;&gt;""),E472:J472)&lt;INDEX(E472:J472,MATCH(TRUE(),E472:J472&lt;&gt;"",0)),"↑",IF(LOOKUP(2,1/(E472:J472&lt;&gt;""),E472:J472)&gt;INDEX(E472:J472,MATCH(TRUE(),E472:J472&lt;&gt;"",0)),"↓","→")))</f>
        <v>-</v>
      </c>
    </row>
    <row r="473" customFormat="false" ht="25.5" hidden="false" customHeight="true" outlineLevel="0" collapsed="false">
      <c r="A473" s="53" t="n">
        <v>472</v>
      </c>
      <c r="B473" s="53" t="n">
        <v>4</v>
      </c>
      <c r="C473" s="21" t="s">
        <v>1184</v>
      </c>
      <c r="D473" s="21" t="s">
        <v>1185</v>
      </c>
      <c r="E473" s="53"/>
      <c r="F473" s="53"/>
      <c r="G473" s="53"/>
      <c r="H473" s="53"/>
      <c r="I473" s="53"/>
      <c r="J473" s="53"/>
      <c r="K473" s="20" t="n">
        <f aca="false">IFERROR(MIN(E473:J473),"")</f>
        <v>0</v>
      </c>
      <c r="L473" s="53" t="str">
        <f aca="false">IF(COUNT(E473:J473)&lt;2,"-",IF(LOOKUP(2,1/(E473:J473&lt;&gt;""),E473:J473)&lt;INDEX(E473:J473,MATCH(TRUE(),E473:J473&lt;&gt;"",0)),"↑",IF(LOOKUP(2,1/(E473:J473&lt;&gt;""),E473:J473)&gt;INDEX(E473:J473,MATCH(TRUE(),E473:J473&lt;&gt;"",0)),"↓","→")))</f>
        <v>-</v>
      </c>
    </row>
    <row r="474" customFormat="false" ht="25.5" hidden="false" customHeight="true" outlineLevel="0" collapsed="false">
      <c r="A474" s="53" t="n">
        <v>473</v>
      </c>
      <c r="B474" s="53" t="n">
        <v>4</v>
      </c>
      <c r="C474" s="19" t="s">
        <v>1186</v>
      </c>
      <c r="D474" s="19" t="s">
        <v>1187</v>
      </c>
      <c r="E474" s="53"/>
      <c r="F474" s="53"/>
      <c r="G474" s="53"/>
      <c r="H474" s="53"/>
      <c r="I474" s="53"/>
      <c r="J474" s="53"/>
      <c r="K474" s="20" t="n">
        <f aca="false">IFERROR(MIN(E474:J474),"")</f>
        <v>0</v>
      </c>
      <c r="L474" s="53" t="str">
        <f aca="false">IF(COUNT(E474:J474)&lt;2,"-",IF(LOOKUP(2,1/(E474:J474&lt;&gt;""),E474:J474)&lt;INDEX(E474:J474,MATCH(TRUE(),E474:J474&lt;&gt;"",0)),"↑",IF(LOOKUP(2,1/(E474:J474&lt;&gt;""),E474:J474)&gt;INDEX(E474:J474,MATCH(TRUE(),E474:J474&lt;&gt;"",0)),"↓","→")))</f>
        <v>-</v>
      </c>
    </row>
    <row r="475" customFormat="false" ht="25.5" hidden="false" customHeight="true" outlineLevel="0" collapsed="false">
      <c r="A475" s="53" t="n">
        <v>474</v>
      </c>
      <c r="B475" s="53" t="n">
        <v>4</v>
      </c>
      <c r="C475" s="21" t="s">
        <v>1188</v>
      </c>
      <c r="D475" s="21" t="s">
        <v>1189</v>
      </c>
      <c r="E475" s="53"/>
      <c r="F475" s="53"/>
      <c r="G475" s="53"/>
      <c r="H475" s="53"/>
      <c r="I475" s="53"/>
      <c r="J475" s="53"/>
      <c r="K475" s="20" t="n">
        <f aca="false">IFERROR(MIN(E475:J475),"")</f>
        <v>0</v>
      </c>
      <c r="L475" s="53" t="str">
        <f aca="false">IF(COUNT(E475:J475)&lt;2,"-",IF(LOOKUP(2,1/(E475:J475&lt;&gt;""),E475:J475)&lt;INDEX(E475:J475,MATCH(TRUE(),E475:J475&lt;&gt;"",0)),"↑",IF(LOOKUP(2,1/(E475:J475&lt;&gt;""),E475:J475)&gt;INDEX(E475:J475,MATCH(TRUE(),E475:J475&lt;&gt;"",0)),"↓","→")))</f>
        <v>-</v>
      </c>
    </row>
    <row r="476" customFormat="false" ht="25.5" hidden="false" customHeight="true" outlineLevel="0" collapsed="false">
      <c r="A476" s="53" t="n">
        <v>475</v>
      </c>
      <c r="B476" s="53" t="n">
        <v>4</v>
      </c>
      <c r="C476" s="19" t="s">
        <v>1190</v>
      </c>
      <c r="D476" s="19" t="s">
        <v>1191</v>
      </c>
      <c r="E476" s="53"/>
      <c r="F476" s="53"/>
      <c r="G476" s="53"/>
      <c r="H476" s="53"/>
      <c r="I476" s="53"/>
      <c r="J476" s="53"/>
      <c r="K476" s="20" t="n">
        <f aca="false">IFERROR(MIN(E476:J476),"")</f>
        <v>0</v>
      </c>
      <c r="L476" s="53" t="str">
        <f aca="false">IF(COUNT(E476:J476)&lt;2,"-",IF(LOOKUP(2,1/(E476:J476&lt;&gt;""),E476:J476)&lt;INDEX(E476:J476,MATCH(TRUE(),E476:J476&lt;&gt;"",0)),"↑",IF(LOOKUP(2,1/(E476:J476&lt;&gt;""),E476:J476)&gt;INDEX(E476:J476,MATCH(TRUE(),E476:J476&lt;&gt;"",0)),"↓","→")))</f>
        <v>-</v>
      </c>
    </row>
    <row r="477" customFormat="false" ht="25.5" hidden="false" customHeight="true" outlineLevel="0" collapsed="false">
      <c r="A477" s="53" t="n">
        <v>476</v>
      </c>
      <c r="B477" s="53" t="n">
        <v>4</v>
      </c>
      <c r="C477" s="21" t="s">
        <v>1192</v>
      </c>
      <c r="D477" s="21" t="s">
        <v>1193</v>
      </c>
      <c r="E477" s="53"/>
      <c r="F477" s="53"/>
      <c r="G477" s="53"/>
      <c r="H477" s="53"/>
      <c r="I477" s="53"/>
      <c r="J477" s="53"/>
      <c r="K477" s="20" t="n">
        <f aca="false">IFERROR(MIN(E477:J477),"")</f>
        <v>0</v>
      </c>
      <c r="L477" s="53" t="str">
        <f aca="false">IF(COUNT(E477:J477)&lt;2,"-",IF(LOOKUP(2,1/(E477:J477&lt;&gt;""),E477:J477)&lt;INDEX(E477:J477,MATCH(TRUE(),E477:J477&lt;&gt;"",0)),"↑",IF(LOOKUP(2,1/(E477:J477&lt;&gt;""),E477:J477)&gt;INDEX(E477:J477,MATCH(TRUE(),E477:J477&lt;&gt;"",0)),"↓","→")))</f>
        <v>-</v>
      </c>
    </row>
    <row r="478" customFormat="false" ht="25.5" hidden="false" customHeight="true" outlineLevel="0" collapsed="false">
      <c r="A478" s="53" t="n">
        <v>477</v>
      </c>
      <c r="B478" s="53" t="n">
        <v>4</v>
      </c>
      <c r="C478" s="19" t="s">
        <v>1194</v>
      </c>
      <c r="D478" s="19" t="s">
        <v>1195</v>
      </c>
      <c r="E478" s="53"/>
      <c r="F478" s="53"/>
      <c r="G478" s="53"/>
      <c r="H478" s="53"/>
      <c r="I478" s="53"/>
      <c r="J478" s="53"/>
      <c r="K478" s="20" t="n">
        <f aca="false">IFERROR(MIN(E478:J478),"")</f>
        <v>0</v>
      </c>
      <c r="L478" s="53" t="str">
        <f aca="false">IF(COUNT(E478:J478)&lt;2,"-",IF(LOOKUP(2,1/(E478:J478&lt;&gt;""),E478:J478)&lt;INDEX(E478:J478,MATCH(TRUE(),E478:J478&lt;&gt;"",0)),"↑",IF(LOOKUP(2,1/(E478:J478&lt;&gt;""),E478:J478)&gt;INDEX(E478:J478,MATCH(TRUE(),E478:J478&lt;&gt;"",0)),"↓","→")))</f>
        <v>-</v>
      </c>
    </row>
    <row r="479" customFormat="false" ht="25.5" hidden="false" customHeight="true" outlineLevel="0" collapsed="false">
      <c r="A479" s="53" t="n">
        <v>478</v>
      </c>
      <c r="B479" s="53" t="n">
        <v>4</v>
      </c>
      <c r="C479" s="21" t="s">
        <v>1196</v>
      </c>
      <c r="D479" s="21" t="s">
        <v>1197</v>
      </c>
      <c r="E479" s="53"/>
      <c r="F479" s="53"/>
      <c r="G479" s="53"/>
      <c r="H479" s="53"/>
      <c r="I479" s="53"/>
      <c r="J479" s="53"/>
      <c r="K479" s="20" t="n">
        <f aca="false">IFERROR(MIN(E479:J479),"")</f>
        <v>0</v>
      </c>
      <c r="L479" s="53" t="str">
        <f aca="false">IF(COUNT(E479:J479)&lt;2,"-",IF(LOOKUP(2,1/(E479:J479&lt;&gt;""),E479:J479)&lt;INDEX(E479:J479,MATCH(TRUE(),E479:J479&lt;&gt;"",0)),"↑",IF(LOOKUP(2,1/(E479:J479&lt;&gt;""),E479:J479)&gt;INDEX(E479:J479,MATCH(TRUE(),E479:J479&lt;&gt;"",0)),"↓","→")))</f>
        <v>-</v>
      </c>
    </row>
    <row r="480" customFormat="false" ht="25.5" hidden="false" customHeight="true" outlineLevel="0" collapsed="false">
      <c r="A480" s="53" t="n">
        <v>479</v>
      </c>
      <c r="B480" s="53" t="n">
        <v>4</v>
      </c>
      <c r="C480" s="19" t="s">
        <v>1198</v>
      </c>
      <c r="D480" s="19" t="s">
        <v>1199</v>
      </c>
      <c r="E480" s="53"/>
      <c r="F480" s="53"/>
      <c r="G480" s="53"/>
      <c r="H480" s="53"/>
      <c r="I480" s="53"/>
      <c r="J480" s="53"/>
      <c r="K480" s="20" t="n">
        <f aca="false">IFERROR(MIN(E480:J480),"")</f>
        <v>0</v>
      </c>
      <c r="L480" s="53" t="str">
        <f aca="false">IF(COUNT(E480:J480)&lt;2,"-",IF(LOOKUP(2,1/(E480:J480&lt;&gt;""),E480:J480)&lt;INDEX(E480:J480,MATCH(TRUE(),E480:J480&lt;&gt;"",0)),"↑",IF(LOOKUP(2,1/(E480:J480&lt;&gt;""),E480:J480)&gt;INDEX(E480:J480,MATCH(TRUE(),E480:J480&lt;&gt;"",0)),"↓","→")))</f>
        <v>-</v>
      </c>
    </row>
    <row r="481" customFormat="false" ht="25.5" hidden="false" customHeight="true" outlineLevel="0" collapsed="false">
      <c r="A481" s="53" t="n">
        <v>480</v>
      </c>
      <c r="B481" s="53" t="n">
        <v>4</v>
      </c>
      <c r="C481" s="21" t="s">
        <v>1200</v>
      </c>
      <c r="D481" s="21" t="s">
        <v>1201</v>
      </c>
      <c r="E481" s="53"/>
      <c r="F481" s="53"/>
      <c r="G481" s="53"/>
      <c r="H481" s="53"/>
      <c r="I481" s="53"/>
      <c r="J481" s="53"/>
      <c r="K481" s="20" t="n">
        <f aca="false">IFERROR(MIN(E481:J481),"")</f>
        <v>0</v>
      </c>
      <c r="L481" s="53" t="str">
        <f aca="false">IF(COUNT(E481:J481)&lt;2,"-",IF(LOOKUP(2,1/(E481:J481&lt;&gt;""),E481:J481)&lt;INDEX(E481:J481,MATCH(TRUE(),E481:J481&lt;&gt;"",0)),"↑",IF(LOOKUP(2,1/(E481:J481&lt;&gt;""),E481:J481)&gt;INDEX(E481:J481,MATCH(TRUE(),E481:J481&lt;&gt;"",0)),"↓","→")))</f>
        <v>-</v>
      </c>
    </row>
    <row r="482" customFormat="false" ht="25.5" hidden="false" customHeight="true" outlineLevel="0" collapsed="false">
      <c r="A482" s="53" t="n">
        <v>481</v>
      </c>
      <c r="B482" s="53" t="n">
        <v>4</v>
      </c>
      <c r="C482" s="19" t="s">
        <v>1202</v>
      </c>
      <c r="D482" s="19" t="s">
        <v>1203</v>
      </c>
      <c r="E482" s="53"/>
      <c r="F482" s="53"/>
      <c r="G482" s="53"/>
      <c r="H482" s="53"/>
      <c r="I482" s="53"/>
      <c r="J482" s="53"/>
      <c r="K482" s="20" t="n">
        <f aca="false">IFERROR(MIN(E482:J482),"")</f>
        <v>0</v>
      </c>
      <c r="L482" s="53" t="str">
        <f aca="false">IF(COUNT(E482:J482)&lt;2,"-",IF(LOOKUP(2,1/(E482:J482&lt;&gt;""),E482:J482)&lt;INDEX(E482:J482,MATCH(TRUE(),E482:J482&lt;&gt;"",0)),"↑",IF(LOOKUP(2,1/(E482:J482&lt;&gt;""),E482:J482)&gt;INDEX(E482:J482,MATCH(TRUE(),E482:J482&lt;&gt;"",0)),"↓","→")))</f>
        <v>-</v>
      </c>
    </row>
    <row r="483" customFormat="false" ht="25.5" hidden="false" customHeight="true" outlineLevel="0" collapsed="false">
      <c r="A483" s="53" t="n">
        <v>482</v>
      </c>
      <c r="B483" s="53" t="n">
        <v>4</v>
      </c>
      <c r="C483" s="21" t="s">
        <v>1204</v>
      </c>
      <c r="D483" s="21" t="s">
        <v>1205</v>
      </c>
      <c r="E483" s="53"/>
      <c r="F483" s="53"/>
      <c r="G483" s="53"/>
      <c r="H483" s="53"/>
      <c r="I483" s="53"/>
      <c r="J483" s="53"/>
      <c r="K483" s="20" t="n">
        <f aca="false">IFERROR(MIN(E483:J483),"")</f>
        <v>0</v>
      </c>
      <c r="L483" s="53" t="str">
        <f aca="false">IF(COUNT(E483:J483)&lt;2,"-",IF(LOOKUP(2,1/(E483:J483&lt;&gt;""),E483:J483)&lt;INDEX(E483:J483,MATCH(TRUE(),E483:J483&lt;&gt;"",0)),"↑",IF(LOOKUP(2,1/(E483:J483&lt;&gt;""),E483:J483)&gt;INDEX(E483:J483,MATCH(TRUE(),E483:J483&lt;&gt;"",0)),"↓","→")))</f>
        <v>-</v>
      </c>
    </row>
    <row r="484" customFormat="false" ht="25.5" hidden="false" customHeight="true" outlineLevel="0" collapsed="false">
      <c r="A484" s="53" t="n">
        <v>483</v>
      </c>
      <c r="B484" s="53" t="n">
        <v>4</v>
      </c>
      <c r="C484" s="19" t="s">
        <v>1206</v>
      </c>
      <c r="D484" s="19" t="s">
        <v>1207</v>
      </c>
      <c r="E484" s="53"/>
      <c r="F484" s="53"/>
      <c r="G484" s="53"/>
      <c r="H484" s="53"/>
      <c r="I484" s="53"/>
      <c r="J484" s="53"/>
      <c r="K484" s="20" t="n">
        <f aca="false">IFERROR(MIN(E484:J484),"")</f>
        <v>0</v>
      </c>
      <c r="L484" s="53" t="str">
        <f aca="false">IF(COUNT(E484:J484)&lt;2,"-",IF(LOOKUP(2,1/(E484:J484&lt;&gt;""),E484:J484)&lt;INDEX(E484:J484,MATCH(TRUE(),E484:J484&lt;&gt;"",0)),"↑",IF(LOOKUP(2,1/(E484:J484&lt;&gt;""),E484:J484)&gt;INDEX(E484:J484,MATCH(TRUE(),E484:J484&lt;&gt;"",0)),"↓","→")))</f>
        <v>-</v>
      </c>
    </row>
    <row r="485" customFormat="false" ht="25.5" hidden="false" customHeight="true" outlineLevel="0" collapsed="false">
      <c r="A485" s="53" t="n">
        <v>484</v>
      </c>
      <c r="B485" s="53" t="n">
        <v>4</v>
      </c>
      <c r="C485" s="21" t="s">
        <v>1208</v>
      </c>
      <c r="D485" s="21" t="s">
        <v>1209</v>
      </c>
      <c r="E485" s="53"/>
      <c r="F485" s="53"/>
      <c r="G485" s="53"/>
      <c r="H485" s="53"/>
      <c r="I485" s="53"/>
      <c r="J485" s="53"/>
      <c r="K485" s="20" t="n">
        <f aca="false">IFERROR(MIN(E485:J485),"")</f>
        <v>0</v>
      </c>
      <c r="L485" s="53" t="str">
        <f aca="false">IF(COUNT(E485:J485)&lt;2,"-",IF(LOOKUP(2,1/(E485:J485&lt;&gt;""),E485:J485)&lt;INDEX(E485:J485,MATCH(TRUE(),E485:J485&lt;&gt;"",0)),"↑",IF(LOOKUP(2,1/(E485:J485&lt;&gt;""),E485:J485)&gt;INDEX(E485:J485,MATCH(TRUE(),E485:J485&lt;&gt;"",0)),"↓","→")))</f>
        <v>-</v>
      </c>
    </row>
    <row r="486" customFormat="false" ht="25.5" hidden="false" customHeight="true" outlineLevel="0" collapsed="false">
      <c r="A486" s="53" t="n">
        <v>485</v>
      </c>
      <c r="B486" s="53" t="n">
        <v>4</v>
      </c>
      <c r="C486" s="19" t="s">
        <v>1210</v>
      </c>
      <c r="D486" s="19" t="s">
        <v>1211</v>
      </c>
      <c r="E486" s="53"/>
      <c r="F486" s="53"/>
      <c r="G486" s="53"/>
      <c r="H486" s="53"/>
      <c r="I486" s="53"/>
      <c r="J486" s="53"/>
      <c r="K486" s="20" t="n">
        <f aca="false">IFERROR(MIN(E486:J486),"")</f>
        <v>0</v>
      </c>
      <c r="L486" s="53" t="str">
        <f aca="false">IF(COUNT(E486:J486)&lt;2,"-",IF(LOOKUP(2,1/(E486:J486&lt;&gt;""),E486:J486)&lt;INDEX(E486:J486,MATCH(TRUE(),E486:J486&lt;&gt;"",0)),"↑",IF(LOOKUP(2,1/(E486:J486&lt;&gt;""),E486:J486)&gt;INDEX(E486:J486,MATCH(TRUE(),E486:J486&lt;&gt;"",0)),"↓","→")))</f>
        <v>-</v>
      </c>
    </row>
    <row r="487" customFormat="false" ht="25.5" hidden="false" customHeight="true" outlineLevel="0" collapsed="false">
      <c r="A487" s="53" t="n">
        <v>486</v>
      </c>
      <c r="B487" s="53" t="n">
        <v>4</v>
      </c>
      <c r="C487" s="21" t="s">
        <v>1212</v>
      </c>
      <c r="D487" s="21" t="s">
        <v>1213</v>
      </c>
      <c r="E487" s="53"/>
      <c r="F487" s="53"/>
      <c r="G487" s="53"/>
      <c r="H487" s="53"/>
      <c r="I487" s="53"/>
      <c r="J487" s="53"/>
      <c r="K487" s="20" t="n">
        <f aca="false">IFERROR(MIN(E487:J487),"")</f>
        <v>0</v>
      </c>
      <c r="L487" s="53" t="str">
        <f aca="false">IF(COUNT(E487:J487)&lt;2,"-",IF(LOOKUP(2,1/(E487:J487&lt;&gt;""),E487:J487)&lt;INDEX(E487:J487,MATCH(TRUE(),E487:J487&lt;&gt;"",0)),"↑",IF(LOOKUP(2,1/(E487:J487&lt;&gt;""),E487:J487)&gt;INDEX(E487:J487,MATCH(TRUE(),E487:J487&lt;&gt;"",0)),"↓","→")))</f>
        <v>-</v>
      </c>
    </row>
    <row r="488" customFormat="false" ht="25.5" hidden="false" customHeight="true" outlineLevel="0" collapsed="false">
      <c r="A488" s="53" t="n">
        <v>487</v>
      </c>
      <c r="B488" s="53" t="n">
        <v>4</v>
      </c>
      <c r="C488" s="19" t="s">
        <v>1214</v>
      </c>
      <c r="D488" s="19" t="s">
        <v>1215</v>
      </c>
      <c r="E488" s="53"/>
      <c r="F488" s="53"/>
      <c r="G488" s="53"/>
      <c r="H488" s="53"/>
      <c r="I488" s="53"/>
      <c r="J488" s="53"/>
      <c r="K488" s="20" t="n">
        <f aca="false">IFERROR(MIN(E488:J488),"")</f>
        <v>0</v>
      </c>
      <c r="L488" s="53" t="str">
        <f aca="false">IF(COUNT(E488:J488)&lt;2,"-",IF(LOOKUP(2,1/(E488:J488&lt;&gt;""),E488:J488)&lt;INDEX(E488:J488,MATCH(TRUE(),E488:J488&lt;&gt;"",0)),"↑",IF(LOOKUP(2,1/(E488:J488&lt;&gt;""),E488:J488)&gt;INDEX(E488:J488,MATCH(TRUE(),E488:J488&lt;&gt;"",0)),"↓","→")))</f>
        <v>-</v>
      </c>
    </row>
    <row r="489" customFormat="false" ht="25.5" hidden="false" customHeight="true" outlineLevel="0" collapsed="false">
      <c r="A489" s="53" t="n">
        <v>488</v>
      </c>
      <c r="B489" s="53" t="n">
        <v>4</v>
      </c>
      <c r="C489" s="21" t="s">
        <v>1216</v>
      </c>
      <c r="D489" s="21" t="s">
        <v>1217</v>
      </c>
      <c r="E489" s="53"/>
      <c r="F489" s="53"/>
      <c r="G489" s="53"/>
      <c r="H489" s="53"/>
      <c r="I489" s="53"/>
      <c r="J489" s="53"/>
      <c r="K489" s="20" t="n">
        <f aca="false">IFERROR(MIN(E489:J489),"")</f>
        <v>0</v>
      </c>
      <c r="L489" s="53" t="str">
        <f aca="false">IF(COUNT(E489:J489)&lt;2,"-",IF(LOOKUP(2,1/(E489:J489&lt;&gt;""),E489:J489)&lt;INDEX(E489:J489,MATCH(TRUE(),E489:J489&lt;&gt;"",0)),"↑",IF(LOOKUP(2,1/(E489:J489&lt;&gt;""),E489:J489)&gt;INDEX(E489:J489,MATCH(TRUE(),E489:J489&lt;&gt;"",0)),"↓","→")))</f>
        <v>-</v>
      </c>
    </row>
    <row r="490" customFormat="false" ht="25.5" hidden="false" customHeight="true" outlineLevel="0" collapsed="false">
      <c r="A490" s="53" t="n">
        <v>489</v>
      </c>
      <c r="B490" s="53" t="n">
        <v>4</v>
      </c>
      <c r="C490" s="19" t="s">
        <v>1218</v>
      </c>
      <c r="D490" s="19" t="s">
        <v>1219</v>
      </c>
      <c r="E490" s="53"/>
      <c r="F490" s="53"/>
      <c r="G490" s="53"/>
      <c r="H490" s="53"/>
      <c r="I490" s="53"/>
      <c r="J490" s="53"/>
      <c r="K490" s="20" t="n">
        <f aca="false">IFERROR(MIN(E490:J490),"")</f>
        <v>0</v>
      </c>
      <c r="L490" s="53" t="str">
        <f aca="false">IF(COUNT(E490:J490)&lt;2,"-",IF(LOOKUP(2,1/(E490:J490&lt;&gt;""),E490:J490)&lt;INDEX(E490:J490,MATCH(TRUE(),E490:J490&lt;&gt;"",0)),"↑",IF(LOOKUP(2,1/(E490:J490&lt;&gt;""),E490:J490)&gt;INDEX(E490:J490,MATCH(TRUE(),E490:J490&lt;&gt;"",0)),"↓","→")))</f>
        <v>-</v>
      </c>
    </row>
    <row r="491" customFormat="false" ht="25.5" hidden="false" customHeight="true" outlineLevel="0" collapsed="false">
      <c r="A491" s="53" t="n">
        <v>490</v>
      </c>
      <c r="B491" s="53" t="n">
        <v>4</v>
      </c>
      <c r="C491" s="21" t="s">
        <v>1220</v>
      </c>
      <c r="D491" s="21" t="s">
        <v>1221</v>
      </c>
      <c r="E491" s="53"/>
      <c r="F491" s="53"/>
      <c r="G491" s="53"/>
      <c r="H491" s="53"/>
      <c r="I491" s="53"/>
      <c r="J491" s="53"/>
      <c r="K491" s="20" t="n">
        <f aca="false">IFERROR(MIN(E491:J491),"")</f>
        <v>0</v>
      </c>
      <c r="L491" s="53" t="str">
        <f aca="false">IF(COUNT(E491:J491)&lt;2,"-",IF(LOOKUP(2,1/(E491:J491&lt;&gt;""),E491:J491)&lt;INDEX(E491:J491,MATCH(TRUE(),E491:J491&lt;&gt;"",0)),"↑",IF(LOOKUP(2,1/(E491:J491&lt;&gt;""),E491:J491)&gt;INDEX(E491:J491,MATCH(TRUE(),E491:J491&lt;&gt;"",0)),"↓","→")))</f>
        <v>-</v>
      </c>
    </row>
    <row r="492" customFormat="false" ht="25.5" hidden="false" customHeight="true" outlineLevel="0" collapsed="false">
      <c r="A492" s="53" t="n">
        <v>491</v>
      </c>
      <c r="B492" s="53" t="n">
        <v>4</v>
      </c>
      <c r="C492" s="19" t="s">
        <v>1222</v>
      </c>
      <c r="D492" s="19" t="s">
        <v>1223</v>
      </c>
      <c r="E492" s="53"/>
      <c r="F492" s="53"/>
      <c r="G492" s="53"/>
      <c r="H492" s="53"/>
      <c r="I492" s="53"/>
      <c r="J492" s="53"/>
      <c r="K492" s="20" t="n">
        <f aca="false">IFERROR(MIN(E492:J492),"")</f>
        <v>0</v>
      </c>
      <c r="L492" s="53" t="str">
        <f aca="false">IF(COUNT(E492:J492)&lt;2,"-",IF(LOOKUP(2,1/(E492:J492&lt;&gt;""),E492:J492)&lt;INDEX(E492:J492,MATCH(TRUE(),E492:J492&lt;&gt;"",0)),"↑",IF(LOOKUP(2,1/(E492:J492&lt;&gt;""),E492:J492)&gt;INDEX(E492:J492,MATCH(TRUE(),E492:J492&lt;&gt;"",0)),"↓","→")))</f>
        <v>-</v>
      </c>
    </row>
    <row r="493" customFormat="false" ht="25.5" hidden="false" customHeight="true" outlineLevel="0" collapsed="false">
      <c r="A493" s="53" t="n">
        <v>492</v>
      </c>
      <c r="B493" s="53" t="n">
        <v>4</v>
      </c>
      <c r="C493" s="21" t="s">
        <v>1224</v>
      </c>
      <c r="D493" s="21" t="s">
        <v>1225</v>
      </c>
      <c r="E493" s="53"/>
      <c r="F493" s="53"/>
      <c r="G493" s="53"/>
      <c r="H493" s="53"/>
      <c r="I493" s="53"/>
      <c r="J493" s="53"/>
      <c r="K493" s="20" t="n">
        <f aca="false">IFERROR(MIN(E493:J493),"")</f>
        <v>0</v>
      </c>
      <c r="L493" s="53" t="str">
        <f aca="false">IF(COUNT(E493:J493)&lt;2,"-",IF(LOOKUP(2,1/(E493:J493&lt;&gt;""),E493:J493)&lt;INDEX(E493:J493,MATCH(TRUE(),E493:J493&lt;&gt;"",0)),"↑",IF(LOOKUP(2,1/(E493:J493&lt;&gt;""),E493:J493)&gt;INDEX(E493:J493,MATCH(TRUE(),E493:J493&lt;&gt;"",0)),"↓","→")))</f>
        <v>-</v>
      </c>
    </row>
    <row r="494" customFormat="false" ht="25.5" hidden="false" customHeight="true" outlineLevel="0" collapsed="false">
      <c r="A494" s="53" t="n">
        <v>493</v>
      </c>
      <c r="B494" s="53" t="n">
        <v>4</v>
      </c>
      <c r="C494" s="19" t="s">
        <v>1226</v>
      </c>
      <c r="D494" s="19" t="s">
        <v>1227</v>
      </c>
      <c r="E494" s="53"/>
      <c r="F494" s="53"/>
      <c r="G494" s="53"/>
      <c r="H494" s="53"/>
      <c r="I494" s="53"/>
      <c r="J494" s="53"/>
      <c r="K494" s="20" t="n">
        <f aca="false">IFERROR(MIN(E494:J494),"")</f>
        <v>0</v>
      </c>
      <c r="L494" s="53" t="str">
        <f aca="false">IF(COUNT(E494:J494)&lt;2,"-",IF(LOOKUP(2,1/(E494:J494&lt;&gt;""),E494:J494)&lt;INDEX(E494:J494,MATCH(TRUE(),E494:J494&lt;&gt;"",0)),"↑",IF(LOOKUP(2,1/(E494:J494&lt;&gt;""),E494:J494)&gt;INDEX(E494:J494,MATCH(TRUE(),E494:J494&lt;&gt;"",0)),"↓","→")))</f>
        <v>-</v>
      </c>
    </row>
    <row r="495" customFormat="false" ht="25.5" hidden="false" customHeight="true" outlineLevel="0" collapsed="false">
      <c r="A495" s="53" t="n">
        <v>494</v>
      </c>
      <c r="B495" s="53" t="n">
        <v>4</v>
      </c>
      <c r="C495" s="21" t="s">
        <v>1228</v>
      </c>
      <c r="D495" s="21" t="s">
        <v>1229</v>
      </c>
      <c r="E495" s="53"/>
      <c r="F495" s="53"/>
      <c r="G495" s="53"/>
      <c r="H495" s="53"/>
      <c r="I495" s="53"/>
      <c r="J495" s="53"/>
      <c r="K495" s="20" t="n">
        <f aca="false">IFERROR(MIN(E495:J495),"")</f>
        <v>0</v>
      </c>
      <c r="L495" s="53" t="str">
        <f aca="false">IF(COUNT(E495:J495)&lt;2,"-",IF(LOOKUP(2,1/(E495:J495&lt;&gt;""),E495:J495)&lt;INDEX(E495:J495,MATCH(TRUE(),E495:J495&lt;&gt;"",0)),"↑",IF(LOOKUP(2,1/(E495:J495&lt;&gt;""),E495:J495)&gt;INDEX(E495:J495,MATCH(TRUE(),E495:J495&lt;&gt;"",0)),"↓","→")))</f>
        <v>-</v>
      </c>
    </row>
    <row r="496" customFormat="false" ht="25.5" hidden="false" customHeight="true" outlineLevel="0" collapsed="false">
      <c r="A496" s="53" t="n">
        <v>495</v>
      </c>
      <c r="B496" s="53" t="n">
        <v>4</v>
      </c>
      <c r="C496" s="19" t="s">
        <v>1230</v>
      </c>
      <c r="D496" s="19" t="s">
        <v>1231</v>
      </c>
      <c r="E496" s="53"/>
      <c r="F496" s="53"/>
      <c r="G496" s="53"/>
      <c r="H496" s="53"/>
      <c r="I496" s="53"/>
      <c r="J496" s="53"/>
      <c r="K496" s="20" t="n">
        <f aca="false">IFERROR(MIN(E496:J496),"")</f>
        <v>0</v>
      </c>
      <c r="L496" s="53" t="str">
        <f aca="false">IF(COUNT(E496:J496)&lt;2,"-",IF(LOOKUP(2,1/(E496:J496&lt;&gt;""),E496:J496)&lt;INDEX(E496:J496,MATCH(TRUE(),E496:J496&lt;&gt;"",0)),"↑",IF(LOOKUP(2,1/(E496:J496&lt;&gt;""),E496:J496)&gt;INDEX(E496:J496,MATCH(TRUE(),E496:J496&lt;&gt;"",0)),"↓","→")))</f>
        <v>-</v>
      </c>
    </row>
    <row r="497" customFormat="false" ht="25.5" hidden="false" customHeight="true" outlineLevel="0" collapsed="false">
      <c r="A497" s="53" t="n">
        <v>496</v>
      </c>
      <c r="B497" s="53" t="n">
        <v>4</v>
      </c>
      <c r="C497" s="21" t="s">
        <v>1232</v>
      </c>
      <c r="D497" s="21" t="s">
        <v>1233</v>
      </c>
      <c r="E497" s="53"/>
      <c r="F497" s="53"/>
      <c r="G497" s="53"/>
      <c r="H497" s="53"/>
      <c r="I497" s="53"/>
      <c r="J497" s="53"/>
      <c r="K497" s="20" t="n">
        <f aca="false">IFERROR(MIN(E497:J497),"")</f>
        <v>0</v>
      </c>
      <c r="L497" s="53" t="str">
        <f aca="false">IF(COUNT(E497:J497)&lt;2,"-",IF(LOOKUP(2,1/(E497:J497&lt;&gt;""),E497:J497)&lt;INDEX(E497:J497,MATCH(TRUE(),E497:J497&lt;&gt;"",0)),"↑",IF(LOOKUP(2,1/(E497:J497&lt;&gt;""),E497:J497)&gt;INDEX(E497:J497,MATCH(TRUE(),E497:J497&lt;&gt;"",0)),"↓","→")))</f>
        <v>-</v>
      </c>
    </row>
    <row r="498" customFormat="false" ht="25.5" hidden="false" customHeight="true" outlineLevel="0" collapsed="false">
      <c r="A498" s="53" t="n">
        <v>497</v>
      </c>
      <c r="B498" s="53" t="n">
        <v>4</v>
      </c>
      <c r="C498" s="19" t="s">
        <v>1234</v>
      </c>
      <c r="D498" s="19" t="s">
        <v>1235</v>
      </c>
      <c r="E498" s="53"/>
      <c r="F498" s="53"/>
      <c r="G498" s="53"/>
      <c r="H498" s="53"/>
      <c r="I498" s="53"/>
      <c r="J498" s="53"/>
      <c r="K498" s="20" t="n">
        <f aca="false">IFERROR(MIN(E498:J498),"")</f>
        <v>0</v>
      </c>
      <c r="L498" s="53" t="str">
        <f aca="false">IF(COUNT(E498:J498)&lt;2,"-",IF(LOOKUP(2,1/(E498:J498&lt;&gt;""),E498:J498)&lt;INDEX(E498:J498,MATCH(TRUE(),E498:J498&lt;&gt;"",0)),"↑",IF(LOOKUP(2,1/(E498:J498&lt;&gt;""),E498:J498)&gt;INDEX(E498:J498,MATCH(TRUE(),E498:J498&lt;&gt;"",0)),"↓","→")))</f>
        <v>-</v>
      </c>
    </row>
    <row r="499" customFormat="false" ht="25.5" hidden="false" customHeight="true" outlineLevel="0" collapsed="false">
      <c r="A499" s="53" t="n">
        <v>498</v>
      </c>
      <c r="B499" s="53" t="n">
        <v>4</v>
      </c>
      <c r="C499" s="21" t="s">
        <v>1236</v>
      </c>
      <c r="D499" s="21" t="s">
        <v>1237</v>
      </c>
      <c r="E499" s="53"/>
      <c r="F499" s="53"/>
      <c r="G499" s="53"/>
      <c r="H499" s="53"/>
      <c r="I499" s="53"/>
      <c r="J499" s="53"/>
      <c r="K499" s="20" t="n">
        <f aca="false">IFERROR(MIN(E499:J499),"")</f>
        <v>0</v>
      </c>
      <c r="L499" s="53" t="str">
        <f aca="false">IF(COUNT(E499:J499)&lt;2,"-",IF(LOOKUP(2,1/(E499:J499&lt;&gt;""),E499:J499)&lt;INDEX(E499:J499,MATCH(TRUE(),E499:J499&lt;&gt;"",0)),"↑",IF(LOOKUP(2,1/(E499:J499&lt;&gt;""),E499:J499)&gt;INDEX(E499:J499,MATCH(TRUE(),E499:J499&lt;&gt;"",0)),"↓","→")))</f>
        <v>-</v>
      </c>
    </row>
    <row r="500" customFormat="false" ht="25.5" hidden="false" customHeight="true" outlineLevel="0" collapsed="false">
      <c r="A500" s="53" t="n">
        <v>499</v>
      </c>
      <c r="B500" s="53" t="n">
        <v>4</v>
      </c>
      <c r="C500" s="19" t="s">
        <v>1238</v>
      </c>
      <c r="D500" s="19" t="s">
        <v>1239</v>
      </c>
      <c r="E500" s="53"/>
      <c r="F500" s="53"/>
      <c r="G500" s="53"/>
      <c r="H500" s="53"/>
      <c r="I500" s="53"/>
      <c r="J500" s="53"/>
      <c r="K500" s="20" t="n">
        <f aca="false">IFERROR(MIN(E500:J500),"")</f>
        <v>0</v>
      </c>
      <c r="L500" s="53" t="str">
        <f aca="false">IF(COUNT(E500:J500)&lt;2,"-",IF(LOOKUP(2,1/(E500:J500&lt;&gt;""),E500:J500)&lt;INDEX(E500:J500,MATCH(TRUE(),E500:J500&lt;&gt;"",0)),"↑",IF(LOOKUP(2,1/(E500:J500&lt;&gt;""),E500:J500)&gt;INDEX(E500:J500,MATCH(TRUE(),E500:J500&lt;&gt;"",0)),"↓","→")))</f>
        <v>-</v>
      </c>
    </row>
    <row r="501" customFormat="false" ht="25.5" hidden="false" customHeight="true" outlineLevel="0" collapsed="false">
      <c r="A501" s="53" t="n">
        <v>500</v>
      </c>
      <c r="B501" s="53" t="n">
        <v>4</v>
      </c>
      <c r="C501" s="21" t="s">
        <v>1240</v>
      </c>
      <c r="D501" s="21" t="s">
        <v>1241</v>
      </c>
      <c r="E501" s="53"/>
      <c r="F501" s="53"/>
      <c r="G501" s="53"/>
      <c r="H501" s="53"/>
      <c r="I501" s="53"/>
      <c r="J501" s="53"/>
      <c r="K501" s="20" t="n">
        <f aca="false">IFERROR(MIN(E501:J501),"")</f>
        <v>0</v>
      </c>
      <c r="L501" s="53" t="str">
        <f aca="false">IF(COUNT(E501:J501)&lt;2,"-",IF(LOOKUP(2,1/(E501:J501&lt;&gt;""),E501:J501)&lt;INDEX(E501:J501,MATCH(TRUE(),E501:J501&lt;&gt;"",0)),"↑",IF(LOOKUP(2,1/(E501:J501&lt;&gt;""),E501:J501)&gt;INDEX(E501:J501,MATCH(TRUE(),E501:J501&lt;&gt;"",0)),"↓","→")))</f>
        <v>-</v>
      </c>
    </row>
    <row r="502" customFormat="false" ht="25.5" hidden="false" customHeight="true" outlineLevel="0" collapsed="false">
      <c r="A502" s="53" t="n">
        <v>501</v>
      </c>
      <c r="B502" s="53" t="n">
        <v>4</v>
      </c>
      <c r="C502" s="19" t="s">
        <v>1242</v>
      </c>
      <c r="D502" s="19" t="s">
        <v>1243</v>
      </c>
      <c r="E502" s="53"/>
      <c r="F502" s="53"/>
      <c r="G502" s="53"/>
      <c r="H502" s="53"/>
      <c r="I502" s="53"/>
      <c r="J502" s="53"/>
      <c r="K502" s="20" t="n">
        <f aca="false">IFERROR(MIN(E502:J502),"")</f>
        <v>0</v>
      </c>
      <c r="L502" s="53" t="str">
        <f aca="false">IF(COUNT(E502:J502)&lt;2,"-",IF(LOOKUP(2,1/(E502:J502&lt;&gt;""),E502:J502)&lt;INDEX(E502:J502,MATCH(TRUE(),E502:J502&lt;&gt;"",0)),"↑",IF(LOOKUP(2,1/(E502:J502&lt;&gt;""),E502:J502)&gt;INDEX(E502:J502,MATCH(TRUE(),E502:J502&lt;&gt;"",0)),"↓","→")))</f>
        <v>-</v>
      </c>
    </row>
    <row r="503" customFormat="false" ht="25.5" hidden="false" customHeight="true" outlineLevel="0" collapsed="false">
      <c r="A503" s="53" t="n">
        <v>502</v>
      </c>
      <c r="B503" s="53" t="n">
        <v>4</v>
      </c>
      <c r="C503" s="21" t="s">
        <v>1244</v>
      </c>
      <c r="D503" s="21" t="s">
        <v>1245</v>
      </c>
      <c r="E503" s="53"/>
      <c r="F503" s="53"/>
      <c r="G503" s="53"/>
      <c r="H503" s="53"/>
      <c r="I503" s="53"/>
      <c r="J503" s="53"/>
      <c r="K503" s="20" t="n">
        <f aca="false">IFERROR(MIN(E503:J503),"")</f>
        <v>0</v>
      </c>
      <c r="L503" s="53" t="str">
        <f aca="false">IF(COUNT(E503:J503)&lt;2,"-",IF(LOOKUP(2,1/(E503:J503&lt;&gt;""),E503:J503)&lt;INDEX(E503:J503,MATCH(TRUE(),E503:J503&lt;&gt;"",0)),"↑",IF(LOOKUP(2,1/(E503:J503&lt;&gt;""),E503:J503)&gt;INDEX(E503:J503,MATCH(TRUE(),E503:J503&lt;&gt;"",0)),"↓","→")))</f>
        <v>-</v>
      </c>
    </row>
    <row r="504" customFormat="false" ht="25.5" hidden="false" customHeight="true" outlineLevel="0" collapsed="false">
      <c r="A504" s="53" t="n">
        <v>503</v>
      </c>
      <c r="B504" s="53" t="n">
        <v>4</v>
      </c>
      <c r="C504" s="19" t="s">
        <v>1246</v>
      </c>
      <c r="D504" s="19" t="s">
        <v>1247</v>
      </c>
      <c r="E504" s="53"/>
      <c r="F504" s="53"/>
      <c r="G504" s="53"/>
      <c r="H504" s="53"/>
      <c r="I504" s="53"/>
      <c r="J504" s="53"/>
      <c r="K504" s="20" t="n">
        <f aca="false">IFERROR(MIN(E504:J504),"")</f>
        <v>0</v>
      </c>
      <c r="L504" s="53" t="str">
        <f aca="false">IF(COUNT(E504:J504)&lt;2,"-",IF(LOOKUP(2,1/(E504:J504&lt;&gt;""),E504:J504)&lt;INDEX(E504:J504,MATCH(TRUE(),E504:J504&lt;&gt;"",0)),"↑",IF(LOOKUP(2,1/(E504:J504&lt;&gt;""),E504:J504)&gt;INDEX(E504:J504,MATCH(TRUE(),E504:J504&lt;&gt;"",0)),"↓","→")))</f>
        <v>-</v>
      </c>
    </row>
    <row r="505" customFormat="false" ht="25.5" hidden="false" customHeight="true" outlineLevel="0" collapsed="false">
      <c r="A505" s="53" t="n">
        <v>504</v>
      </c>
      <c r="B505" s="53" t="n">
        <v>4</v>
      </c>
      <c r="C505" s="21" t="s">
        <v>1248</v>
      </c>
      <c r="D505" s="21" t="s">
        <v>1249</v>
      </c>
      <c r="E505" s="53"/>
      <c r="F505" s="53"/>
      <c r="G505" s="53"/>
      <c r="H505" s="53"/>
      <c r="I505" s="53"/>
      <c r="J505" s="53"/>
      <c r="K505" s="20" t="n">
        <f aca="false">IFERROR(MIN(E505:J505),"")</f>
        <v>0</v>
      </c>
      <c r="L505" s="53" t="str">
        <f aca="false">IF(COUNT(E505:J505)&lt;2,"-",IF(LOOKUP(2,1/(E505:J505&lt;&gt;""),E505:J505)&lt;INDEX(E505:J505,MATCH(TRUE(),E505:J505&lt;&gt;"",0)),"↑",IF(LOOKUP(2,1/(E505:J505&lt;&gt;""),E505:J505)&gt;INDEX(E505:J505,MATCH(TRUE(),E505:J505&lt;&gt;"",0)),"↓","→")))</f>
        <v>-</v>
      </c>
    </row>
    <row r="506" customFormat="false" ht="25.5" hidden="false" customHeight="true" outlineLevel="0" collapsed="false">
      <c r="A506" s="53" t="n">
        <v>505</v>
      </c>
      <c r="B506" s="53" t="n">
        <v>4</v>
      </c>
      <c r="C506" s="19" t="s">
        <v>1250</v>
      </c>
      <c r="D506" s="19" t="s">
        <v>1251</v>
      </c>
      <c r="E506" s="53"/>
      <c r="F506" s="53"/>
      <c r="G506" s="53"/>
      <c r="H506" s="53"/>
      <c r="I506" s="53"/>
      <c r="J506" s="53"/>
      <c r="K506" s="20" t="n">
        <f aca="false">IFERROR(MIN(E506:J506),"")</f>
        <v>0</v>
      </c>
      <c r="L506" s="53" t="str">
        <f aca="false">IF(COUNT(E506:J506)&lt;2,"-",IF(LOOKUP(2,1/(E506:J506&lt;&gt;""),E506:J506)&lt;INDEX(E506:J506,MATCH(TRUE(),E506:J506&lt;&gt;"",0)),"↑",IF(LOOKUP(2,1/(E506:J506&lt;&gt;""),E506:J506)&gt;INDEX(E506:J506,MATCH(TRUE(),E506:J506&lt;&gt;"",0)),"↓","→")))</f>
        <v>-</v>
      </c>
    </row>
    <row r="507" customFormat="false" ht="25.5" hidden="false" customHeight="true" outlineLevel="0" collapsed="false">
      <c r="A507" s="53" t="n">
        <v>506</v>
      </c>
      <c r="B507" s="53" t="n">
        <v>4</v>
      </c>
      <c r="C507" s="21" t="s">
        <v>1252</v>
      </c>
      <c r="D507" s="21" t="s">
        <v>1253</v>
      </c>
      <c r="E507" s="53"/>
      <c r="F507" s="53"/>
      <c r="G507" s="53"/>
      <c r="H507" s="53"/>
      <c r="I507" s="53"/>
      <c r="J507" s="53"/>
      <c r="K507" s="20" t="n">
        <f aca="false">IFERROR(MIN(E507:J507),"")</f>
        <v>0</v>
      </c>
      <c r="L507" s="53" t="str">
        <f aca="false">IF(COUNT(E507:J507)&lt;2,"-",IF(LOOKUP(2,1/(E507:J507&lt;&gt;""),E507:J507)&lt;INDEX(E507:J507,MATCH(TRUE(),E507:J507&lt;&gt;"",0)),"↑",IF(LOOKUP(2,1/(E507:J507&lt;&gt;""),E507:J507)&gt;INDEX(E507:J507,MATCH(TRUE(),E507:J507&lt;&gt;"",0)),"↓","→")))</f>
        <v>-</v>
      </c>
    </row>
    <row r="508" customFormat="false" ht="25.5" hidden="false" customHeight="true" outlineLevel="0" collapsed="false">
      <c r="A508" s="53" t="n">
        <v>507</v>
      </c>
      <c r="B508" s="53" t="n">
        <v>4</v>
      </c>
      <c r="C508" s="19" t="s">
        <v>1254</v>
      </c>
      <c r="D508" s="19" t="s">
        <v>1255</v>
      </c>
      <c r="E508" s="53"/>
      <c r="F508" s="53"/>
      <c r="G508" s="53"/>
      <c r="H508" s="53"/>
      <c r="I508" s="53"/>
      <c r="J508" s="53"/>
      <c r="K508" s="20" t="n">
        <f aca="false">IFERROR(MIN(E508:J508),"")</f>
        <v>0</v>
      </c>
      <c r="L508" s="53" t="str">
        <f aca="false">IF(COUNT(E508:J508)&lt;2,"-",IF(LOOKUP(2,1/(E508:J508&lt;&gt;""),E508:J508)&lt;INDEX(E508:J508,MATCH(TRUE(),E508:J508&lt;&gt;"",0)),"↑",IF(LOOKUP(2,1/(E508:J508&lt;&gt;""),E508:J508)&gt;INDEX(E508:J508,MATCH(TRUE(),E508:J508&lt;&gt;"",0)),"↓","→")))</f>
        <v>-</v>
      </c>
    </row>
    <row r="509" customFormat="false" ht="25.5" hidden="false" customHeight="true" outlineLevel="0" collapsed="false">
      <c r="A509" s="53" t="n">
        <v>508</v>
      </c>
      <c r="B509" s="53" t="n">
        <v>4</v>
      </c>
      <c r="C509" s="21" t="s">
        <v>1256</v>
      </c>
      <c r="D509" s="21" t="s">
        <v>1257</v>
      </c>
      <c r="E509" s="53"/>
      <c r="F509" s="53"/>
      <c r="G509" s="53"/>
      <c r="H509" s="53"/>
      <c r="I509" s="53"/>
      <c r="J509" s="53"/>
      <c r="K509" s="20" t="n">
        <f aca="false">IFERROR(MIN(E509:J509),"")</f>
        <v>0</v>
      </c>
      <c r="L509" s="53" t="str">
        <f aca="false">IF(COUNT(E509:J509)&lt;2,"-",IF(LOOKUP(2,1/(E509:J509&lt;&gt;""),E509:J509)&lt;INDEX(E509:J509,MATCH(TRUE(),E509:J509&lt;&gt;"",0)),"↑",IF(LOOKUP(2,1/(E509:J509&lt;&gt;""),E509:J509)&gt;INDEX(E509:J509,MATCH(TRUE(),E509:J509&lt;&gt;"",0)),"↓","→")))</f>
        <v>-</v>
      </c>
    </row>
    <row r="510" customFormat="false" ht="25.5" hidden="false" customHeight="true" outlineLevel="0" collapsed="false">
      <c r="A510" s="53" t="n">
        <v>509</v>
      </c>
      <c r="B510" s="53" t="n">
        <v>4</v>
      </c>
      <c r="C510" s="19" t="s">
        <v>1258</v>
      </c>
      <c r="D510" s="19" t="s">
        <v>1259</v>
      </c>
      <c r="E510" s="53"/>
      <c r="F510" s="53"/>
      <c r="G510" s="53"/>
      <c r="H510" s="53"/>
      <c r="I510" s="53"/>
      <c r="J510" s="53"/>
      <c r="K510" s="20" t="n">
        <f aca="false">IFERROR(MIN(E510:J510),"")</f>
        <v>0</v>
      </c>
      <c r="L510" s="53" t="str">
        <f aca="false">IF(COUNT(E510:J510)&lt;2,"-",IF(LOOKUP(2,1/(E510:J510&lt;&gt;""),E510:J510)&lt;INDEX(E510:J510,MATCH(TRUE(),E510:J510&lt;&gt;"",0)),"↑",IF(LOOKUP(2,1/(E510:J510&lt;&gt;""),E510:J510)&gt;INDEX(E510:J510,MATCH(TRUE(),E510:J510&lt;&gt;"",0)),"↓","→")))</f>
        <v>-</v>
      </c>
    </row>
    <row r="511" customFormat="false" ht="25.5" hidden="false" customHeight="true" outlineLevel="0" collapsed="false">
      <c r="A511" s="53" t="n">
        <v>510</v>
      </c>
      <c r="B511" s="53" t="n">
        <v>4</v>
      </c>
      <c r="C511" s="21" t="s">
        <v>1260</v>
      </c>
      <c r="D511" s="21" t="s">
        <v>1261</v>
      </c>
      <c r="E511" s="53"/>
      <c r="F511" s="53"/>
      <c r="G511" s="53"/>
      <c r="H511" s="53"/>
      <c r="I511" s="53"/>
      <c r="J511" s="53"/>
      <c r="K511" s="20" t="n">
        <f aca="false">IFERROR(MIN(E511:J511),"")</f>
        <v>0</v>
      </c>
      <c r="L511" s="53" t="str">
        <f aca="false">IF(COUNT(E511:J511)&lt;2,"-",IF(LOOKUP(2,1/(E511:J511&lt;&gt;""),E511:J511)&lt;INDEX(E511:J511,MATCH(TRUE(),E511:J511&lt;&gt;"",0)),"↑",IF(LOOKUP(2,1/(E511:J511&lt;&gt;""),E511:J511)&gt;INDEX(E511:J511,MATCH(TRUE(),E511:J511&lt;&gt;"",0)),"↓","→")))</f>
        <v>-</v>
      </c>
    </row>
    <row r="512" customFormat="false" ht="25.5" hidden="false" customHeight="true" outlineLevel="0" collapsed="false">
      <c r="A512" s="53" t="n">
        <v>511</v>
      </c>
      <c r="B512" s="53" t="n">
        <v>4</v>
      </c>
      <c r="C512" s="19" t="s">
        <v>1262</v>
      </c>
      <c r="D512" s="19" t="s">
        <v>1263</v>
      </c>
      <c r="E512" s="53"/>
      <c r="F512" s="53"/>
      <c r="G512" s="53"/>
      <c r="H512" s="53"/>
      <c r="I512" s="53"/>
      <c r="J512" s="53"/>
      <c r="K512" s="20" t="n">
        <f aca="false">IFERROR(MIN(E512:J512),"")</f>
        <v>0</v>
      </c>
      <c r="L512" s="53" t="str">
        <f aca="false">IF(COUNT(E512:J512)&lt;2,"-",IF(LOOKUP(2,1/(E512:J512&lt;&gt;""),E512:J512)&lt;INDEX(E512:J512,MATCH(TRUE(),E512:J512&lt;&gt;"",0)),"↑",IF(LOOKUP(2,1/(E512:J512&lt;&gt;""),E512:J512)&gt;INDEX(E512:J512,MATCH(TRUE(),E512:J512&lt;&gt;"",0)),"↓","→")))</f>
        <v>-</v>
      </c>
    </row>
    <row r="513" customFormat="false" ht="25.5" hidden="false" customHeight="true" outlineLevel="0" collapsed="false">
      <c r="A513" s="53" t="n">
        <v>512</v>
      </c>
      <c r="B513" s="53" t="n">
        <v>4</v>
      </c>
      <c r="C513" s="21" t="s">
        <v>1264</v>
      </c>
      <c r="D513" s="21" t="s">
        <v>1265</v>
      </c>
      <c r="E513" s="53"/>
      <c r="F513" s="53"/>
      <c r="G513" s="53"/>
      <c r="H513" s="53"/>
      <c r="I513" s="53"/>
      <c r="J513" s="53"/>
      <c r="K513" s="20" t="n">
        <f aca="false">IFERROR(MIN(E513:J513),"")</f>
        <v>0</v>
      </c>
      <c r="L513" s="53" t="str">
        <f aca="false">IF(COUNT(E513:J513)&lt;2,"-",IF(LOOKUP(2,1/(E513:J513&lt;&gt;""),E513:J513)&lt;INDEX(E513:J513,MATCH(TRUE(),E513:J513&lt;&gt;"",0)),"↑",IF(LOOKUP(2,1/(E513:J513&lt;&gt;""),E513:J513)&gt;INDEX(E513:J513,MATCH(TRUE(),E513:J513&lt;&gt;"",0)),"↓","→")))</f>
        <v>-</v>
      </c>
    </row>
    <row r="514" customFormat="false" ht="25.5" hidden="false" customHeight="true" outlineLevel="0" collapsed="false">
      <c r="A514" s="53" t="n">
        <v>513</v>
      </c>
      <c r="B514" s="53" t="n">
        <v>4</v>
      </c>
      <c r="C514" s="19" t="s">
        <v>1266</v>
      </c>
      <c r="D514" s="19" t="s">
        <v>1267</v>
      </c>
      <c r="E514" s="53"/>
      <c r="F514" s="53"/>
      <c r="G514" s="53"/>
      <c r="H514" s="53"/>
      <c r="I514" s="53"/>
      <c r="J514" s="53"/>
      <c r="K514" s="20" t="n">
        <f aca="false">IFERROR(MIN(E514:J514),"")</f>
        <v>0</v>
      </c>
      <c r="L514" s="53" t="str">
        <f aca="false">IF(COUNT(E514:J514)&lt;2,"-",IF(LOOKUP(2,1/(E514:J514&lt;&gt;""),E514:J514)&lt;INDEX(E514:J514,MATCH(TRUE(),E514:J514&lt;&gt;"",0)),"↑",IF(LOOKUP(2,1/(E514:J514&lt;&gt;""),E514:J514)&gt;INDEX(E514:J514,MATCH(TRUE(),E514:J514&lt;&gt;"",0)),"↓","→")))</f>
        <v>-</v>
      </c>
    </row>
    <row r="515" customFormat="false" ht="25.5" hidden="false" customHeight="true" outlineLevel="0" collapsed="false">
      <c r="A515" s="53" t="n">
        <v>514</v>
      </c>
      <c r="B515" s="53" t="n">
        <v>4</v>
      </c>
      <c r="C515" s="21" t="s">
        <v>1268</v>
      </c>
      <c r="D515" s="21" t="s">
        <v>1269</v>
      </c>
      <c r="E515" s="53"/>
      <c r="F515" s="53"/>
      <c r="G515" s="53"/>
      <c r="H515" s="53"/>
      <c r="I515" s="53"/>
      <c r="J515" s="53"/>
      <c r="K515" s="20" t="n">
        <f aca="false">IFERROR(MIN(E515:J515),"")</f>
        <v>0</v>
      </c>
      <c r="L515" s="53" t="str">
        <f aca="false">IF(COUNT(E515:J515)&lt;2,"-",IF(LOOKUP(2,1/(E515:J515&lt;&gt;""),E515:J515)&lt;INDEX(E515:J515,MATCH(TRUE(),E515:J515&lt;&gt;"",0)),"↑",IF(LOOKUP(2,1/(E515:J515&lt;&gt;""),E515:J515)&gt;INDEX(E515:J515,MATCH(TRUE(),E515:J515&lt;&gt;"",0)),"↓","→")))</f>
        <v>-</v>
      </c>
    </row>
    <row r="516" customFormat="false" ht="25.5" hidden="false" customHeight="true" outlineLevel="0" collapsed="false">
      <c r="A516" s="53" t="n">
        <v>515</v>
      </c>
      <c r="B516" s="53" t="n">
        <v>4</v>
      </c>
      <c r="C516" s="19" t="s">
        <v>1270</v>
      </c>
      <c r="D516" s="19" t="s">
        <v>1271</v>
      </c>
      <c r="E516" s="53"/>
      <c r="F516" s="53"/>
      <c r="G516" s="53"/>
      <c r="H516" s="53"/>
      <c r="I516" s="53"/>
      <c r="J516" s="53"/>
      <c r="K516" s="20" t="n">
        <f aca="false">IFERROR(MIN(E516:J516),"")</f>
        <v>0</v>
      </c>
      <c r="L516" s="53" t="str">
        <f aca="false">IF(COUNT(E516:J516)&lt;2,"-",IF(LOOKUP(2,1/(E516:J516&lt;&gt;""),E516:J516)&lt;INDEX(E516:J516,MATCH(TRUE(),E516:J516&lt;&gt;"",0)),"↑",IF(LOOKUP(2,1/(E516:J516&lt;&gt;""),E516:J516)&gt;INDEX(E516:J516,MATCH(TRUE(),E516:J516&lt;&gt;"",0)),"↓","→")))</f>
        <v>-</v>
      </c>
    </row>
    <row r="517" customFormat="false" ht="25.5" hidden="false" customHeight="true" outlineLevel="0" collapsed="false">
      <c r="A517" s="53" t="n">
        <v>516</v>
      </c>
      <c r="B517" s="53" t="n">
        <v>4</v>
      </c>
      <c r="C517" s="21" t="s">
        <v>1272</v>
      </c>
      <c r="D517" s="21" t="s">
        <v>1273</v>
      </c>
      <c r="E517" s="53"/>
      <c r="F517" s="53"/>
      <c r="G517" s="53"/>
      <c r="H517" s="53"/>
      <c r="I517" s="53"/>
      <c r="J517" s="53"/>
      <c r="K517" s="20" t="n">
        <f aca="false">IFERROR(MIN(E517:J517),"")</f>
        <v>0</v>
      </c>
      <c r="L517" s="53" t="str">
        <f aca="false">IF(COUNT(E517:J517)&lt;2,"-",IF(LOOKUP(2,1/(E517:J517&lt;&gt;""),E517:J517)&lt;INDEX(E517:J517,MATCH(TRUE(),E517:J517&lt;&gt;"",0)),"↑",IF(LOOKUP(2,1/(E517:J517&lt;&gt;""),E517:J517)&gt;INDEX(E517:J517,MATCH(TRUE(),E517:J517&lt;&gt;"",0)),"↓","→")))</f>
        <v>-</v>
      </c>
    </row>
    <row r="518" customFormat="false" ht="25.5" hidden="false" customHeight="true" outlineLevel="0" collapsed="false">
      <c r="A518" s="53" t="n">
        <v>517</v>
      </c>
      <c r="B518" s="53" t="n">
        <v>4</v>
      </c>
      <c r="C518" s="19" t="s">
        <v>1274</v>
      </c>
      <c r="D518" s="19" t="s">
        <v>1275</v>
      </c>
      <c r="E518" s="53"/>
      <c r="F518" s="53"/>
      <c r="G518" s="53"/>
      <c r="H518" s="53"/>
      <c r="I518" s="53"/>
      <c r="J518" s="53"/>
      <c r="K518" s="20" t="n">
        <f aca="false">IFERROR(MIN(E518:J518),"")</f>
        <v>0</v>
      </c>
      <c r="L518" s="53" t="str">
        <f aca="false">IF(COUNT(E518:J518)&lt;2,"-",IF(LOOKUP(2,1/(E518:J518&lt;&gt;""),E518:J518)&lt;INDEX(E518:J518,MATCH(TRUE(),E518:J518&lt;&gt;"",0)),"↑",IF(LOOKUP(2,1/(E518:J518&lt;&gt;""),E518:J518)&gt;INDEX(E518:J518,MATCH(TRUE(),E518:J518&lt;&gt;"",0)),"↓","→")))</f>
        <v>-</v>
      </c>
    </row>
    <row r="519" customFormat="false" ht="25.5" hidden="false" customHeight="true" outlineLevel="0" collapsed="false">
      <c r="A519" s="53" t="n">
        <v>518</v>
      </c>
      <c r="B519" s="53" t="n">
        <v>4</v>
      </c>
      <c r="C519" s="21" t="s">
        <v>1276</v>
      </c>
      <c r="D519" s="21" t="s">
        <v>1277</v>
      </c>
      <c r="E519" s="53"/>
      <c r="F519" s="53"/>
      <c r="G519" s="53"/>
      <c r="H519" s="53"/>
      <c r="I519" s="53"/>
      <c r="J519" s="53"/>
      <c r="K519" s="20" t="n">
        <f aca="false">IFERROR(MIN(E519:J519),"")</f>
        <v>0</v>
      </c>
      <c r="L519" s="53" t="str">
        <f aca="false">IF(COUNT(E519:J519)&lt;2,"-",IF(LOOKUP(2,1/(E519:J519&lt;&gt;""),E519:J519)&lt;INDEX(E519:J519,MATCH(TRUE(),E519:J519&lt;&gt;"",0)),"↑",IF(LOOKUP(2,1/(E519:J519&lt;&gt;""),E519:J519)&gt;INDEX(E519:J519,MATCH(TRUE(),E519:J519&lt;&gt;"",0)),"↓","→")))</f>
        <v>-</v>
      </c>
    </row>
    <row r="520" customFormat="false" ht="25.5" hidden="false" customHeight="true" outlineLevel="0" collapsed="false">
      <c r="A520" s="53" t="n">
        <v>519</v>
      </c>
      <c r="B520" s="53" t="n">
        <v>4</v>
      </c>
      <c r="C520" s="19" t="s">
        <v>1278</v>
      </c>
      <c r="D520" s="19" t="s">
        <v>1279</v>
      </c>
      <c r="E520" s="53"/>
      <c r="F520" s="53"/>
      <c r="G520" s="53"/>
      <c r="H520" s="53"/>
      <c r="I520" s="53"/>
      <c r="J520" s="53"/>
      <c r="K520" s="20" t="n">
        <f aca="false">IFERROR(MIN(E520:J520),"")</f>
        <v>0</v>
      </c>
      <c r="L520" s="53" t="str">
        <f aca="false">IF(COUNT(E520:J520)&lt;2,"-",IF(LOOKUP(2,1/(E520:J520&lt;&gt;""),E520:J520)&lt;INDEX(E520:J520,MATCH(TRUE(),E520:J520&lt;&gt;"",0)),"↑",IF(LOOKUP(2,1/(E520:J520&lt;&gt;""),E520:J520)&gt;INDEX(E520:J520,MATCH(TRUE(),E520:J520&lt;&gt;"",0)),"↓","→")))</f>
        <v>-</v>
      </c>
    </row>
    <row r="521" customFormat="false" ht="25.5" hidden="false" customHeight="true" outlineLevel="0" collapsed="false">
      <c r="A521" s="53" t="n">
        <v>520</v>
      </c>
      <c r="B521" s="53" t="n">
        <v>4</v>
      </c>
      <c r="C521" s="21" t="s">
        <v>1280</v>
      </c>
      <c r="D521" s="21" t="s">
        <v>1281</v>
      </c>
      <c r="E521" s="53"/>
      <c r="F521" s="53"/>
      <c r="G521" s="53"/>
      <c r="H521" s="53"/>
      <c r="I521" s="53"/>
      <c r="J521" s="53"/>
      <c r="K521" s="20" t="n">
        <f aca="false">IFERROR(MIN(E521:J521),"")</f>
        <v>0</v>
      </c>
      <c r="L521" s="53" t="str">
        <f aca="false">IF(COUNT(E521:J521)&lt;2,"-",IF(LOOKUP(2,1/(E521:J521&lt;&gt;""),E521:J521)&lt;INDEX(E521:J521,MATCH(TRUE(),E521:J521&lt;&gt;"",0)),"↑",IF(LOOKUP(2,1/(E521:J521&lt;&gt;""),E521:J521)&gt;INDEX(E521:J521,MATCH(TRUE(),E521:J521&lt;&gt;"",0)),"↓","→")))</f>
        <v>-</v>
      </c>
    </row>
    <row r="522" customFormat="false" ht="25.5" hidden="false" customHeight="true" outlineLevel="0" collapsed="false">
      <c r="A522" s="53" t="n">
        <v>521</v>
      </c>
      <c r="B522" s="53" t="n">
        <v>4</v>
      </c>
      <c r="C522" s="19" t="s">
        <v>1282</v>
      </c>
      <c r="D522" s="19" t="s">
        <v>1284</v>
      </c>
      <c r="E522" s="53"/>
      <c r="F522" s="53"/>
      <c r="G522" s="53"/>
      <c r="H522" s="53"/>
      <c r="I522" s="53"/>
      <c r="J522" s="53"/>
      <c r="K522" s="20" t="n">
        <f aca="false">IFERROR(MIN(E522:J522),"")</f>
        <v>0</v>
      </c>
      <c r="L522" s="53" t="str">
        <f aca="false">IF(COUNT(E522:J522)&lt;2,"-",IF(LOOKUP(2,1/(E522:J522&lt;&gt;""),E522:J522)&lt;INDEX(E522:J522,MATCH(TRUE(),E522:J522&lt;&gt;"",0)),"↑",IF(LOOKUP(2,1/(E522:J522&lt;&gt;""),E522:J522)&gt;INDEX(E522:J522,MATCH(TRUE(),E522:J522&lt;&gt;"",0)),"↓","→")))</f>
        <v>-</v>
      </c>
    </row>
    <row r="523" customFormat="false" ht="25.5" hidden="false" customHeight="true" outlineLevel="0" collapsed="false">
      <c r="A523" s="53" t="n">
        <v>522</v>
      </c>
      <c r="B523" s="53" t="n">
        <v>4</v>
      </c>
      <c r="C523" s="21" t="s">
        <v>1285</v>
      </c>
      <c r="D523" s="21" t="s">
        <v>1286</v>
      </c>
      <c r="E523" s="53"/>
      <c r="F523" s="53"/>
      <c r="G523" s="53"/>
      <c r="H523" s="53"/>
      <c r="I523" s="53"/>
      <c r="J523" s="53"/>
      <c r="K523" s="20" t="n">
        <f aca="false">IFERROR(MIN(E523:J523),"")</f>
        <v>0</v>
      </c>
      <c r="L523" s="53" t="str">
        <f aca="false">IF(COUNT(E523:J523)&lt;2,"-",IF(LOOKUP(2,1/(E523:J523&lt;&gt;""),E523:J523)&lt;INDEX(E523:J523,MATCH(TRUE(),E523:J523&lt;&gt;"",0)),"↑",IF(LOOKUP(2,1/(E523:J523&lt;&gt;""),E523:J523)&gt;INDEX(E523:J523,MATCH(TRUE(),E523:J523&lt;&gt;"",0)),"↓","→")))</f>
        <v>-</v>
      </c>
    </row>
    <row r="524" customFormat="false" ht="25.5" hidden="false" customHeight="true" outlineLevel="0" collapsed="false">
      <c r="A524" s="53" t="n">
        <v>523</v>
      </c>
      <c r="B524" s="53" t="n">
        <v>4</v>
      </c>
      <c r="C524" s="19" t="s">
        <v>1287</v>
      </c>
      <c r="D524" s="19" t="s">
        <v>1288</v>
      </c>
      <c r="E524" s="53"/>
      <c r="F524" s="53"/>
      <c r="G524" s="53"/>
      <c r="H524" s="53"/>
      <c r="I524" s="53"/>
      <c r="J524" s="53"/>
      <c r="K524" s="20" t="n">
        <f aca="false">IFERROR(MIN(E524:J524),"")</f>
        <v>0</v>
      </c>
      <c r="L524" s="53" t="str">
        <f aca="false">IF(COUNT(E524:J524)&lt;2,"-",IF(LOOKUP(2,1/(E524:J524&lt;&gt;""),E524:J524)&lt;INDEX(E524:J524,MATCH(TRUE(),E524:J524&lt;&gt;"",0)),"↑",IF(LOOKUP(2,1/(E524:J524&lt;&gt;""),E524:J524)&gt;INDEX(E524:J524,MATCH(TRUE(),E524:J524&lt;&gt;"",0)),"↓","→")))</f>
        <v>-</v>
      </c>
    </row>
    <row r="525" customFormat="false" ht="25.5" hidden="false" customHeight="true" outlineLevel="0" collapsed="false">
      <c r="A525" s="53" t="n">
        <v>524</v>
      </c>
      <c r="B525" s="53" t="n">
        <v>4</v>
      </c>
      <c r="C525" s="21" t="s">
        <v>1289</v>
      </c>
      <c r="D525" s="21" t="s">
        <v>1290</v>
      </c>
      <c r="E525" s="53"/>
      <c r="F525" s="53"/>
      <c r="G525" s="53"/>
      <c r="H525" s="53"/>
      <c r="I525" s="53"/>
      <c r="J525" s="53"/>
      <c r="K525" s="20" t="n">
        <f aca="false">IFERROR(MIN(E525:J525),"")</f>
        <v>0</v>
      </c>
      <c r="L525" s="53" t="str">
        <f aca="false">IF(COUNT(E525:J525)&lt;2,"-",IF(LOOKUP(2,1/(E525:J525&lt;&gt;""),E525:J525)&lt;INDEX(E525:J525,MATCH(TRUE(),E525:J525&lt;&gt;"",0)),"↑",IF(LOOKUP(2,1/(E525:J525&lt;&gt;""),E525:J525)&gt;INDEX(E525:J525,MATCH(TRUE(),E525:J525&lt;&gt;"",0)),"↓","→")))</f>
        <v>-</v>
      </c>
    </row>
    <row r="526" customFormat="false" ht="25.5" hidden="false" customHeight="true" outlineLevel="0" collapsed="false">
      <c r="A526" s="53" t="n">
        <v>525</v>
      </c>
      <c r="B526" s="53" t="n">
        <v>4</v>
      </c>
      <c r="C526" s="19" t="s">
        <v>1291</v>
      </c>
      <c r="D526" s="19" t="s">
        <v>1292</v>
      </c>
      <c r="E526" s="53"/>
      <c r="F526" s="53"/>
      <c r="G526" s="53"/>
      <c r="H526" s="53"/>
      <c r="I526" s="53"/>
      <c r="J526" s="53"/>
      <c r="K526" s="20" t="n">
        <f aca="false">IFERROR(MIN(E526:J526),"")</f>
        <v>0</v>
      </c>
      <c r="L526" s="53" t="str">
        <f aca="false">IF(COUNT(E526:J526)&lt;2,"-",IF(LOOKUP(2,1/(E526:J526&lt;&gt;""),E526:J526)&lt;INDEX(E526:J526,MATCH(TRUE(),E526:J526&lt;&gt;"",0)),"↑",IF(LOOKUP(2,1/(E526:J526&lt;&gt;""),E526:J526)&gt;INDEX(E526:J526,MATCH(TRUE(),E526:J526&lt;&gt;"",0)),"↓","→")))</f>
        <v>-</v>
      </c>
    </row>
    <row r="527" customFormat="false" ht="25.5" hidden="false" customHeight="true" outlineLevel="0" collapsed="false">
      <c r="A527" s="53" t="n">
        <v>526</v>
      </c>
      <c r="B527" s="53" t="n">
        <v>4</v>
      </c>
      <c r="C527" s="21" t="s">
        <v>1293</v>
      </c>
      <c r="D527" s="21" t="s">
        <v>1294</v>
      </c>
      <c r="E527" s="53"/>
      <c r="F527" s="53"/>
      <c r="G527" s="53"/>
      <c r="H527" s="53"/>
      <c r="I527" s="53"/>
      <c r="J527" s="53"/>
      <c r="K527" s="20" t="n">
        <f aca="false">IFERROR(MIN(E527:J527),"")</f>
        <v>0</v>
      </c>
      <c r="L527" s="53" t="str">
        <f aca="false">IF(COUNT(E527:J527)&lt;2,"-",IF(LOOKUP(2,1/(E527:J527&lt;&gt;""),E527:J527)&lt;INDEX(E527:J527,MATCH(TRUE(),E527:J527&lt;&gt;"",0)),"↑",IF(LOOKUP(2,1/(E527:J527&lt;&gt;""),E527:J527)&gt;INDEX(E527:J527,MATCH(TRUE(),E527:J527&lt;&gt;"",0)),"↓","→")))</f>
        <v>-</v>
      </c>
    </row>
    <row r="528" customFormat="false" ht="25.5" hidden="false" customHeight="true" outlineLevel="0" collapsed="false">
      <c r="A528" s="53" t="n">
        <v>527</v>
      </c>
      <c r="B528" s="53" t="n">
        <v>4</v>
      </c>
      <c r="C528" s="19" t="s">
        <v>1295</v>
      </c>
      <c r="D528" s="19" t="s">
        <v>1296</v>
      </c>
      <c r="E528" s="53"/>
      <c r="F528" s="53"/>
      <c r="G528" s="53"/>
      <c r="H528" s="53"/>
      <c r="I528" s="53"/>
      <c r="J528" s="53"/>
      <c r="K528" s="20" t="n">
        <f aca="false">IFERROR(MIN(E528:J528),"")</f>
        <v>0</v>
      </c>
      <c r="L528" s="53" t="str">
        <f aca="false">IF(COUNT(E528:J528)&lt;2,"-",IF(LOOKUP(2,1/(E528:J528&lt;&gt;""),E528:J528)&lt;INDEX(E528:J528,MATCH(TRUE(),E528:J528&lt;&gt;"",0)),"↑",IF(LOOKUP(2,1/(E528:J528&lt;&gt;""),E528:J528)&gt;INDEX(E528:J528,MATCH(TRUE(),E528:J528&lt;&gt;"",0)),"↓","→")))</f>
        <v>-</v>
      </c>
    </row>
    <row r="529" customFormat="false" ht="25.5" hidden="false" customHeight="true" outlineLevel="0" collapsed="false">
      <c r="A529" s="53" t="n">
        <v>528</v>
      </c>
      <c r="B529" s="53" t="n">
        <v>4</v>
      </c>
      <c r="C529" s="21" t="s">
        <v>1297</v>
      </c>
      <c r="D529" s="21" t="s">
        <v>1298</v>
      </c>
      <c r="E529" s="53"/>
      <c r="F529" s="53"/>
      <c r="G529" s="53"/>
      <c r="H529" s="53"/>
      <c r="I529" s="53"/>
      <c r="J529" s="53"/>
      <c r="K529" s="20" t="n">
        <f aca="false">IFERROR(MIN(E529:J529),"")</f>
        <v>0</v>
      </c>
      <c r="L529" s="53" t="str">
        <f aca="false">IF(COUNT(E529:J529)&lt;2,"-",IF(LOOKUP(2,1/(E529:J529&lt;&gt;""),E529:J529)&lt;INDEX(E529:J529,MATCH(TRUE(),E529:J529&lt;&gt;"",0)),"↑",IF(LOOKUP(2,1/(E529:J529&lt;&gt;""),E529:J529)&gt;INDEX(E529:J529,MATCH(TRUE(),E529:J529&lt;&gt;"",0)),"↓","→")))</f>
        <v>-</v>
      </c>
    </row>
    <row r="530" customFormat="false" ht="25.5" hidden="false" customHeight="true" outlineLevel="0" collapsed="false">
      <c r="A530" s="54" t="n">
        <v>529</v>
      </c>
      <c r="B530" s="54" t="n">
        <v>5</v>
      </c>
      <c r="C530" s="23" t="s">
        <v>1299</v>
      </c>
      <c r="D530" s="23" t="s">
        <v>1303</v>
      </c>
      <c r="E530" s="54"/>
      <c r="F530" s="54"/>
      <c r="G530" s="54"/>
      <c r="H530" s="54"/>
      <c r="I530" s="54"/>
      <c r="J530" s="54"/>
      <c r="K530" s="24" t="n">
        <f aca="false">IFERROR(MIN(E530:J530),"")</f>
        <v>0</v>
      </c>
      <c r="L530" s="54" t="str">
        <f aca="false">IF(COUNT(E530:J530)&lt;2,"-",IF(LOOKUP(2,1/(E530:J530&lt;&gt;""),E530:J530)&lt;INDEX(E530:J530,MATCH(TRUE(),E530:J530&lt;&gt;"",0)),"↑",IF(LOOKUP(2,1/(E530:J530&lt;&gt;""),E530:J530)&gt;INDEX(E530:J530,MATCH(TRUE(),E530:J530&lt;&gt;"",0)),"↓","→")))</f>
        <v>-</v>
      </c>
    </row>
    <row r="531" customFormat="false" ht="25.5" hidden="false" customHeight="true" outlineLevel="0" collapsed="false">
      <c r="A531" s="54" t="n">
        <v>530</v>
      </c>
      <c r="B531" s="54" t="n">
        <v>5</v>
      </c>
      <c r="C531" s="25" t="s">
        <v>1305</v>
      </c>
      <c r="D531" s="25" t="s">
        <v>1307</v>
      </c>
      <c r="E531" s="54"/>
      <c r="F531" s="54"/>
      <c r="G531" s="54"/>
      <c r="H531" s="54"/>
      <c r="I531" s="54"/>
      <c r="J531" s="54"/>
      <c r="K531" s="24" t="n">
        <f aca="false">IFERROR(MIN(E531:J531),"")</f>
        <v>0</v>
      </c>
      <c r="L531" s="54" t="str">
        <f aca="false">IF(COUNT(E531:J531)&lt;2,"-",IF(LOOKUP(2,1/(E531:J531&lt;&gt;""),E531:J531)&lt;INDEX(E531:J531,MATCH(TRUE(),E531:J531&lt;&gt;"",0)),"↑",IF(LOOKUP(2,1/(E531:J531&lt;&gt;""),E531:J531)&gt;INDEX(E531:J531,MATCH(TRUE(),E531:J531&lt;&gt;"",0)),"↓","→")))</f>
        <v>-</v>
      </c>
    </row>
    <row r="532" customFormat="false" ht="25.5" hidden="false" customHeight="true" outlineLevel="0" collapsed="false">
      <c r="A532" s="54" t="n">
        <v>531</v>
      </c>
      <c r="B532" s="54" t="n">
        <v>5</v>
      </c>
      <c r="C532" s="23" t="s">
        <v>1308</v>
      </c>
      <c r="D532" s="23" t="s">
        <v>1309</v>
      </c>
      <c r="E532" s="54"/>
      <c r="F532" s="54"/>
      <c r="G532" s="54"/>
      <c r="H532" s="54"/>
      <c r="I532" s="54"/>
      <c r="J532" s="54"/>
      <c r="K532" s="24" t="n">
        <f aca="false">IFERROR(MIN(E532:J532),"")</f>
        <v>0</v>
      </c>
      <c r="L532" s="54" t="str">
        <f aca="false">IF(COUNT(E532:J532)&lt;2,"-",IF(LOOKUP(2,1/(E532:J532&lt;&gt;""),E532:J532)&lt;INDEX(E532:J532,MATCH(TRUE(),E532:J532&lt;&gt;"",0)),"↑",IF(LOOKUP(2,1/(E532:J532&lt;&gt;""),E532:J532)&gt;INDEX(E532:J532,MATCH(TRUE(),E532:J532&lt;&gt;"",0)),"↓","→")))</f>
        <v>-</v>
      </c>
    </row>
    <row r="533" customFormat="false" ht="25.5" hidden="false" customHeight="true" outlineLevel="0" collapsed="false">
      <c r="A533" s="54" t="n">
        <v>532</v>
      </c>
      <c r="B533" s="54" t="n">
        <v>5</v>
      </c>
      <c r="C533" s="25" t="s">
        <v>1310</v>
      </c>
      <c r="D533" s="25" t="s">
        <v>1311</v>
      </c>
      <c r="E533" s="54"/>
      <c r="F533" s="54"/>
      <c r="G533" s="54"/>
      <c r="H533" s="54"/>
      <c r="I533" s="54"/>
      <c r="J533" s="54"/>
      <c r="K533" s="24" t="n">
        <f aca="false">IFERROR(MIN(E533:J533),"")</f>
        <v>0</v>
      </c>
      <c r="L533" s="54" t="str">
        <f aca="false">IF(COUNT(E533:J533)&lt;2,"-",IF(LOOKUP(2,1/(E533:J533&lt;&gt;""),E533:J533)&lt;INDEX(E533:J533,MATCH(TRUE(),E533:J533&lt;&gt;"",0)),"↑",IF(LOOKUP(2,1/(E533:J533&lt;&gt;""),E533:J533)&gt;INDEX(E533:J533,MATCH(TRUE(),E533:J533&lt;&gt;"",0)),"↓","→")))</f>
        <v>-</v>
      </c>
    </row>
    <row r="534" customFormat="false" ht="25.5" hidden="false" customHeight="true" outlineLevel="0" collapsed="false">
      <c r="A534" s="54" t="n">
        <v>533</v>
      </c>
      <c r="B534" s="54" t="n">
        <v>5</v>
      </c>
      <c r="C534" s="23" t="s">
        <v>1312</v>
      </c>
      <c r="D534" s="23" t="s">
        <v>1313</v>
      </c>
      <c r="E534" s="54"/>
      <c r="F534" s="54"/>
      <c r="G534" s="54"/>
      <c r="H534" s="54"/>
      <c r="I534" s="54"/>
      <c r="J534" s="54"/>
      <c r="K534" s="24" t="n">
        <f aca="false">IFERROR(MIN(E534:J534),"")</f>
        <v>0</v>
      </c>
      <c r="L534" s="54" t="str">
        <f aca="false">IF(COUNT(E534:J534)&lt;2,"-",IF(LOOKUP(2,1/(E534:J534&lt;&gt;""),E534:J534)&lt;INDEX(E534:J534,MATCH(TRUE(),E534:J534&lt;&gt;"",0)),"↑",IF(LOOKUP(2,1/(E534:J534&lt;&gt;""),E534:J534)&gt;INDEX(E534:J534,MATCH(TRUE(),E534:J534&lt;&gt;"",0)),"↓","→")))</f>
        <v>-</v>
      </c>
    </row>
    <row r="535" customFormat="false" ht="25.5" hidden="false" customHeight="true" outlineLevel="0" collapsed="false">
      <c r="A535" s="54" t="n">
        <v>534</v>
      </c>
      <c r="B535" s="54" t="n">
        <v>5</v>
      </c>
      <c r="C535" s="25" t="s">
        <v>1314</v>
      </c>
      <c r="D535" s="25" t="s">
        <v>1315</v>
      </c>
      <c r="E535" s="54"/>
      <c r="F535" s="54"/>
      <c r="G535" s="54"/>
      <c r="H535" s="54"/>
      <c r="I535" s="54"/>
      <c r="J535" s="54"/>
      <c r="K535" s="24" t="n">
        <f aca="false">IFERROR(MIN(E535:J535),"")</f>
        <v>0</v>
      </c>
      <c r="L535" s="54" t="str">
        <f aca="false">IF(COUNT(E535:J535)&lt;2,"-",IF(LOOKUP(2,1/(E535:J535&lt;&gt;""),E535:J535)&lt;INDEX(E535:J535,MATCH(TRUE(),E535:J535&lt;&gt;"",0)),"↑",IF(LOOKUP(2,1/(E535:J535&lt;&gt;""),E535:J535)&gt;INDEX(E535:J535,MATCH(TRUE(),E535:J535&lt;&gt;"",0)),"↓","→")))</f>
        <v>-</v>
      </c>
    </row>
    <row r="536" customFormat="false" ht="25.5" hidden="false" customHeight="true" outlineLevel="0" collapsed="false">
      <c r="A536" s="54" t="n">
        <v>535</v>
      </c>
      <c r="B536" s="54" t="n">
        <v>5</v>
      </c>
      <c r="C536" s="23" t="s">
        <v>1316</v>
      </c>
      <c r="D536" s="23" t="s">
        <v>1317</v>
      </c>
      <c r="E536" s="54"/>
      <c r="F536" s="54"/>
      <c r="G536" s="54"/>
      <c r="H536" s="54"/>
      <c r="I536" s="54"/>
      <c r="J536" s="54"/>
      <c r="K536" s="24" t="n">
        <f aca="false">IFERROR(MIN(E536:J536),"")</f>
        <v>0</v>
      </c>
      <c r="L536" s="54" t="str">
        <f aca="false">IF(COUNT(E536:J536)&lt;2,"-",IF(LOOKUP(2,1/(E536:J536&lt;&gt;""),E536:J536)&lt;INDEX(E536:J536,MATCH(TRUE(),E536:J536&lt;&gt;"",0)),"↑",IF(LOOKUP(2,1/(E536:J536&lt;&gt;""),E536:J536)&gt;INDEX(E536:J536,MATCH(TRUE(),E536:J536&lt;&gt;"",0)),"↓","→")))</f>
        <v>-</v>
      </c>
    </row>
    <row r="537" customFormat="false" ht="25.5" hidden="false" customHeight="true" outlineLevel="0" collapsed="false">
      <c r="A537" s="54" t="n">
        <v>536</v>
      </c>
      <c r="B537" s="54" t="n">
        <v>5</v>
      </c>
      <c r="C537" s="25" t="s">
        <v>1318</v>
      </c>
      <c r="D537" s="25" t="s">
        <v>1319</v>
      </c>
      <c r="E537" s="54"/>
      <c r="F537" s="54"/>
      <c r="G537" s="54"/>
      <c r="H537" s="54"/>
      <c r="I537" s="54"/>
      <c r="J537" s="54"/>
      <c r="K537" s="24" t="n">
        <f aca="false">IFERROR(MIN(E537:J537),"")</f>
        <v>0</v>
      </c>
      <c r="L537" s="54" t="str">
        <f aca="false">IF(COUNT(E537:J537)&lt;2,"-",IF(LOOKUP(2,1/(E537:J537&lt;&gt;""),E537:J537)&lt;INDEX(E537:J537,MATCH(TRUE(),E537:J537&lt;&gt;"",0)),"↑",IF(LOOKUP(2,1/(E537:J537&lt;&gt;""),E537:J537)&gt;INDEX(E537:J537,MATCH(TRUE(),E537:J537&lt;&gt;"",0)),"↓","→")))</f>
        <v>-</v>
      </c>
    </row>
    <row r="538" customFormat="false" ht="25.5" hidden="false" customHeight="true" outlineLevel="0" collapsed="false">
      <c r="A538" s="54" t="n">
        <v>537</v>
      </c>
      <c r="B538" s="54" t="n">
        <v>5</v>
      </c>
      <c r="C538" s="23" t="s">
        <v>1320</v>
      </c>
      <c r="D538" s="23" t="s">
        <v>1321</v>
      </c>
      <c r="E538" s="54"/>
      <c r="F538" s="54"/>
      <c r="G538" s="54"/>
      <c r="H538" s="54"/>
      <c r="I538" s="54"/>
      <c r="J538" s="54"/>
      <c r="K538" s="24" t="n">
        <f aca="false">IFERROR(MIN(E538:J538),"")</f>
        <v>0</v>
      </c>
      <c r="L538" s="54" t="str">
        <f aca="false">IF(COUNT(E538:J538)&lt;2,"-",IF(LOOKUP(2,1/(E538:J538&lt;&gt;""),E538:J538)&lt;INDEX(E538:J538,MATCH(TRUE(),E538:J538&lt;&gt;"",0)),"↑",IF(LOOKUP(2,1/(E538:J538&lt;&gt;""),E538:J538)&gt;INDEX(E538:J538,MATCH(TRUE(),E538:J538&lt;&gt;"",0)),"↓","→")))</f>
        <v>-</v>
      </c>
    </row>
    <row r="539" customFormat="false" ht="25.5" hidden="false" customHeight="true" outlineLevel="0" collapsed="false">
      <c r="A539" s="54" t="n">
        <v>538</v>
      </c>
      <c r="B539" s="54" t="n">
        <v>5</v>
      </c>
      <c r="C539" s="25" t="s">
        <v>1322</v>
      </c>
      <c r="D539" s="25" t="s">
        <v>1323</v>
      </c>
      <c r="E539" s="54"/>
      <c r="F539" s="54"/>
      <c r="G539" s="54"/>
      <c r="H539" s="54"/>
      <c r="I539" s="54"/>
      <c r="J539" s="54"/>
      <c r="K539" s="24" t="n">
        <f aca="false">IFERROR(MIN(E539:J539),"")</f>
        <v>0</v>
      </c>
      <c r="L539" s="54" t="str">
        <f aca="false">IF(COUNT(E539:J539)&lt;2,"-",IF(LOOKUP(2,1/(E539:J539&lt;&gt;""),E539:J539)&lt;INDEX(E539:J539,MATCH(TRUE(),E539:J539&lt;&gt;"",0)),"↑",IF(LOOKUP(2,1/(E539:J539&lt;&gt;""),E539:J539)&gt;INDEX(E539:J539,MATCH(TRUE(),E539:J539&lt;&gt;"",0)),"↓","→")))</f>
        <v>-</v>
      </c>
    </row>
    <row r="540" customFormat="false" ht="25.5" hidden="false" customHeight="true" outlineLevel="0" collapsed="false">
      <c r="A540" s="54" t="n">
        <v>539</v>
      </c>
      <c r="B540" s="54" t="n">
        <v>5</v>
      </c>
      <c r="C540" s="23" t="s">
        <v>1324</v>
      </c>
      <c r="D540" s="23" t="s">
        <v>1326</v>
      </c>
      <c r="E540" s="54"/>
      <c r="F540" s="54"/>
      <c r="G540" s="54"/>
      <c r="H540" s="54"/>
      <c r="I540" s="54"/>
      <c r="J540" s="54"/>
      <c r="K540" s="24" t="n">
        <f aca="false">IFERROR(MIN(E540:J540),"")</f>
        <v>0</v>
      </c>
      <c r="L540" s="54" t="str">
        <f aca="false">IF(COUNT(E540:J540)&lt;2,"-",IF(LOOKUP(2,1/(E540:J540&lt;&gt;""),E540:J540)&lt;INDEX(E540:J540,MATCH(TRUE(),E540:J540&lt;&gt;"",0)),"↑",IF(LOOKUP(2,1/(E540:J540&lt;&gt;""),E540:J540)&gt;INDEX(E540:J540,MATCH(TRUE(),E540:J540&lt;&gt;"",0)),"↓","→")))</f>
        <v>-</v>
      </c>
    </row>
    <row r="541" customFormat="false" ht="25.5" hidden="false" customHeight="true" outlineLevel="0" collapsed="false">
      <c r="A541" s="54" t="n">
        <v>540</v>
      </c>
      <c r="B541" s="54" t="n">
        <v>5</v>
      </c>
      <c r="C541" s="25" t="s">
        <v>1327</v>
      </c>
      <c r="D541" s="25" t="s">
        <v>1328</v>
      </c>
      <c r="E541" s="54"/>
      <c r="F541" s="54"/>
      <c r="G541" s="54"/>
      <c r="H541" s="54"/>
      <c r="I541" s="54"/>
      <c r="J541" s="54"/>
      <c r="K541" s="24" t="n">
        <f aca="false">IFERROR(MIN(E541:J541),"")</f>
        <v>0</v>
      </c>
      <c r="L541" s="54" t="str">
        <f aca="false">IF(COUNT(E541:J541)&lt;2,"-",IF(LOOKUP(2,1/(E541:J541&lt;&gt;""),E541:J541)&lt;INDEX(E541:J541,MATCH(TRUE(),E541:J541&lt;&gt;"",0)),"↑",IF(LOOKUP(2,1/(E541:J541&lt;&gt;""),E541:J541)&gt;INDEX(E541:J541,MATCH(TRUE(),E541:J541&lt;&gt;"",0)),"↓","→")))</f>
        <v>-</v>
      </c>
    </row>
    <row r="542" customFormat="false" ht="25.5" hidden="false" customHeight="true" outlineLevel="0" collapsed="false">
      <c r="A542" s="54" t="n">
        <v>541</v>
      </c>
      <c r="B542" s="54" t="n">
        <v>5</v>
      </c>
      <c r="C542" s="23" t="s">
        <v>1329</v>
      </c>
      <c r="D542" s="23" t="s">
        <v>1330</v>
      </c>
      <c r="E542" s="54"/>
      <c r="F542" s="54"/>
      <c r="G542" s="54"/>
      <c r="H542" s="54"/>
      <c r="I542" s="54"/>
      <c r="J542" s="54"/>
      <c r="K542" s="24" t="n">
        <f aca="false">IFERROR(MIN(E542:J542),"")</f>
        <v>0</v>
      </c>
      <c r="L542" s="54" t="str">
        <f aca="false">IF(COUNT(E542:J542)&lt;2,"-",IF(LOOKUP(2,1/(E542:J542&lt;&gt;""),E542:J542)&lt;INDEX(E542:J542,MATCH(TRUE(),E542:J542&lt;&gt;"",0)),"↑",IF(LOOKUP(2,1/(E542:J542&lt;&gt;""),E542:J542)&gt;INDEX(E542:J542,MATCH(TRUE(),E542:J542&lt;&gt;"",0)),"↓","→")))</f>
        <v>-</v>
      </c>
    </row>
    <row r="543" customFormat="false" ht="25.5" hidden="false" customHeight="true" outlineLevel="0" collapsed="false">
      <c r="A543" s="54" t="n">
        <v>542</v>
      </c>
      <c r="B543" s="54" t="n">
        <v>5</v>
      </c>
      <c r="C543" s="25" t="s">
        <v>1331</v>
      </c>
      <c r="D543" s="25" t="s">
        <v>1332</v>
      </c>
      <c r="E543" s="54"/>
      <c r="F543" s="54"/>
      <c r="G543" s="54"/>
      <c r="H543" s="54"/>
      <c r="I543" s="54"/>
      <c r="J543" s="54"/>
      <c r="K543" s="24" t="n">
        <f aca="false">IFERROR(MIN(E543:J543),"")</f>
        <v>0</v>
      </c>
      <c r="L543" s="54" t="str">
        <f aca="false">IF(COUNT(E543:J543)&lt;2,"-",IF(LOOKUP(2,1/(E543:J543&lt;&gt;""),E543:J543)&lt;INDEX(E543:J543,MATCH(TRUE(),E543:J543&lt;&gt;"",0)),"↑",IF(LOOKUP(2,1/(E543:J543&lt;&gt;""),E543:J543)&gt;INDEX(E543:J543,MATCH(TRUE(),E543:J543&lt;&gt;"",0)),"↓","→")))</f>
        <v>-</v>
      </c>
    </row>
    <row r="544" customFormat="false" ht="25.5" hidden="false" customHeight="true" outlineLevel="0" collapsed="false">
      <c r="A544" s="54" t="n">
        <v>543</v>
      </c>
      <c r="B544" s="54" t="n">
        <v>5</v>
      </c>
      <c r="C544" s="23" t="s">
        <v>1333</v>
      </c>
      <c r="D544" s="23" t="s">
        <v>1334</v>
      </c>
      <c r="E544" s="54"/>
      <c r="F544" s="54"/>
      <c r="G544" s="54"/>
      <c r="H544" s="54"/>
      <c r="I544" s="54"/>
      <c r="J544" s="54"/>
      <c r="K544" s="24" t="n">
        <f aca="false">IFERROR(MIN(E544:J544),"")</f>
        <v>0</v>
      </c>
      <c r="L544" s="54" t="str">
        <f aca="false">IF(COUNT(E544:J544)&lt;2,"-",IF(LOOKUP(2,1/(E544:J544&lt;&gt;""),E544:J544)&lt;INDEX(E544:J544,MATCH(TRUE(),E544:J544&lt;&gt;"",0)),"↑",IF(LOOKUP(2,1/(E544:J544&lt;&gt;""),E544:J544)&gt;INDEX(E544:J544,MATCH(TRUE(),E544:J544&lt;&gt;"",0)),"↓","→")))</f>
        <v>-</v>
      </c>
    </row>
    <row r="545" customFormat="false" ht="25.5" hidden="false" customHeight="true" outlineLevel="0" collapsed="false">
      <c r="A545" s="54" t="n">
        <v>544</v>
      </c>
      <c r="B545" s="54" t="n">
        <v>5</v>
      </c>
      <c r="C545" s="25" t="s">
        <v>1335</v>
      </c>
      <c r="D545" s="25" t="s">
        <v>1336</v>
      </c>
      <c r="E545" s="54"/>
      <c r="F545" s="54"/>
      <c r="G545" s="54"/>
      <c r="H545" s="54"/>
      <c r="I545" s="54"/>
      <c r="J545" s="54"/>
      <c r="K545" s="24" t="n">
        <f aca="false">IFERROR(MIN(E545:J545),"")</f>
        <v>0</v>
      </c>
      <c r="L545" s="54" t="str">
        <f aca="false">IF(COUNT(E545:J545)&lt;2,"-",IF(LOOKUP(2,1/(E545:J545&lt;&gt;""),E545:J545)&lt;INDEX(E545:J545,MATCH(TRUE(),E545:J545&lt;&gt;"",0)),"↑",IF(LOOKUP(2,1/(E545:J545&lt;&gt;""),E545:J545)&gt;INDEX(E545:J545,MATCH(TRUE(),E545:J545&lt;&gt;"",0)),"↓","→")))</f>
        <v>-</v>
      </c>
    </row>
    <row r="546" customFormat="false" ht="25.5" hidden="false" customHeight="true" outlineLevel="0" collapsed="false">
      <c r="A546" s="54" t="n">
        <v>545</v>
      </c>
      <c r="B546" s="54" t="n">
        <v>5</v>
      </c>
      <c r="C546" s="23" t="s">
        <v>1337</v>
      </c>
      <c r="D546" s="23" t="s">
        <v>1338</v>
      </c>
      <c r="E546" s="54"/>
      <c r="F546" s="54"/>
      <c r="G546" s="54"/>
      <c r="H546" s="54"/>
      <c r="I546" s="54"/>
      <c r="J546" s="54"/>
      <c r="K546" s="24" t="n">
        <f aca="false">IFERROR(MIN(E546:J546),"")</f>
        <v>0</v>
      </c>
      <c r="L546" s="54" t="str">
        <f aca="false">IF(COUNT(E546:J546)&lt;2,"-",IF(LOOKUP(2,1/(E546:J546&lt;&gt;""),E546:J546)&lt;INDEX(E546:J546,MATCH(TRUE(),E546:J546&lt;&gt;"",0)),"↑",IF(LOOKUP(2,1/(E546:J546&lt;&gt;""),E546:J546)&gt;INDEX(E546:J546,MATCH(TRUE(),E546:J546&lt;&gt;"",0)),"↓","→")))</f>
        <v>-</v>
      </c>
    </row>
    <row r="547" customFormat="false" ht="25.5" hidden="false" customHeight="true" outlineLevel="0" collapsed="false">
      <c r="A547" s="54" t="n">
        <v>546</v>
      </c>
      <c r="B547" s="54" t="n">
        <v>5</v>
      </c>
      <c r="C547" s="25" t="s">
        <v>1339</v>
      </c>
      <c r="D547" s="25" t="s">
        <v>1340</v>
      </c>
      <c r="E547" s="54"/>
      <c r="F547" s="54"/>
      <c r="G547" s="54"/>
      <c r="H547" s="54"/>
      <c r="I547" s="54"/>
      <c r="J547" s="54"/>
      <c r="K547" s="24" t="n">
        <f aca="false">IFERROR(MIN(E547:J547),"")</f>
        <v>0</v>
      </c>
      <c r="L547" s="54" t="str">
        <f aca="false">IF(COUNT(E547:J547)&lt;2,"-",IF(LOOKUP(2,1/(E547:J547&lt;&gt;""),E547:J547)&lt;INDEX(E547:J547,MATCH(TRUE(),E547:J547&lt;&gt;"",0)),"↑",IF(LOOKUP(2,1/(E547:J547&lt;&gt;""),E547:J547)&gt;INDEX(E547:J547,MATCH(TRUE(),E547:J547&lt;&gt;"",0)),"↓","→")))</f>
        <v>-</v>
      </c>
    </row>
    <row r="548" customFormat="false" ht="25.5" hidden="false" customHeight="true" outlineLevel="0" collapsed="false">
      <c r="A548" s="54" t="n">
        <v>547</v>
      </c>
      <c r="B548" s="54" t="n">
        <v>5</v>
      </c>
      <c r="C548" s="23" t="s">
        <v>1341</v>
      </c>
      <c r="D548" s="23" t="s">
        <v>1342</v>
      </c>
      <c r="E548" s="54"/>
      <c r="F548" s="54"/>
      <c r="G548" s="54"/>
      <c r="H548" s="54"/>
      <c r="I548" s="54"/>
      <c r="J548" s="54"/>
      <c r="K548" s="24" t="n">
        <f aca="false">IFERROR(MIN(E548:J548),"")</f>
        <v>0</v>
      </c>
      <c r="L548" s="54" t="str">
        <f aca="false">IF(COUNT(E548:J548)&lt;2,"-",IF(LOOKUP(2,1/(E548:J548&lt;&gt;""),E548:J548)&lt;INDEX(E548:J548,MATCH(TRUE(),E548:J548&lt;&gt;"",0)),"↑",IF(LOOKUP(2,1/(E548:J548&lt;&gt;""),E548:J548)&gt;INDEX(E548:J548,MATCH(TRUE(),E548:J548&lt;&gt;"",0)),"↓","→")))</f>
        <v>-</v>
      </c>
    </row>
    <row r="549" customFormat="false" ht="25.5" hidden="false" customHeight="true" outlineLevel="0" collapsed="false">
      <c r="A549" s="54" t="n">
        <v>548</v>
      </c>
      <c r="B549" s="54" t="n">
        <v>5</v>
      </c>
      <c r="C549" s="25" t="s">
        <v>1343</v>
      </c>
      <c r="D549" s="25" t="s">
        <v>1344</v>
      </c>
      <c r="E549" s="54"/>
      <c r="F549" s="54"/>
      <c r="G549" s="54"/>
      <c r="H549" s="54"/>
      <c r="I549" s="54"/>
      <c r="J549" s="54"/>
      <c r="K549" s="24" t="n">
        <f aca="false">IFERROR(MIN(E549:J549),"")</f>
        <v>0</v>
      </c>
      <c r="L549" s="54" t="str">
        <f aca="false">IF(COUNT(E549:J549)&lt;2,"-",IF(LOOKUP(2,1/(E549:J549&lt;&gt;""),E549:J549)&lt;INDEX(E549:J549,MATCH(TRUE(),E549:J549&lt;&gt;"",0)),"↑",IF(LOOKUP(2,1/(E549:J549&lt;&gt;""),E549:J549)&gt;INDEX(E549:J549,MATCH(TRUE(),E549:J549&lt;&gt;"",0)),"↓","→")))</f>
        <v>-</v>
      </c>
    </row>
    <row r="550" customFormat="false" ht="25.5" hidden="false" customHeight="true" outlineLevel="0" collapsed="false">
      <c r="A550" s="54" t="n">
        <v>549</v>
      </c>
      <c r="B550" s="54" t="n">
        <v>5</v>
      </c>
      <c r="C550" s="23" t="s">
        <v>1345</v>
      </c>
      <c r="D550" s="23" t="s">
        <v>1346</v>
      </c>
      <c r="E550" s="54"/>
      <c r="F550" s="54"/>
      <c r="G550" s="54"/>
      <c r="H550" s="54"/>
      <c r="I550" s="54"/>
      <c r="J550" s="54"/>
      <c r="K550" s="24" t="n">
        <f aca="false">IFERROR(MIN(E550:J550),"")</f>
        <v>0</v>
      </c>
      <c r="L550" s="54" t="str">
        <f aca="false">IF(COUNT(E550:J550)&lt;2,"-",IF(LOOKUP(2,1/(E550:J550&lt;&gt;""),E550:J550)&lt;INDEX(E550:J550,MATCH(TRUE(),E550:J550&lt;&gt;"",0)),"↑",IF(LOOKUP(2,1/(E550:J550&lt;&gt;""),E550:J550)&gt;INDEX(E550:J550,MATCH(TRUE(),E550:J550&lt;&gt;"",0)),"↓","→")))</f>
        <v>-</v>
      </c>
    </row>
    <row r="551" customFormat="false" ht="25.5" hidden="false" customHeight="true" outlineLevel="0" collapsed="false">
      <c r="A551" s="54" t="n">
        <v>550</v>
      </c>
      <c r="B551" s="54" t="n">
        <v>5</v>
      </c>
      <c r="C551" s="25" t="s">
        <v>1347</v>
      </c>
      <c r="D551" s="25" t="s">
        <v>1348</v>
      </c>
      <c r="E551" s="54"/>
      <c r="F551" s="54"/>
      <c r="G551" s="54"/>
      <c r="H551" s="54"/>
      <c r="I551" s="54"/>
      <c r="J551" s="54"/>
      <c r="K551" s="24" t="n">
        <f aca="false">IFERROR(MIN(E551:J551),"")</f>
        <v>0</v>
      </c>
      <c r="L551" s="54" t="str">
        <f aca="false">IF(COUNT(E551:J551)&lt;2,"-",IF(LOOKUP(2,1/(E551:J551&lt;&gt;""),E551:J551)&lt;INDEX(E551:J551,MATCH(TRUE(),E551:J551&lt;&gt;"",0)),"↑",IF(LOOKUP(2,1/(E551:J551&lt;&gt;""),E551:J551)&gt;INDEX(E551:J551,MATCH(TRUE(),E551:J551&lt;&gt;"",0)),"↓","→")))</f>
        <v>-</v>
      </c>
    </row>
    <row r="552" customFormat="false" ht="25.5" hidden="false" customHeight="true" outlineLevel="0" collapsed="false">
      <c r="A552" s="54" t="n">
        <v>551</v>
      </c>
      <c r="B552" s="54" t="n">
        <v>5</v>
      </c>
      <c r="C552" s="23" t="s">
        <v>1349</v>
      </c>
      <c r="D552" s="23" t="s">
        <v>1351</v>
      </c>
      <c r="E552" s="54"/>
      <c r="F552" s="54"/>
      <c r="G552" s="54"/>
      <c r="H552" s="54"/>
      <c r="I552" s="54"/>
      <c r="J552" s="54"/>
      <c r="K552" s="24" t="n">
        <f aca="false">IFERROR(MIN(E552:J552),"")</f>
        <v>0</v>
      </c>
      <c r="L552" s="54" t="str">
        <f aca="false">IF(COUNT(E552:J552)&lt;2,"-",IF(LOOKUP(2,1/(E552:J552&lt;&gt;""),E552:J552)&lt;INDEX(E552:J552,MATCH(TRUE(),E552:J552&lt;&gt;"",0)),"↑",IF(LOOKUP(2,1/(E552:J552&lt;&gt;""),E552:J552)&gt;INDEX(E552:J552,MATCH(TRUE(),E552:J552&lt;&gt;"",0)),"↓","→")))</f>
        <v>-</v>
      </c>
    </row>
    <row r="553" customFormat="false" ht="25.5" hidden="false" customHeight="true" outlineLevel="0" collapsed="false">
      <c r="A553" s="54" t="n">
        <v>552</v>
      </c>
      <c r="B553" s="54" t="n">
        <v>5</v>
      </c>
      <c r="C553" s="25" t="s">
        <v>1352</v>
      </c>
      <c r="D553" s="25" t="s">
        <v>1353</v>
      </c>
      <c r="E553" s="54"/>
      <c r="F553" s="54"/>
      <c r="G553" s="54"/>
      <c r="H553" s="54"/>
      <c r="I553" s="54"/>
      <c r="J553" s="54"/>
      <c r="K553" s="24" t="n">
        <f aca="false">IFERROR(MIN(E553:J553),"")</f>
        <v>0</v>
      </c>
      <c r="L553" s="54" t="str">
        <f aca="false">IF(COUNT(E553:J553)&lt;2,"-",IF(LOOKUP(2,1/(E553:J553&lt;&gt;""),E553:J553)&lt;INDEX(E553:J553,MATCH(TRUE(),E553:J553&lt;&gt;"",0)),"↑",IF(LOOKUP(2,1/(E553:J553&lt;&gt;""),E553:J553)&gt;INDEX(E553:J553,MATCH(TRUE(),E553:J553&lt;&gt;"",0)),"↓","→")))</f>
        <v>-</v>
      </c>
    </row>
    <row r="554" customFormat="false" ht="25.5" hidden="false" customHeight="true" outlineLevel="0" collapsed="false">
      <c r="A554" s="54" t="n">
        <v>553</v>
      </c>
      <c r="B554" s="54" t="n">
        <v>5</v>
      </c>
      <c r="C554" s="23" t="s">
        <v>1354</v>
      </c>
      <c r="D554" s="23" t="s">
        <v>1355</v>
      </c>
      <c r="E554" s="54"/>
      <c r="F554" s="54"/>
      <c r="G554" s="54"/>
      <c r="H554" s="54"/>
      <c r="I554" s="54"/>
      <c r="J554" s="54"/>
      <c r="K554" s="24" t="n">
        <f aca="false">IFERROR(MIN(E554:J554),"")</f>
        <v>0</v>
      </c>
      <c r="L554" s="54" t="str">
        <f aca="false">IF(COUNT(E554:J554)&lt;2,"-",IF(LOOKUP(2,1/(E554:J554&lt;&gt;""),E554:J554)&lt;INDEX(E554:J554,MATCH(TRUE(),E554:J554&lt;&gt;"",0)),"↑",IF(LOOKUP(2,1/(E554:J554&lt;&gt;""),E554:J554)&gt;INDEX(E554:J554,MATCH(TRUE(),E554:J554&lt;&gt;"",0)),"↓","→")))</f>
        <v>-</v>
      </c>
    </row>
    <row r="555" customFormat="false" ht="25.5" hidden="false" customHeight="true" outlineLevel="0" collapsed="false">
      <c r="A555" s="54" t="n">
        <v>554</v>
      </c>
      <c r="B555" s="54" t="n">
        <v>5</v>
      </c>
      <c r="C555" s="25" t="s">
        <v>1356</v>
      </c>
      <c r="D555" s="25" t="s">
        <v>1357</v>
      </c>
      <c r="E555" s="54"/>
      <c r="F555" s="54"/>
      <c r="G555" s="54"/>
      <c r="H555" s="54"/>
      <c r="I555" s="54"/>
      <c r="J555" s="54"/>
      <c r="K555" s="24" t="n">
        <f aca="false">IFERROR(MIN(E555:J555),"")</f>
        <v>0</v>
      </c>
      <c r="L555" s="54" t="str">
        <f aca="false">IF(COUNT(E555:J555)&lt;2,"-",IF(LOOKUP(2,1/(E555:J555&lt;&gt;""),E555:J555)&lt;INDEX(E555:J555,MATCH(TRUE(),E555:J555&lt;&gt;"",0)),"↑",IF(LOOKUP(2,1/(E555:J555&lt;&gt;""),E555:J555)&gt;INDEX(E555:J555,MATCH(TRUE(),E555:J555&lt;&gt;"",0)),"↓","→")))</f>
        <v>-</v>
      </c>
    </row>
    <row r="556" customFormat="false" ht="25.5" hidden="false" customHeight="true" outlineLevel="0" collapsed="false">
      <c r="A556" s="54" t="n">
        <v>555</v>
      </c>
      <c r="B556" s="54" t="n">
        <v>5</v>
      </c>
      <c r="C556" s="23" t="s">
        <v>1358</v>
      </c>
      <c r="D556" s="23" t="s">
        <v>1359</v>
      </c>
      <c r="E556" s="54"/>
      <c r="F556" s="54"/>
      <c r="G556" s="54"/>
      <c r="H556" s="54"/>
      <c r="I556" s="54"/>
      <c r="J556" s="54"/>
      <c r="K556" s="24" t="n">
        <f aca="false">IFERROR(MIN(E556:J556),"")</f>
        <v>0</v>
      </c>
      <c r="L556" s="54" t="str">
        <f aca="false">IF(COUNT(E556:J556)&lt;2,"-",IF(LOOKUP(2,1/(E556:J556&lt;&gt;""),E556:J556)&lt;INDEX(E556:J556,MATCH(TRUE(),E556:J556&lt;&gt;"",0)),"↑",IF(LOOKUP(2,1/(E556:J556&lt;&gt;""),E556:J556)&gt;INDEX(E556:J556,MATCH(TRUE(),E556:J556&lt;&gt;"",0)),"↓","→")))</f>
        <v>-</v>
      </c>
    </row>
    <row r="557" customFormat="false" ht="25.5" hidden="false" customHeight="true" outlineLevel="0" collapsed="false">
      <c r="A557" s="54" t="n">
        <v>556</v>
      </c>
      <c r="B557" s="54" t="n">
        <v>5</v>
      </c>
      <c r="C557" s="25" t="s">
        <v>1360</v>
      </c>
      <c r="D557" s="25" t="s">
        <v>1361</v>
      </c>
      <c r="E557" s="54"/>
      <c r="F557" s="54"/>
      <c r="G557" s="54"/>
      <c r="H557" s="54"/>
      <c r="I557" s="54"/>
      <c r="J557" s="54"/>
      <c r="K557" s="24" t="n">
        <f aca="false">IFERROR(MIN(E557:J557),"")</f>
        <v>0</v>
      </c>
      <c r="L557" s="54" t="str">
        <f aca="false">IF(COUNT(E557:J557)&lt;2,"-",IF(LOOKUP(2,1/(E557:J557&lt;&gt;""),E557:J557)&lt;INDEX(E557:J557,MATCH(TRUE(),E557:J557&lt;&gt;"",0)),"↑",IF(LOOKUP(2,1/(E557:J557&lt;&gt;""),E557:J557)&gt;INDEX(E557:J557,MATCH(TRUE(),E557:J557&lt;&gt;"",0)),"↓","→")))</f>
        <v>-</v>
      </c>
    </row>
    <row r="558" customFormat="false" ht="25.5" hidden="false" customHeight="true" outlineLevel="0" collapsed="false">
      <c r="A558" s="54" t="n">
        <v>557</v>
      </c>
      <c r="B558" s="54" t="n">
        <v>5</v>
      </c>
      <c r="C558" s="23" t="s">
        <v>1362</v>
      </c>
      <c r="D558" s="23" t="s">
        <v>1363</v>
      </c>
      <c r="E558" s="54"/>
      <c r="F558" s="54"/>
      <c r="G558" s="54"/>
      <c r="H558" s="54"/>
      <c r="I558" s="54"/>
      <c r="J558" s="54"/>
      <c r="K558" s="24" t="n">
        <f aca="false">IFERROR(MIN(E558:J558),"")</f>
        <v>0</v>
      </c>
      <c r="L558" s="54" t="str">
        <f aca="false">IF(COUNT(E558:J558)&lt;2,"-",IF(LOOKUP(2,1/(E558:J558&lt;&gt;""),E558:J558)&lt;INDEX(E558:J558,MATCH(TRUE(),E558:J558&lt;&gt;"",0)),"↑",IF(LOOKUP(2,1/(E558:J558&lt;&gt;""),E558:J558)&gt;INDEX(E558:J558,MATCH(TRUE(),E558:J558&lt;&gt;"",0)),"↓","→")))</f>
        <v>-</v>
      </c>
    </row>
    <row r="559" customFormat="false" ht="25.5" hidden="false" customHeight="true" outlineLevel="0" collapsed="false">
      <c r="A559" s="54" t="n">
        <v>558</v>
      </c>
      <c r="B559" s="54" t="n">
        <v>5</v>
      </c>
      <c r="C559" s="25" t="s">
        <v>1364</v>
      </c>
      <c r="D559" s="25" t="s">
        <v>1365</v>
      </c>
      <c r="E559" s="54"/>
      <c r="F559" s="54"/>
      <c r="G559" s="54"/>
      <c r="H559" s="54"/>
      <c r="I559" s="54"/>
      <c r="J559" s="54"/>
      <c r="K559" s="24" t="n">
        <f aca="false">IFERROR(MIN(E559:J559),"")</f>
        <v>0</v>
      </c>
      <c r="L559" s="54" t="str">
        <f aca="false">IF(COUNT(E559:J559)&lt;2,"-",IF(LOOKUP(2,1/(E559:J559&lt;&gt;""),E559:J559)&lt;INDEX(E559:J559,MATCH(TRUE(),E559:J559&lt;&gt;"",0)),"↑",IF(LOOKUP(2,1/(E559:J559&lt;&gt;""),E559:J559)&gt;INDEX(E559:J559,MATCH(TRUE(),E559:J559&lt;&gt;"",0)),"↓","→")))</f>
        <v>-</v>
      </c>
    </row>
    <row r="560" customFormat="false" ht="25.5" hidden="false" customHeight="true" outlineLevel="0" collapsed="false">
      <c r="A560" s="54" t="n">
        <v>559</v>
      </c>
      <c r="B560" s="54" t="n">
        <v>5</v>
      </c>
      <c r="C560" s="23" t="s">
        <v>1366</v>
      </c>
      <c r="D560" s="23" t="s">
        <v>1368</v>
      </c>
      <c r="E560" s="54"/>
      <c r="F560" s="54"/>
      <c r="G560" s="54"/>
      <c r="H560" s="54"/>
      <c r="I560" s="54"/>
      <c r="J560" s="54"/>
      <c r="K560" s="24" t="n">
        <f aca="false">IFERROR(MIN(E560:J560),"")</f>
        <v>0</v>
      </c>
      <c r="L560" s="54" t="str">
        <f aca="false">IF(COUNT(E560:J560)&lt;2,"-",IF(LOOKUP(2,1/(E560:J560&lt;&gt;""),E560:J560)&lt;INDEX(E560:J560,MATCH(TRUE(),E560:J560&lt;&gt;"",0)),"↑",IF(LOOKUP(2,1/(E560:J560&lt;&gt;""),E560:J560)&gt;INDEX(E560:J560,MATCH(TRUE(),E560:J560&lt;&gt;"",0)),"↓","→")))</f>
        <v>-</v>
      </c>
    </row>
    <row r="561" customFormat="false" ht="25.5" hidden="false" customHeight="true" outlineLevel="0" collapsed="false">
      <c r="A561" s="54" t="n">
        <v>560</v>
      </c>
      <c r="B561" s="54" t="n">
        <v>5</v>
      </c>
      <c r="C561" s="25" t="s">
        <v>1369</v>
      </c>
      <c r="D561" s="25" t="s">
        <v>1370</v>
      </c>
      <c r="E561" s="54"/>
      <c r="F561" s="54"/>
      <c r="G561" s="54"/>
      <c r="H561" s="54"/>
      <c r="I561" s="54"/>
      <c r="J561" s="54"/>
      <c r="K561" s="24" t="n">
        <f aca="false">IFERROR(MIN(E561:J561),"")</f>
        <v>0</v>
      </c>
      <c r="L561" s="54" t="str">
        <f aca="false">IF(COUNT(E561:J561)&lt;2,"-",IF(LOOKUP(2,1/(E561:J561&lt;&gt;""),E561:J561)&lt;INDEX(E561:J561,MATCH(TRUE(),E561:J561&lt;&gt;"",0)),"↑",IF(LOOKUP(2,1/(E561:J561&lt;&gt;""),E561:J561)&gt;INDEX(E561:J561,MATCH(TRUE(),E561:J561&lt;&gt;"",0)),"↓","→")))</f>
        <v>-</v>
      </c>
    </row>
    <row r="562" customFormat="false" ht="25.5" hidden="false" customHeight="true" outlineLevel="0" collapsed="false">
      <c r="A562" s="54" t="n">
        <v>561</v>
      </c>
      <c r="B562" s="54" t="n">
        <v>5</v>
      </c>
      <c r="C562" s="23" t="s">
        <v>1371</v>
      </c>
      <c r="D562" s="23" t="s">
        <v>1372</v>
      </c>
      <c r="E562" s="54"/>
      <c r="F562" s="54"/>
      <c r="G562" s="54"/>
      <c r="H562" s="54"/>
      <c r="I562" s="54"/>
      <c r="J562" s="54"/>
      <c r="K562" s="24" t="n">
        <f aca="false">IFERROR(MIN(E562:J562),"")</f>
        <v>0</v>
      </c>
      <c r="L562" s="54" t="str">
        <f aca="false">IF(COUNT(E562:J562)&lt;2,"-",IF(LOOKUP(2,1/(E562:J562&lt;&gt;""),E562:J562)&lt;INDEX(E562:J562,MATCH(TRUE(),E562:J562&lt;&gt;"",0)),"↑",IF(LOOKUP(2,1/(E562:J562&lt;&gt;""),E562:J562)&gt;INDEX(E562:J562,MATCH(TRUE(),E562:J562&lt;&gt;"",0)),"↓","→")))</f>
        <v>-</v>
      </c>
    </row>
    <row r="563" customFormat="false" ht="25.5" hidden="false" customHeight="true" outlineLevel="0" collapsed="false">
      <c r="A563" s="54" t="n">
        <v>562</v>
      </c>
      <c r="B563" s="54" t="n">
        <v>5</v>
      </c>
      <c r="C563" s="25" t="s">
        <v>1373</v>
      </c>
      <c r="D563" s="25" t="s">
        <v>1374</v>
      </c>
      <c r="E563" s="54"/>
      <c r="F563" s="54"/>
      <c r="G563" s="54"/>
      <c r="H563" s="54"/>
      <c r="I563" s="54"/>
      <c r="J563" s="54"/>
      <c r="K563" s="24" t="n">
        <f aca="false">IFERROR(MIN(E563:J563),"")</f>
        <v>0</v>
      </c>
      <c r="L563" s="54" t="str">
        <f aca="false">IF(COUNT(E563:J563)&lt;2,"-",IF(LOOKUP(2,1/(E563:J563&lt;&gt;""),E563:J563)&lt;INDEX(E563:J563,MATCH(TRUE(),E563:J563&lt;&gt;"",0)),"↑",IF(LOOKUP(2,1/(E563:J563&lt;&gt;""),E563:J563)&gt;INDEX(E563:J563,MATCH(TRUE(),E563:J563&lt;&gt;"",0)),"↓","→")))</f>
        <v>-</v>
      </c>
    </row>
    <row r="564" customFormat="false" ht="25.5" hidden="false" customHeight="true" outlineLevel="0" collapsed="false">
      <c r="A564" s="54" t="n">
        <v>563</v>
      </c>
      <c r="B564" s="54" t="n">
        <v>5</v>
      </c>
      <c r="C564" s="23" t="s">
        <v>1375</v>
      </c>
      <c r="D564" s="23" t="s">
        <v>1377</v>
      </c>
      <c r="E564" s="54"/>
      <c r="F564" s="54"/>
      <c r="G564" s="54"/>
      <c r="H564" s="54"/>
      <c r="I564" s="54"/>
      <c r="J564" s="54"/>
      <c r="K564" s="24" t="n">
        <f aca="false">IFERROR(MIN(E564:J564),"")</f>
        <v>0</v>
      </c>
      <c r="L564" s="54" t="str">
        <f aca="false">IF(COUNT(E564:J564)&lt;2,"-",IF(LOOKUP(2,1/(E564:J564&lt;&gt;""),E564:J564)&lt;INDEX(E564:J564,MATCH(TRUE(),E564:J564&lt;&gt;"",0)),"↑",IF(LOOKUP(2,1/(E564:J564&lt;&gt;""),E564:J564)&gt;INDEX(E564:J564,MATCH(TRUE(),E564:J564&lt;&gt;"",0)),"↓","→")))</f>
        <v>-</v>
      </c>
    </row>
    <row r="565" customFormat="false" ht="25.5" hidden="false" customHeight="true" outlineLevel="0" collapsed="false">
      <c r="A565" s="54" t="n">
        <v>564</v>
      </c>
      <c r="B565" s="54" t="n">
        <v>5</v>
      </c>
      <c r="C565" s="25" t="s">
        <v>1378</v>
      </c>
      <c r="D565" s="25" t="s">
        <v>1379</v>
      </c>
      <c r="E565" s="54"/>
      <c r="F565" s="54"/>
      <c r="G565" s="54"/>
      <c r="H565" s="54"/>
      <c r="I565" s="54"/>
      <c r="J565" s="54"/>
      <c r="K565" s="24" t="n">
        <f aca="false">IFERROR(MIN(E565:J565),"")</f>
        <v>0</v>
      </c>
      <c r="L565" s="54" t="str">
        <f aca="false">IF(COUNT(E565:J565)&lt;2,"-",IF(LOOKUP(2,1/(E565:J565&lt;&gt;""),E565:J565)&lt;INDEX(E565:J565,MATCH(TRUE(),E565:J565&lt;&gt;"",0)),"↑",IF(LOOKUP(2,1/(E565:J565&lt;&gt;""),E565:J565)&gt;INDEX(E565:J565,MATCH(TRUE(),E565:J565&lt;&gt;"",0)),"↓","→")))</f>
        <v>-</v>
      </c>
    </row>
    <row r="566" customFormat="false" ht="25.5" hidden="false" customHeight="true" outlineLevel="0" collapsed="false">
      <c r="A566" s="54" t="n">
        <v>565</v>
      </c>
      <c r="B566" s="54" t="n">
        <v>5</v>
      </c>
      <c r="C566" s="23" t="s">
        <v>1380</v>
      </c>
      <c r="D566" s="23" t="s">
        <v>1381</v>
      </c>
      <c r="E566" s="54"/>
      <c r="F566" s="54"/>
      <c r="G566" s="54"/>
      <c r="H566" s="54"/>
      <c r="I566" s="54"/>
      <c r="J566" s="54"/>
      <c r="K566" s="24" t="n">
        <f aca="false">IFERROR(MIN(E566:J566),"")</f>
        <v>0</v>
      </c>
      <c r="L566" s="54" t="str">
        <f aca="false">IF(COUNT(E566:J566)&lt;2,"-",IF(LOOKUP(2,1/(E566:J566&lt;&gt;""),E566:J566)&lt;INDEX(E566:J566,MATCH(TRUE(),E566:J566&lt;&gt;"",0)),"↑",IF(LOOKUP(2,1/(E566:J566&lt;&gt;""),E566:J566)&gt;INDEX(E566:J566,MATCH(TRUE(),E566:J566&lt;&gt;"",0)),"↓","→")))</f>
        <v>-</v>
      </c>
    </row>
    <row r="567" customFormat="false" ht="25.5" hidden="false" customHeight="true" outlineLevel="0" collapsed="false">
      <c r="A567" s="54" t="n">
        <v>566</v>
      </c>
      <c r="B567" s="54" t="n">
        <v>5</v>
      </c>
      <c r="C567" s="25" t="s">
        <v>1382</v>
      </c>
      <c r="D567" s="25" t="s">
        <v>1383</v>
      </c>
      <c r="E567" s="54"/>
      <c r="F567" s="54"/>
      <c r="G567" s="54"/>
      <c r="H567" s="54"/>
      <c r="I567" s="54"/>
      <c r="J567" s="54"/>
      <c r="K567" s="24" t="n">
        <f aca="false">IFERROR(MIN(E567:J567),"")</f>
        <v>0</v>
      </c>
      <c r="L567" s="54" t="str">
        <f aca="false">IF(COUNT(E567:J567)&lt;2,"-",IF(LOOKUP(2,1/(E567:J567&lt;&gt;""),E567:J567)&lt;INDEX(E567:J567,MATCH(TRUE(),E567:J567&lt;&gt;"",0)),"↑",IF(LOOKUP(2,1/(E567:J567&lt;&gt;""),E567:J567)&gt;INDEX(E567:J567,MATCH(TRUE(),E567:J567&lt;&gt;"",0)),"↓","→")))</f>
        <v>-</v>
      </c>
    </row>
    <row r="568" customFormat="false" ht="25.5" hidden="false" customHeight="true" outlineLevel="0" collapsed="false">
      <c r="A568" s="54" t="n">
        <v>567</v>
      </c>
      <c r="B568" s="54" t="n">
        <v>5</v>
      </c>
      <c r="C568" s="23" t="s">
        <v>1384</v>
      </c>
      <c r="D568" s="23" t="s">
        <v>1385</v>
      </c>
      <c r="E568" s="54"/>
      <c r="F568" s="54"/>
      <c r="G568" s="54"/>
      <c r="H568" s="54"/>
      <c r="I568" s="54"/>
      <c r="J568" s="54"/>
      <c r="K568" s="24" t="n">
        <f aca="false">IFERROR(MIN(E568:J568),"")</f>
        <v>0</v>
      </c>
      <c r="L568" s="54" t="str">
        <f aca="false">IF(COUNT(E568:J568)&lt;2,"-",IF(LOOKUP(2,1/(E568:J568&lt;&gt;""),E568:J568)&lt;INDEX(E568:J568,MATCH(TRUE(),E568:J568&lt;&gt;"",0)),"↑",IF(LOOKUP(2,1/(E568:J568&lt;&gt;""),E568:J568)&gt;INDEX(E568:J568,MATCH(TRUE(),E568:J568&lt;&gt;"",0)),"↓","→")))</f>
        <v>-</v>
      </c>
    </row>
    <row r="569" customFormat="false" ht="25.5" hidden="false" customHeight="true" outlineLevel="0" collapsed="false">
      <c r="A569" s="54" t="n">
        <v>568</v>
      </c>
      <c r="B569" s="54" t="n">
        <v>5</v>
      </c>
      <c r="C569" s="25" t="s">
        <v>1386</v>
      </c>
      <c r="D569" s="25" t="s">
        <v>1387</v>
      </c>
      <c r="E569" s="54"/>
      <c r="F569" s="54"/>
      <c r="G569" s="54"/>
      <c r="H569" s="54"/>
      <c r="I569" s="54"/>
      <c r="J569" s="54"/>
      <c r="K569" s="24" t="n">
        <f aca="false">IFERROR(MIN(E569:J569),"")</f>
        <v>0</v>
      </c>
      <c r="L569" s="54" t="str">
        <f aca="false">IF(COUNT(E569:J569)&lt;2,"-",IF(LOOKUP(2,1/(E569:J569&lt;&gt;""),E569:J569)&lt;INDEX(E569:J569,MATCH(TRUE(),E569:J569&lt;&gt;"",0)),"↑",IF(LOOKUP(2,1/(E569:J569&lt;&gt;""),E569:J569)&gt;INDEX(E569:J569,MATCH(TRUE(),E569:J569&lt;&gt;"",0)),"↓","→")))</f>
        <v>-</v>
      </c>
    </row>
    <row r="570" customFormat="false" ht="25.5" hidden="false" customHeight="true" outlineLevel="0" collapsed="false">
      <c r="A570" s="54" t="n">
        <v>569</v>
      </c>
      <c r="B570" s="54" t="n">
        <v>5</v>
      </c>
      <c r="C570" s="23" t="s">
        <v>1388</v>
      </c>
      <c r="D570" s="23" t="s">
        <v>1389</v>
      </c>
      <c r="E570" s="54"/>
      <c r="F570" s="54"/>
      <c r="G570" s="54"/>
      <c r="H570" s="54"/>
      <c r="I570" s="54"/>
      <c r="J570" s="54"/>
      <c r="K570" s="24" t="n">
        <f aca="false">IFERROR(MIN(E570:J570),"")</f>
        <v>0</v>
      </c>
      <c r="L570" s="54" t="str">
        <f aca="false">IF(COUNT(E570:J570)&lt;2,"-",IF(LOOKUP(2,1/(E570:J570&lt;&gt;""),E570:J570)&lt;INDEX(E570:J570,MATCH(TRUE(),E570:J570&lt;&gt;"",0)),"↑",IF(LOOKUP(2,1/(E570:J570&lt;&gt;""),E570:J570)&gt;INDEX(E570:J570,MATCH(TRUE(),E570:J570&lt;&gt;"",0)),"↓","→")))</f>
        <v>-</v>
      </c>
    </row>
    <row r="571" customFormat="false" ht="25.5" hidden="false" customHeight="true" outlineLevel="0" collapsed="false">
      <c r="A571" s="54" t="n">
        <v>570</v>
      </c>
      <c r="B571" s="54" t="n">
        <v>5</v>
      </c>
      <c r="C571" s="25" t="s">
        <v>1390</v>
      </c>
      <c r="D571" s="25" t="s">
        <v>1391</v>
      </c>
      <c r="E571" s="54"/>
      <c r="F571" s="54"/>
      <c r="G571" s="54"/>
      <c r="H571" s="54"/>
      <c r="I571" s="54"/>
      <c r="J571" s="54"/>
      <c r="K571" s="24" t="n">
        <f aca="false">IFERROR(MIN(E571:J571),"")</f>
        <v>0</v>
      </c>
      <c r="L571" s="54" t="str">
        <f aca="false">IF(COUNT(E571:J571)&lt;2,"-",IF(LOOKUP(2,1/(E571:J571&lt;&gt;""),E571:J571)&lt;INDEX(E571:J571,MATCH(TRUE(),E571:J571&lt;&gt;"",0)),"↑",IF(LOOKUP(2,1/(E571:J571&lt;&gt;""),E571:J571)&gt;INDEX(E571:J571,MATCH(TRUE(),E571:J571&lt;&gt;"",0)),"↓","→")))</f>
        <v>-</v>
      </c>
    </row>
    <row r="572" customFormat="false" ht="25.5" hidden="false" customHeight="true" outlineLevel="0" collapsed="false">
      <c r="A572" s="54" t="n">
        <v>571</v>
      </c>
      <c r="B572" s="54" t="n">
        <v>5</v>
      </c>
      <c r="C572" s="23" t="s">
        <v>1392</v>
      </c>
      <c r="D572" s="23" t="s">
        <v>1393</v>
      </c>
      <c r="E572" s="54"/>
      <c r="F572" s="54"/>
      <c r="G572" s="54"/>
      <c r="H572" s="54"/>
      <c r="I572" s="54"/>
      <c r="J572" s="54"/>
      <c r="K572" s="24" t="n">
        <f aca="false">IFERROR(MIN(E572:J572),"")</f>
        <v>0</v>
      </c>
      <c r="L572" s="54" t="str">
        <f aca="false">IF(COUNT(E572:J572)&lt;2,"-",IF(LOOKUP(2,1/(E572:J572&lt;&gt;""),E572:J572)&lt;INDEX(E572:J572,MATCH(TRUE(),E572:J572&lt;&gt;"",0)),"↑",IF(LOOKUP(2,1/(E572:J572&lt;&gt;""),E572:J572)&gt;INDEX(E572:J572,MATCH(TRUE(),E572:J572&lt;&gt;"",0)),"↓","→")))</f>
        <v>-</v>
      </c>
    </row>
    <row r="573" customFormat="false" ht="25.5" hidden="false" customHeight="true" outlineLevel="0" collapsed="false">
      <c r="A573" s="54" t="n">
        <v>572</v>
      </c>
      <c r="B573" s="54" t="n">
        <v>5</v>
      </c>
      <c r="C573" s="25" t="s">
        <v>1394</v>
      </c>
      <c r="D573" s="25" t="s">
        <v>1395</v>
      </c>
      <c r="E573" s="54"/>
      <c r="F573" s="54"/>
      <c r="G573" s="54"/>
      <c r="H573" s="54"/>
      <c r="I573" s="54"/>
      <c r="J573" s="54"/>
      <c r="K573" s="24" t="n">
        <f aca="false">IFERROR(MIN(E573:J573),"")</f>
        <v>0</v>
      </c>
      <c r="L573" s="54" t="str">
        <f aca="false">IF(COUNT(E573:J573)&lt;2,"-",IF(LOOKUP(2,1/(E573:J573&lt;&gt;""),E573:J573)&lt;INDEX(E573:J573,MATCH(TRUE(),E573:J573&lt;&gt;"",0)),"↑",IF(LOOKUP(2,1/(E573:J573&lt;&gt;""),E573:J573)&gt;INDEX(E573:J573,MATCH(TRUE(),E573:J573&lt;&gt;"",0)),"↓","→")))</f>
        <v>-</v>
      </c>
    </row>
    <row r="574" customFormat="false" ht="25.5" hidden="false" customHeight="true" outlineLevel="0" collapsed="false">
      <c r="A574" s="54" t="n">
        <v>573</v>
      </c>
      <c r="B574" s="54" t="n">
        <v>5</v>
      </c>
      <c r="C574" s="23" t="s">
        <v>1396</v>
      </c>
      <c r="D574" s="23" t="s">
        <v>1397</v>
      </c>
      <c r="E574" s="54"/>
      <c r="F574" s="54"/>
      <c r="G574" s="54"/>
      <c r="H574" s="54"/>
      <c r="I574" s="54"/>
      <c r="J574" s="54"/>
      <c r="K574" s="24" t="n">
        <f aca="false">IFERROR(MIN(E574:J574),"")</f>
        <v>0</v>
      </c>
      <c r="L574" s="54" t="str">
        <f aca="false">IF(COUNT(E574:J574)&lt;2,"-",IF(LOOKUP(2,1/(E574:J574&lt;&gt;""),E574:J574)&lt;INDEX(E574:J574,MATCH(TRUE(),E574:J574&lt;&gt;"",0)),"↑",IF(LOOKUP(2,1/(E574:J574&lt;&gt;""),E574:J574)&gt;INDEX(E574:J574,MATCH(TRUE(),E574:J574&lt;&gt;"",0)),"↓","→")))</f>
        <v>-</v>
      </c>
    </row>
    <row r="575" customFormat="false" ht="25.5" hidden="false" customHeight="true" outlineLevel="0" collapsed="false">
      <c r="A575" s="54" t="n">
        <v>574</v>
      </c>
      <c r="B575" s="54" t="n">
        <v>5</v>
      </c>
      <c r="C575" s="25" t="s">
        <v>1398</v>
      </c>
      <c r="D575" s="25" t="s">
        <v>1399</v>
      </c>
      <c r="E575" s="54"/>
      <c r="F575" s="54"/>
      <c r="G575" s="54"/>
      <c r="H575" s="54"/>
      <c r="I575" s="54"/>
      <c r="J575" s="54"/>
      <c r="K575" s="24" t="n">
        <f aca="false">IFERROR(MIN(E575:J575),"")</f>
        <v>0</v>
      </c>
      <c r="L575" s="54" t="str">
        <f aca="false">IF(COUNT(E575:J575)&lt;2,"-",IF(LOOKUP(2,1/(E575:J575&lt;&gt;""),E575:J575)&lt;INDEX(E575:J575,MATCH(TRUE(),E575:J575&lt;&gt;"",0)),"↑",IF(LOOKUP(2,1/(E575:J575&lt;&gt;""),E575:J575)&gt;INDEX(E575:J575,MATCH(TRUE(),E575:J575&lt;&gt;"",0)),"↓","→")))</f>
        <v>-</v>
      </c>
    </row>
    <row r="576" customFormat="false" ht="25.5" hidden="false" customHeight="true" outlineLevel="0" collapsed="false">
      <c r="A576" s="54" t="n">
        <v>575</v>
      </c>
      <c r="B576" s="54" t="n">
        <v>5</v>
      </c>
      <c r="C576" s="23" t="s">
        <v>1400</v>
      </c>
      <c r="D576" s="23" t="s">
        <v>1401</v>
      </c>
      <c r="E576" s="54"/>
      <c r="F576" s="54"/>
      <c r="G576" s="54"/>
      <c r="H576" s="54"/>
      <c r="I576" s="54"/>
      <c r="J576" s="54"/>
      <c r="K576" s="24" t="n">
        <f aca="false">IFERROR(MIN(E576:J576),"")</f>
        <v>0</v>
      </c>
      <c r="L576" s="54" t="str">
        <f aca="false">IF(COUNT(E576:J576)&lt;2,"-",IF(LOOKUP(2,1/(E576:J576&lt;&gt;""),E576:J576)&lt;INDEX(E576:J576,MATCH(TRUE(),E576:J576&lt;&gt;"",0)),"↑",IF(LOOKUP(2,1/(E576:J576&lt;&gt;""),E576:J576)&gt;INDEX(E576:J576,MATCH(TRUE(),E576:J576&lt;&gt;"",0)),"↓","→")))</f>
        <v>-</v>
      </c>
    </row>
    <row r="577" customFormat="false" ht="25.5" hidden="false" customHeight="true" outlineLevel="0" collapsed="false">
      <c r="A577" s="54" t="n">
        <v>576</v>
      </c>
      <c r="B577" s="54" t="n">
        <v>5</v>
      </c>
      <c r="C577" s="25" t="s">
        <v>1402</v>
      </c>
      <c r="D577" s="25" t="s">
        <v>1403</v>
      </c>
      <c r="E577" s="54"/>
      <c r="F577" s="54"/>
      <c r="G577" s="54"/>
      <c r="H577" s="54"/>
      <c r="I577" s="54"/>
      <c r="J577" s="54"/>
      <c r="K577" s="24" t="n">
        <f aca="false">IFERROR(MIN(E577:J577),"")</f>
        <v>0</v>
      </c>
      <c r="L577" s="54" t="str">
        <f aca="false">IF(COUNT(E577:J577)&lt;2,"-",IF(LOOKUP(2,1/(E577:J577&lt;&gt;""),E577:J577)&lt;INDEX(E577:J577,MATCH(TRUE(),E577:J577&lt;&gt;"",0)),"↑",IF(LOOKUP(2,1/(E577:J577&lt;&gt;""),E577:J577)&gt;INDEX(E577:J577,MATCH(TRUE(),E577:J577&lt;&gt;"",0)),"↓","→")))</f>
        <v>-</v>
      </c>
    </row>
    <row r="578" customFormat="false" ht="25.5" hidden="false" customHeight="true" outlineLevel="0" collapsed="false">
      <c r="A578" s="54" t="n">
        <v>577</v>
      </c>
      <c r="B578" s="54" t="n">
        <v>5</v>
      </c>
      <c r="C578" s="23" t="s">
        <v>1404</v>
      </c>
      <c r="D578" s="23" t="s">
        <v>1405</v>
      </c>
      <c r="E578" s="54"/>
      <c r="F578" s="54"/>
      <c r="G578" s="54"/>
      <c r="H578" s="54"/>
      <c r="I578" s="54"/>
      <c r="J578" s="54"/>
      <c r="K578" s="24" t="n">
        <f aca="false">IFERROR(MIN(E578:J578),"")</f>
        <v>0</v>
      </c>
      <c r="L578" s="54" t="str">
        <f aca="false">IF(COUNT(E578:J578)&lt;2,"-",IF(LOOKUP(2,1/(E578:J578&lt;&gt;""),E578:J578)&lt;INDEX(E578:J578,MATCH(TRUE(),E578:J578&lt;&gt;"",0)),"↑",IF(LOOKUP(2,1/(E578:J578&lt;&gt;""),E578:J578)&gt;INDEX(E578:J578,MATCH(TRUE(),E578:J578&lt;&gt;"",0)),"↓","→")))</f>
        <v>-</v>
      </c>
    </row>
    <row r="579" customFormat="false" ht="25.5" hidden="false" customHeight="true" outlineLevel="0" collapsed="false">
      <c r="A579" s="54" t="n">
        <v>578</v>
      </c>
      <c r="B579" s="54" t="n">
        <v>5</v>
      </c>
      <c r="C579" s="25" t="s">
        <v>1406</v>
      </c>
      <c r="D579" s="25" t="s">
        <v>1407</v>
      </c>
      <c r="E579" s="54"/>
      <c r="F579" s="54"/>
      <c r="G579" s="54"/>
      <c r="H579" s="54"/>
      <c r="I579" s="54"/>
      <c r="J579" s="54"/>
      <c r="K579" s="24" t="n">
        <f aca="false">IFERROR(MIN(E579:J579),"")</f>
        <v>0</v>
      </c>
      <c r="L579" s="54" t="str">
        <f aca="false">IF(COUNT(E579:J579)&lt;2,"-",IF(LOOKUP(2,1/(E579:J579&lt;&gt;""),E579:J579)&lt;INDEX(E579:J579,MATCH(TRUE(),E579:J579&lt;&gt;"",0)),"↑",IF(LOOKUP(2,1/(E579:J579&lt;&gt;""),E579:J579)&gt;INDEX(E579:J579,MATCH(TRUE(),E579:J579&lt;&gt;"",0)),"↓","→")))</f>
        <v>-</v>
      </c>
    </row>
    <row r="580" customFormat="false" ht="25.5" hidden="false" customHeight="true" outlineLevel="0" collapsed="false">
      <c r="A580" s="54" t="n">
        <v>579</v>
      </c>
      <c r="B580" s="54" t="n">
        <v>5</v>
      </c>
      <c r="C580" s="23" t="s">
        <v>1408</v>
      </c>
      <c r="D580" s="23" t="s">
        <v>1409</v>
      </c>
      <c r="E580" s="54"/>
      <c r="F580" s="54"/>
      <c r="G580" s="54"/>
      <c r="H580" s="54"/>
      <c r="I580" s="54"/>
      <c r="J580" s="54"/>
      <c r="K580" s="24" t="n">
        <f aca="false">IFERROR(MIN(E580:J580),"")</f>
        <v>0</v>
      </c>
      <c r="L580" s="54" t="str">
        <f aca="false">IF(COUNT(E580:J580)&lt;2,"-",IF(LOOKUP(2,1/(E580:J580&lt;&gt;""),E580:J580)&lt;INDEX(E580:J580,MATCH(TRUE(),E580:J580&lt;&gt;"",0)),"↑",IF(LOOKUP(2,1/(E580:J580&lt;&gt;""),E580:J580)&gt;INDEX(E580:J580,MATCH(TRUE(),E580:J580&lt;&gt;"",0)),"↓","→")))</f>
        <v>-</v>
      </c>
    </row>
    <row r="581" customFormat="false" ht="25.5" hidden="false" customHeight="true" outlineLevel="0" collapsed="false">
      <c r="A581" s="54" t="n">
        <v>580</v>
      </c>
      <c r="B581" s="54" t="n">
        <v>5</v>
      </c>
      <c r="C581" s="25" t="s">
        <v>1410</v>
      </c>
      <c r="D581" s="25" t="s">
        <v>1411</v>
      </c>
      <c r="E581" s="54"/>
      <c r="F581" s="54"/>
      <c r="G581" s="54"/>
      <c r="H581" s="54"/>
      <c r="I581" s="54"/>
      <c r="J581" s="54"/>
      <c r="K581" s="24" t="n">
        <f aca="false">IFERROR(MIN(E581:J581),"")</f>
        <v>0</v>
      </c>
      <c r="L581" s="54" t="str">
        <f aca="false">IF(COUNT(E581:J581)&lt;2,"-",IF(LOOKUP(2,1/(E581:J581&lt;&gt;""),E581:J581)&lt;INDEX(E581:J581,MATCH(TRUE(),E581:J581&lt;&gt;"",0)),"↑",IF(LOOKUP(2,1/(E581:J581&lt;&gt;""),E581:J581)&gt;INDEX(E581:J581,MATCH(TRUE(),E581:J581&lt;&gt;"",0)),"↓","→")))</f>
        <v>-</v>
      </c>
    </row>
    <row r="582" customFormat="false" ht="25.5" hidden="false" customHeight="true" outlineLevel="0" collapsed="false">
      <c r="A582" s="54" t="n">
        <v>581</v>
      </c>
      <c r="B582" s="54" t="n">
        <v>5</v>
      </c>
      <c r="C582" s="23" t="s">
        <v>1412</v>
      </c>
      <c r="D582" s="23" t="s">
        <v>1414</v>
      </c>
      <c r="E582" s="54"/>
      <c r="F582" s="54"/>
      <c r="G582" s="54"/>
      <c r="H582" s="54"/>
      <c r="I582" s="54"/>
      <c r="J582" s="54"/>
      <c r="K582" s="24" t="n">
        <f aca="false">IFERROR(MIN(E582:J582),"")</f>
        <v>0</v>
      </c>
      <c r="L582" s="54" t="str">
        <f aca="false">IF(COUNT(E582:J582)&lt;2,"-",IF(LOOKUP(2,1/(E582:J582&lt;&gt;""),E582:J582)&lt;INDEX(E582:J582,MATCH(TRUE(),E582:J582&lt;&gt;"",0)),"↑",IF(LOOKUP(2,1/(E582:J582&lt;&gt;""),E582:J582)&gt;INDEX(E582:J582,MATCH(TRUE(),E582:J582&lt;&gt;"",0)),"↓","→")))</f>
        <v>-</v>
      </c>
    </row>
    <row r="583" customFormat="false" ht="25.5" hidden="false" customHeight="true" outlineLevel="0" collapsed="false">
      <c r="A583" s="54" t="n">
        <v>582</v>
      </c>
      <c r="B583" s="54" t="n">
        <v>5</v>
      </c>
      <c r="C583" s="25" t="s">
        <v>1415</v>
      </c>
      <c r="D583" s="25" t="s">
        <v>1416</v>
      </c>
      <c r="E583" s="54"/>
      <c r="F583" s="54"/>
      <c r="G583" s="54"/>
      <c r="H583" s="54"/>
      <c r="I583" s="54"/>
      <c r="J583" s="54"/>
      <c r="K583" s="24" t="n">
        <f aca="false">IFERROR(MIN(E583:J583),"")</f>
        <v>0</v>
      </c>
      <c r="L583" s="54" t="str">
        <f aca="false">IF(COUNT(E583:J583)&lt;2,"-",IF(LOOKUP(2,1/(E583:J583&lt;&gt;""),E583:J583)&lt;INDEX(E583:J583,MATCH(TRUE(),E583:J583&lt;&gt;"",0)),"↑",IF(LOOKUP(2,1/(E583:J583&lt;&gt;""),E583:J583)&gt;INDEX(E583:J583,MATCH(TRUE(),E583:J583&lt;&gt;"",0)),"↓","→")))</f>
        <v>-</v>
      </c>
    </row>
    <row r="584" customFormat="false" ht="25.5" hidden="false" customHeight="true" outlineLevel="0" collapsed="false">
      <c r="A584" s="54" t="n">
        <v>583</v>
      </c>
      <c r="B584" s="54" t="n">
        <v>5</v>
      </c>
      <c r="C584" s="23" t="s">
        <v>1417</v>
      </c>
      <c r="D584" s="23" t="s">
        <v>1419</v>
      </c>
      <c r="E584" s="54"/>
      <c r="F584" s="54"/>
      <c r="G584" s="54"/>
      <c r="H584" s="54"/>
      <c r="I584" s="54"/>
      <c r="J584" s="54"/>
      <c r="K584" s="24" t="n">
        <f aca="false">IFERROR(MIN(E584:J584),"")</f>
        <v>0</v>
      </c>
      <c r="L584" s="54" t="str">
        <f aca="false">IF(COUNT(E584:J584)&lt;2,"-",IF(LOOKUP(2,1/(E584:J584&lt;&gt;""),E584:J584)&lt;INDEX(E584:J584,MATCH(TRUE(),E584:J584&lt;&gt;"",0)),"↑",IF(LOOKUP(2,1/(E584:J584&lt;&gt;""),E584:J584)&gt;INDEX(E584:J584,MATCH(TRUE(),E584:J584&lt;&gt;"",0)),"↓","→")))</f>
        <v>-</v>
      </c>
    </row>
    <row r="585" customFormat="false" ht="25.5" hidden="false" customHeight="true" outlineLevel="0" collapsed="false">
      <c r="A585" s="54" t="n">
        <v>584</v>
      </c>
      <c r="B585" s="54" t="n">
        <v>5</v>
      </c>
      <c r="C585" s="25" t="s">
        <v>1420</v>
      </c>
      <c r="D585" s="25" t="s">
        <v>1421</v>
      </c>
      <c r="E585" s="54"/>
      <c r="F585" s="54"/>
      <c r="G585" s="54"/>
      <c r="H585" s="54"/>
      <c r="I585" s="54"/>
      <c r="J585" s="54"/>
      <c r="K585" s="24" t="n">
        <f aca="false">IFERROR(MIN(E585:J585),"")</f>
        <v>0</v>
      </c>
      <c r="L585" s="54" t="str">
        <f aca="false">IF(COUNT(E585:J585)&lt;2,"-",IF(LOOKUP(2,1/(E585:J585&lt;&gt;""),E585:J585)&lt;INDEX(E585:J585,MATCH(TRUE(),E585:J585&lt;&gt;"",0)),"↑",IF(LOOKUP(2,1/(E585:J585&lt;&gt;""),E585:J585)&gt;INDEX(E585:J585,MATCH(TRUE(),E585:J585&lt;&gt;"",0)),"↓","→")))</f>
        <v>-</v>
      </c>
    </row>
    <row r="586" customFormat="false" ht="25.5" hidden="false" customHeight="true" outlineLevel="0" collapsed="false">
      <c r="A586" s="54" t="n">
        <v>585</v>
      </c>
      <c r="B586" s="54" t="n">
        <v>5</v>
      </c>
      <c r="C586" s="23" t="s">
        <v>1422</v>
      </c>
      <c r="D586" s="23" t="s">
        <v>1423</v>
      </c>
      <c r="E586" s="54"/>
      <c r="F586" s="54"/>
      <c r="G586" s="54"/>
      <c r="H586" s="54"/>
      <c r="I586" s="54"/>
      <c r="J586" s="54"/>
      <c r="K586" s="24" t="n">
        <f aca="false">IFERROR(MIN(E586:J586),"")</f>
        <v>0</v>
      </c>
      <c r="L586" s="54" t="str">
        <f aca="false">IF(COUNT(E586:J586)&lt;2,"-",IF(LOOKUP(2,1/(E586:J586&lt;&gt;""),E586:J586)&lt;INDEX(E586:J586,MATCH(TRUE(),E586:J586&lt;&gt;"",0)),"↑",IF(LOOKUP(2,1/(E586:J586&lt;&gt;""),E586:J586)&gt;INDEX(E586:J586,MATCH(TRUE(),E586:J586&lt;&gt;"",0)),"↓","→")))</f>
        <v>-</v>
      </c>
    </row>
    <row r="587" customFormat="false" ht="25.5" hidden="false" customHeight="true" outlineLevel="0" collapsed="false">
      <c r="A587" s="54" t="n">
        <v>586</v>
      </c>
      <c r="B587" s="54" t="n">
        <v>5</v>
      </c>
      <c r="C587" s="25" t="s">
        <v>1424</v>
      </c>
      <c r="D587" s="25" t="s">
        <v>1425</v>
      </c>
      <c r="E587" s="54"/>
      <c r="F587" s="54"/>
      <c r="G587" s="54"/>
      <c r="H587" s="54"/>
      <c r="I587" s="54"/>
      <c r="J587" s="54"/>
      <c r="K587" s="24" t="n">
        <f aca="false">IFERROR(MIN(E587:J587),"")</f>
        <v>0</v>
      </c>
      <c r="L587" s="54" t="str">
        <f aca="false">IF(COUNT(E587:J587)&lt;2,"-",IF(LOOKUP(2,1/(E587:J587&lt;&gt;""),E587:J587)&lt;INDEX(E587:J587,MATCH(TRUE(),E587:J587&lt;&gt;"",0)),"↑",IF(LOOKUP(2,1/(E587:J587&lt;&gt;""),E587:J587)&gt;INDEX(E587:J587,MATCH(TRUE(),E587:J587&lt;&gt;"",0)),"↓","→")))</f>
        <v>-</v>
      </c>
    </row>
    <row r="588" customFormat="false" ht="25.5" hidden="false" customHeight="true" outlineLevel="0" collapsed="false">
      <c r="A588" s="54" t="n">
        <v>587</v>
      </c>
      <c r="B588" s="54" t="n">
        <v>5</v>
      </c>
      <c r="C588" s="23" t="s">
        <v>1426</v>
      </c>
      <c r="D588" s="23" t="s">
        <v>1428</v>
      </c>
      <c r="E588" s="54"/>
      <c r="F588" s="54"/>
      <c r="G588" s="54"/>
      <c r="H588" s="54"/>
      <c r="I588" s="54"/>
      <c r="J588" s="54"/>
      <c r="K588" s="24" t="n">
        <f aca="false">IFERROR(MIN(E588:J588),"")</f>
        <v>0</v>
      </c>
      <c r="L588" s="54" t="str">
        <f aca="false">IF(COUNT(E588:J588)&lt;2,"-",IF(LOOKUP(2,1/(E588:J588&lt;&gt;""),E588:J588)&lt;INDEX(E588:J588,MATCH(TRUE(),E588:J588&lt;&gt;"",0)),"↑",IF(LOOKUP(2,1/(E588:J588&lt;&gt;""),E588:J588)&gt;INDEX(E588:J588,MATCH(TRUE(),E588:J588&lt;&gt;"",0)),"↓","→")))</f>
        <v>-</v>
      </c>
    </row>
    <row r="589" customFormat="false" ht="25.5" hidden="false" customHeight="true" outlineLevel="0" collapsed="false">
      <c r="A589" s="54" t="n">
        <v>588</v>
      </c>
      <c r="B589" s="54" t="n">
        <v>5</v>
      </c>
      <c r="C589" s="25" t="s">
        <v>1429</v>
      </c>
      <c r="D589" s="25" t="s">
        <v>1430</v>
      </c>
      <c r="E589" s="54"/>
      <c r="F589" s="54"/>
      <c r="G589" s="54"/>
      <c r="H589" s="54"/>
      <c r="I589" s="54"/>
      <c r="J589" s="54"/>
      <c r="K589" s="24" t="n">
        <f aca="false">IFERROR(MIN(E589:J589),"")</f>
        <v>0</v>
      </c>
      <c r="L589" s="54" t="str">
        <f aca="false">IF(COUNT(E589:J589)&lt;2,"-",IF(LOOKUP(2,1/(E589:J589&lt;&gt;""),E589:J589)&lt;INDEX(E589:J589,MATCH(TRUE(),E589:J589&lt;&gt;"",0)),"↑",IF(LOOKUP(2,1/(E589:J589&lt;&gt;""),E589:J589)&gt;INDEX(E589:J589,MATCH(TRUE(),E589:J589&lt;&gt;"",0)),"↓","→")))</f>
        <v>-</v>
      </c>
    </row>
    <row r="590" customFormat="false" ht="25.5" hidden="false" customHeight="true" outlineLevel="0" collapsed="false">
      <c r="A590" s="54" t="n">
        <v>589</v>
      </c>
      <c r="B590" s="54" t="n">
        <v>5</v>
      </c>
      <c r="C590" s="23" t="s">
        <v>1431</v>
      </c>
      <c r="D590" s="23" t="s">
        <v>1432</v>
      </c>
      <c r="E590" s="54"/>
      <c r="F590" s="54"/>
      <c r="G590" s="54"/>
      <c r="H590" s="54"/>
      <c r="I590" s="54"/>
      <c r="J590" s="54"/>
      <c r="K590" s="24" t="n">
        <f aca="false">IFERROR(MIN(E590:J590),"")</f>
        <v>0</v>
      </c>
      <c r="L590" s="54" t="str">
        <f aca="false">IF(COUNT(E590:J590)&lt;2,"-",IF(LOOKUP(2,1/(E590:J590&lt;&gt;""),E590:J590)&lt;INDEX(E590:J590,MATCH(TRUE(),E590:J590&lt;&gt;"",0)),"↑",IF(LOOKUP(2,1/(E590:J590&lt;&gt;""),E590:J590)&gt;INDEX(E590:J590,MATCH(TRUE(),E590:J590&lt;&gt;"",0)),"↓","→")))</f>
        <v>-</v>
      </c>
    </row>
    <row r="591" customFormat="false" ht="25.5" hidden="false" customHeight="true" outlineLevel="0" collapsed="false">
      <c r="A591" s="54" t="n">
        <v>590</v>
      </c>
      <c r="B591" s="54" t="n">
        <v>5</v>
      </c>
      <c r="C591" s="25" t="s">
        <v>1433</v>
      </c>
      <c r="D591" s="25" t="s">
        <v>1434</v>
      </c>
      <c r="E591" s="54"/>
      <c r="F591" s="54"/>
      <c r="G591" s="54"/>
      <c r="H591" s="54"/>
      <c r="I591" s="54"/>
      <c r="J591" s="54"/>
      <c r="K591" s="24" t="n">
        <f aca="false">IFERROR(MIN(E591:J591),"")</f>
        <v>0</v>
      </c>
      <c r="L591" s="54" t="str">
        <f aca="false">IF(COUNT(E591:J591)&lt;2,"-",IF(LOOKUP(2,1/(E591:J591&lt;&gt;""),E591:J591)&lt;INDEX(E591:J591,MATCH(TRUE(),E591:J591&lt;&gt;"",0)),"↑",IF(LOOKUP(2,1/(E591:J591&lt;&gt;""),E591:J591)&gt;INDEX(E591:J591,MATCH(TRUE(),E591:J591&lt;&gt;"",0)),"↓","→")))</f>
        <v>-</v>
      </c>
    </row>
    <row r="592" customFormat="false" ht="25.5" hidden="false" customHeight="true" outlineLevel="0" collapsed="false">
      <c r="A592" s="54" t="n">
        <v>591</v>
      </c>
      <c r="B592" s="54" t="n">
        <v>5</v>
      </c>
      <c r="C592" s="23" t="s">
        <v>1435</v>
      </c>
      <c r="D592" s="23" t="s">
        <v>1437</v>
      </c>
      <c r="E592" s="54"/>
      <c r="F592" s="54"/>
      <c r="G592" s="54"/>
      <c r="H592" s="54"/>
      <c r="I592" s="54"/>
      <c r="J592" s="54"/>
      <c r="K592" s="24" t="n">
        <f aca="false">IFERROR(MIN(E592:J592),"")</f>
        <v>0</v>
      </c>
      <c r="L592" s="54" t="str">
        <f aca="false">IF(COUNT(E592:J592)&lt;2,"-",IF(LOOKUP(2,1/(E592:J592&lt;&gt;""),E592:J592)&lt;INDEX(E592:J592,MATCH(TRUE(),E592:J592&lt;&gt;"",0)),"↑",IF(LOOKUP(2,1/(E592:J592&lt;&gt;""),E592:J592)&gt;INDEX(E592:J592,MATCH(TRUE(),E592:J592&lt;&gt;"",0)),"↓","→")))</f>
        <v>-</v>
      </c>
    </row>
    <row r="593" customFormat="false" ht="25.5" hidden="false" customHeight="true" outlineLevel="0" collapsed="false">
      <c r="A593" s="54" t="n">
        <v>592</v>
      </c>
      <c r="B593" s="54" t="n">
        <v>5</v>
      </c>
      <c r="C593" s="25" t="s">
        <v>1438</v>
      </c>
      <c r="D593" s="25" t="s">
        <v>1439</v>
      </c>
      <c r="E593" s="54"/>
      <c r="F593" s="54"/>
      <c r="G593" s="54"/>
      <c r="H593" s="54"/>
      <c r="I593" s="54"/>
      <c r="J593" s="54"/>
      <c r="K593" s="24" t="n">
        <f aca="false">IFERROR(MIN(E593:J593),"")</f>
        <v>0</v>
      </c>
      <c r="L593" s="54" t="str">
        <f aca="false">IF(COUNT(E593:J593)&lt;2,"-",IF(LOOKUP(2,1/(E593:J593&lt;&gt;""),E593:J593)&lt;INDEX(E593:J593,MATCH(TRUE(),E593:J593&lt;&gt;"",0)),"↑",IF(LOOKUP(2,1/(E593:J593&lt;&gt;""),E593:J593)&gt;INDEX(E593:J593,MATCH(TRUE(),E593:J593&lt;&gt;"",0)),"↓","→")))</f>
        <v>-</v>
      </c>
    </row>
    <row r="594" customFormat="false" ht="25.5" hidden="false" customHeight="true" outlineLevel="0" collapsed="false">
      <c r="A594" s="54" t="n">
        <v>593</v>
      </c>
      <c r="B594" s="54" t="n">
        <v>5</v>
      </c>
      <c r="C594" s="23" t="s">
        <v>1440</v>
      </c>
      <c r="D594" s="23" t="s">
        <v>1441</v>
      </c>
      <c r="E594" s="54"/>
      <c r="F594" s="54"/>
      <c r="G594" s="54"/>
      <c r="H594" s="54"/>
      <c r="I594" s="54"/>
      <c r="J594" s="54"/>
      <c r="K594" s="24" t="n">
        <f aca="false">IFERROR(MIN(E594:J594),"")</f>
        <v>0</v>
      </c>
      <c r="L594" s="54" t="str">
        <f aca="false">IF(COUNT(E594:J594)&lt;2,"-",IF(LOOKUP(2,1/(E594:J594&lt;&gt;""),E594:J594)&lt;INDEX(E594:J594,MATCH(TRUE(),E594:J594&lt;&gt;"",0)),"↑",IF(LOOKUP(2,1/(E594:J594&lt;&gt;""),E594:J594)&gt;INDEX(E594:J594,MATCH(TRUE(),E594:J594&lt;&gt;"",0)),"↓","→")))</f>
        <v>-</v>
      </c>
    </row>
    <row r="595" customFormat="false" ht="25.5" hidden="false" customHeight="true" outlineLevel="0" collapsed="false">
      <c r="A595" s="54" t="n">
        <v>594</v>
      </c>
      <c r="B595" s="54" t="n">
        <v>5</v>
      </c>
      <c r="C595" s="25" t="s">
        <v>1442</v>
      </c>
      <c r="D595" s="25" t="s">
        <v>1443</v>
      </c>
      <c r="E595" s="54"/>
      <c r="F595" s="54"/>
      <c r="G595" s="54"/>
      <c r="H595" s="54"/>
      <c r="I595" s="54"/>
      <c r="J595" s="54"/>
      <c r="K595" s="24" t="n">
        <f aca="false">IFERROR(MIN(E595:J595),"")</f>
        <v>0</v>
      </c>
      <c r="L595" s="54" t="str">
        <f aca="false">IF(COUNT(E595:J595)&lt;2,"-",IF(LOOKUP(2,1/(E595:J595&lt;&gt;""),E595:J595)&lt;INDEX(E595:J595,MATCH(TRUE(),E595:J595&lt;&gt;"",0)),"↑",IF(LOOKUP(2,1/(E595:J595&lt;&gt;""),E595:J595)&gt;INDEX(E595:J595,MATCH(TRUE(),E595:J595&lt;&gt;"",0)),"↓","→")))</f>
        <v>-</v>
      </c>
    </row>
    <row r="596" customFormat="false" ht="25.5" hidden="false" customHeight="true" outlineLevel="0" collapsed="false">
      <c r="A596" s="54" t="n">
        <v>595</v>
      </c>
      <c r="B596" s="54" t="n">
        <v>5</v>
      </c>
      <c r="C596" s="23" t="s">
        <v>1444</v>
      </c>
      <c r="D596" s="23" t="s">
        <v>1445</v>
      </c>
      <c r="E596" s="54"/>
      <c r="F596" s="54"/>
      <c r="G596" s="54"/>
      <c r="H596" s="54"/>
      <c r="I596" s="54"/>
      <c r="J596" s="54"/>
      <c r="K596" s="24" t="n">
        <f aca="false">IFERROR(MIN(E596:J596),"")</f>
        <v>0</v>
      </c>
      <c r="L596" s="54" t="str">
        <f aca="false">IF(COUNT(E596:J596)&lt;2,"-",IF(LOOKUP(2,1/(E596:J596&lt;&gt;""),E596:J596)&lt;INDEX(E596:J596,MATCH(TRUE(),E596:J596&lt;&gt;"",0)),"↑",IF(LOOKUP(2,1/(E596:J596&lt;&gt;""),E596:J596)&gt;INDEX(E596:J596,MATCH(TRUE(),E596:J596&lt;&gt;"",0)),"↓","→")))</f>
        <v>-</v>
      </c>
    </row>
    <row r="597" customFormat="false" ht="25.5" hidden="false" customHeight="true" outlineLevel="0" collapsed="false">
      <c r="A597" s="54" t="n">
        <v>596</v>
      </c>
      <c r="B597" s="54" t="n">
        <v>5</v>
      </c>
      <c r="C597" s="25" t="s">
        <v>1446</v>
      </c>
      <c r="D597" s="25" t="s">
        <v>1447</v>
      </c>
      <c r="E597" s="54"/>
      <c r="F597" s="54"/>
      <c r="G597" s="54"/>
      <c r="H597" s="54"/>
      <c r="I597" s="54"/>
      <c r="J597" s="54"/>
      <c r="K597" s="24" t="n">
        <f aca="false">IFERROR(MIN(E597:J597),"")</f>
        <v>0</v>
      </c>
      <c r="L597" s="54" t="str">
        <f aca="false">IF(COUNT(E597:J597)&lt;2,"-",IF(LOOKUP(2,1/(E597:J597&lt;&gt;""),E597:J597)&lt;INDEX(E597:J597,MATCH(TRUE(),E597:J597&lt;&gt;"",0)),"↑",IF(LOOKUP(2,1/(E597:J597&lt;&gt;""),E597:J597)&gt;INDEX(E597:J597,MATCH(TRUE(),E597:J597&lt;&gt;"",0)),"↓","→")))</f>
        <v>-</v>
      </c>
    </row>
    <row r="598" customFormat="false" ht="25.5" hidden="false" customHeight="true" outlineLevel="0" collapsed="false">
      <c r="A598" s="54" t="n">
        <v>597</v>
      </c>
      <c r="B598" s="54" t="n">
        <v>5</v>
      </c>
      <c r="C598" s="23" t="s">
        <v>1448</v>
      </c>
      <c r="D598" s="23" t="s">
        <v>1449</v>
      </c>
      <c r="E598" s="54"/>
      <c r="F598" s="54"/>
      <c r="G598" s="54"/>
      <c r="H598" s="54"/>
      <c r="I598" s="54"/>
      <c r="J598" s="54"/>
      <c r="K598" s="24" t="n">
        <f aca="false">IFERROR(MIN(E598:J598),"")</f>
        <v>0</v>
      </c>
      <c r="L598" s="54" t="str">
        <f aca="false">IF(COUNT(E598:J598)&lt;2,"-",IF(LOOKUP(2,1/(E598:J598&lt;&gt;""),E598:J598)&lt;INDEX(E598:J598,MATCH(TRUE(),E598:J598&lt;&gt;"",0)),"↑",IF(LOOKUP(2,1/(E598:J598&lt;&gt;""),E598:J598)&gt;INDEX(E598:J598,MATCH(TRUE(),E598:J598&lt;&gt;"",0)),"↓","→")))</f>
        <v>-</v>
      </c>
    </row>
    <row r="599" customFormat="false" ht="25.5" hidden="false" customHeight="true" outlineLevel="0" collapsed="false">
      <c r="A599" s="54" t="n">
        <v>598</v>
      </c>
      <c r="B599" s="54" t="n">
        <v>5</v>
      </c>
      <c r="C599" s="25" t="s">
        <v>1450</v>
      </c>
      <c r="D599" s="25" t="s">
        <v>1451</v>
      </c>
      <c r="E599" s="54"/>
      <c r="F599" s="54"/>
      <c r="G599" s="54"/>
      <c r="H599" s="54"/>
      <c r="I599" s="54"/>
      <c r="J599" s="54"/>
      <c r="K599" s="24" t="n">
        <f aca="false">IFERROR(MIN(E599:J599),"")</f>
        <v>0</v>
      </c>
      <c r="L599" s="54" t="str">
        <f aca="false">IF(COUNT(E599:J599)&lt;2,"-",IF(LOOKUP(2,1/(E599:J599&lt;&gt;""),E599:J599)&lt;INDEX(E599:J599,MATCH(TRUE(),E599:J599&lt;&gt;"",0)),"↑",IF(LOOKUP(2,1/(E599:J599&lt;&gt;""),E599:J599)&gt;INDEX(E599:J599,MATCH(TRUE(),E599:J599&lt;&gt;"",0)),"↓","→")))</f>
        <v>-</v>
      </c>
    </row>
    <row r="600" customFormat="false" ht="25.5" hidden="false" customHeight="true" outlineLevel="0" collapsed="false">
      <c r="A600" s="54" t="n">
        <v>599</v>
      </c>
      <c r="B600" s="54" t="n">
        <v>5</v>
      </c>
      <c r="C600" s="23" t="s">
        <v>1452</v>
      </c>
      <c r="D600" s="23" t="s">
        <v>1453</v>
      </c>
      <c r="E600" s="54"/>
      <c r="F600" s="54"/>
      <c r="G600" s="54"/>
      <c r="H600" s="54"/>
      <c r="I600" s="54"/>
      <c r="J600" s="54"/>
      <c r="K600" s="24" t="n">
        <f aca="false">IFERROR(MIN(E600:J600),"")</f>
        <v>0</v>
      </c>
      <c r="L600" s="54" t="str">
        <f aca="false">IF(COUNT(E600:J600)&lt;2,"-",IF(LOOKUP(2,1/(E600:J600&lt;&gt;""),E600:J600)&lt;INDEX(E600:J600,MATCH(TRUE(),E600:J600&lt;&gt;"",0)),"↑",IF(LOOKUP(2,1/(E600:J600&lt;&gt;""),E600:J600)&gt;INDEX(E600:J600,MATCH(TRUE(),E600:J600&lt;&gt;"",0)),"↓","→")))</f>
        <v>-</v>
      </c>
    </row>
    <row r="601" customFormat="false" ht="25.5" hidden="false" customHeight="true" outlineLevel="0" collapsed="false">
      <c r="A601" s="54" t="n">
        <v>600</v>
      </c>
      <c r="B601" s="54" t="n">
        <v>5</v>
      </c>
      <c r="C601" s="25" t="s">
        <v>1454</v>
      </c>
      <c r="D601" s="25" t="s">
        <v>1455</v>
      </c>
      <c r="E601" s="54"/>
      <c r="F601" s="54"/>
      <c r="G601" s="54"/>
      <c r="H601" s="54"/>
      <c r="I601" s="54"/>
      <c r="J601" s="54"/>
      <c r="K601" s="24" t="n">
        <f aca="false">IFERROR(MIN(E601:J601),"")</f>
        <v>0</v>
      </c>
      <c r="L601" s="54" t="str">
        <f aca="false">IF(COUNT(E601:J601)&lt;2,"-",IF(LOOKUP(2,1/(E601:J601&lt;&gt;""),E601:J601)&lt;INDEX(E601:J601,MATCH(TRUE(),E601:J601&lt;&gt;"",0)),"↑",IF(LOOKUP(2,1/(E601:J601&lt;&gt;""),E601:J601)&gt;INDEX(E601:J601,MATCH(TRUE(),E601:J601&lt;&gt;"",0)),"↓","→")))</f>
        <v>-</v>
      </c>
    </row>
    <row r="602" customFormat="false" ht="25.5" hidden="false" customHeight="true" outlineLevel="0" collapsed="false">
      <c r="A602" s="54" t="n">
        <v>601</v>
      </c>
      <c r="B602" s="54" t="n">
        <v>5</v>
      </c>
      <c r="C602" s="23" t="s">
        <v>1456</v>
      </c>
      <c r="D602" s="23" t="s">
        <v>1457</v>
      </c>
      <c r="E602" s="54"/>
      <c r="F602" s="54"/>
      <c r="G602" s="54"/>
      <c r="H602" s="54"/>
      <c r="I602" s="54"/>
      <c r="J602" s="54"/>
      <c r="K602" s="24" t="n">
        <f aca="false">IFERROR(MIN(E602:J602),"")</f>
        <v>0</v>
      </c>
      <c r="L602" s="54" t="str">
        <f aca="false">IF(COUNT(E602:J602)&lt;2,"-",IF(LOOKUP(2,1/(E602:J602&lt;&gt;""),E602:J602)&lt;INDEX(E602:J602,MATCH(TRUE(),E602:J602&lt;&gt;"",0)),"↑",IF(LOOKUP(2,1/(E602:J602&lt;&gt;""),E602:J602)&gt;INDEX(E602:J602,MATCH(TRUE(),E602:J602&lt;&gt;"",0)),"↓","→")))</f>
        <v>-</v>
      </c>
    </row>
    <row r="603" customFormat="false" ht="25.5" hidden="false" customHeight="true" outlineLevel="0" collapsed="false">
      <c r="A603" s="54" t="n">
        <v>602</v>
      </c>
      <c r="B603" s="54" t="n">
        <v>5</v>
      </c>
      <c r="C603" s="25" t="s">
        <v>1458</v>
      </c>
      <c r="D603" s="25" t="s">
        <v>1459</v>
      </c>
      <c r="E603" s="54"/>
      <c r="F603" s="54"/>
      <c r="G603" s="54"/>
      <c r="H603" s="54"/>
      <c r="I603" s="54"/>
      <c r="J603" s="54"/>
      <c r="K603" s="24" t="n">
        <f aca="false">IFERROR(MIN(E603:J603),"")</f>
        <v>0</v>
      </c>
      <c r="L603" s="54" t="str">
        <f aca="false">IF(COUNT(E603:J603)&lt;2,"-",IF(LOOKUP(2,1/(E603:J603&lt;&gt;""),E603:J603)&lt;INDEX(E603:J603,MATCH(TRUE(),E603:J603&lt;&gt;"",0)),"↑",IF(LOOKUP(2,1/(E603:J603&lt;&gt;""),E603:J603)&gt;INDEX(E603:J603,MATCH(TRUE(),E603:J603&lt;&gt;"",0)),"↓","→")))</f>
        <v>-</v>
      </c>
    </row>
    <row r="604" customFormat="false" ht="25.5" hidden="false" customHeight="true" outlineLevel="0" collapsed="false">
      <c r="A604" s="54" t="n">
        <v>603</v>
      </c>
      <c r="B604" s="54" t="n">
        <v>5</v>
      </c>
      <c r="C604" s="23" t="s">
        <v>1460</v>
      </c>
      <c r="D604" s="23" t="s">
        <v>1461</v>
      </c>
      <c r="E604" s="54"/>
      <c r="F604" s="54"/>
      <c r="G604" s="54"/>
      <c r="H604" s="54"/>
      <c r="I604" s="54"/>
      <c r="J604" s="54"/>
      <c r="K604" s="24" t="n">
        <f aca="false">IFERROR(MIN(E604:J604),"")</f>
        <v>0</v>
      </c>
      <c r="L604" s="54" t="str">
        <f aca="false">IF(COUNT(E604:J604)&lt;2,"-",IF(LOOKUP(2,1/(E604:J604&lt;&gt;""),E604:J604)&lt;INDEX(E604:J604,MATCH(TRUE(),E604:J604&lt;&gt;"",0)),"↑",IF(LOOKUP(2,1/(E604:J604&lt;&gt;""),E604:J604)&gt;INDEX(E604:J604,MATCH(TRUE(),E604:J604&lt;&gt;"",0)),"↓","→")))</f>
        <v>-</v>
      </c>
    </row>
    <row r="605" customFormat="false" ht="25.5" hidden="false" customHeight="true" outlineLevel="0" collapsed="false">
      <c r="A605" s="54" t="n">
        <v>604</v>
      </c>
      <c r="B605" s="54" t="n">
        <v>5</v>
      </c>
      <c r="C605" s="25" t="s">
        <v>1462</v>
      </c>
      <c r="D605" s="25" t="s">
        <v>1463</v>
      </c>
      <c r="E605" s="54"/>
      <c r="F605" s="54"/>
      <c r="G605" s="54"/>
      <c r="H605" s="54"/>
      <c r="I605" s="54"/>
      <c r="J605" s="54"/>
      <c r="K605" s="24" t="n">
        <f aca="false">IFERROR(MIN(E605:J605),"")</f>
        <v>0</v>
      </c>
      <c r="L605" s="54" t="str">
        <f aca="false">IF(COUNT(E605:J605)&lt;2,"-",IF(LOOKUP(2,1/(E605:J605&lt;&gt;""),E605:J605)&lt;INDEX(E605:J605,MATCH(TRUE(),E605:J605&lt;&gt;"",0)),"↑",IF(LOOKUP(2,1/(E605:J605&lt;&gt;""),E605:J605)&gt;INDEX(E605:J605,MATCH(TRUE(),E605:J605&lt;&gt;"",0)),"↓","→")))</f>
        <v>-</v>
      </c>
    </row>
    <row r="606" customFormat="false" ht="25.5" hidden="false" customHeight="true" outlineLevel="0" collapsed="false">
      <c r="A606" s="54" t="n">
        <v>605</v>
      </c>
      <c r="B606" s="54" t="n">
        <v>5</v>
      </c>
      <c r="C606" s="23" t="s">
        <v>1464</v>
      </c>
      <c r="D606" s="23" t="s">
        <v>1465</v>
      </c>
      <c r="E606" s="54"/>
      <c r="F606" s="54"/>
      <c r="G606" s="54"/>
      <c r="H606" s="54"/>
      <c r="I606" s="54"/>
      <c r="J606" s="54"/>
      <c r="K606" s="24" t="n">
        <f aca="false">IFERROR(MIN(E606:J606),"")</f>
        <v>0</v>
      </c>
      <c r="L606" s="54" t="str">
        <f aca="false">IF(COUNT(E606:J606)&lt;2,"-",IF(LOOKUP(2,1/(E606:J606&lt;&gt;""),E606:J606)&lt;INDEX(E606:J606,MATCH(TRUE(),E606:J606&lt;&gt;"",0)),"↑",IF(LOOKUP(2,1/(E606:J606&lt;&gt;""),E606:J606)&gt;INDEX(E606:J606,MATCH(TRUE(),E606:J606&lt;&gt;"",0)),"↓","→")))</f>
        <v>-</v>
      </c>
    </row>
    <row r="607" customFormat="false" ht="25.5" hidden="false" customHeight="true" outlineLevel="0" collapsed="false">
      <c r="A607" s="54" t="n">
        <v>606</v>
      </c>
      <c r="B607" s="54" t="n">
        <v>5</v>
      </c>
      <c r="C607" s="25" t="s">
        <v>1466</v>
      </c>
      <c r="D607" s="25" t="s">
        <v>1467</v>
      </c>
      <c r="E607" s="54"/>
      <c r="F607" s="54"/>
      <c r="G607" s="54"/>
      <c r="H607" s="54"/>
      <c r="I607" s="54"/>
      <c r="J607" s="54"/>
      <c r="K607" s="24" t="n">
        <f aca="false">IFERROR(MIN(E607:J607),"")</f>
        <v>0</v>
      </c>
      <c r="L607" s="54" t="str">
        <f aca="false">IF(COUNT(E607:J607)&lt;2,"-",IF(LOOKUP(2,1/(E607:J607&lt;&gt;""),E607:J607)&lt;INDEX(E607:J607,MATCH(TRUE(),E607:J607&lt;&gt;"",0)),"↑",IF(LOOKUP(2,1/(E607:J607&lt;&gt;""),E607:J607)&gt;INDEX(E607:J607,MATCH(TRUE(),E607:J607&lt;&gt;"",0)),"↓","→")))</f>
        <v>-</v>
      </c>
    </row>
    <row r="608" customFormat="false" ht="25.5" hidden="false" customHeight="true" outlineLevel="0" collapsed="false">
      <c r="A608" s="54" t="n">
        <v>607</v>
      </c>
      <c r="B608" s="54" t="n">
        <v>5</v>
      </c>
      <c r="C608" s="23" t="s">
        <v>1468</v>
      </c>
      <c r="D608" s="23" t="s">
        <v>1470</v>
      </c>
      <c r="E608" s="54"/>
      <c r="F608" s="54"/>
      <c r="G608" s="54"/>
      <c r="H608" s="54"/>
      <c r="I608" s="54"/>
      <c r="J608" s="54"/>
      <c r="K608" s="24" t="n">
        <f aca="false">IFERROR(MIN(E608:J608),"")</f>
        <v>0</v>
      </c>
      <c r="L608" s="54" t="str">
        <f aca="false">IF(COUNT(E608:J608)&lt;2,"-",IF(LOOKUP(2,1/(E608:J608&lt;&gt;""),E608:J608)&lt;INDEX(E608:J608,MATCH(TRUE(),E608:J608&lt;&gt;"",0)),"↑",IF(LOOKUP(2,1/(E608:J608&lt;&gt;""),E608:J608)&gt;INDEX(E608:J608,MATCH(TRUE(),E608:J608&lt;&gt;"",0)),"↓","→")))</f>
        <v>-</v>
      </c>
    </row>
    <row r="609" customFormat="false" ht="25.5" hidden="false" customHeight="true" outlineLevel="0" collapsed="false">
      <c r="A609" s="54" t="n">
        <v>608</v>
      </c>
      <c r="B609" s="54" t="n">
        <v>5</v>
      </c>
      <c r="C609" s="25" t="s">
        <v>1471</v>
      </c>
      <c r="D609" s="25" t="s">
        <v>1472</v>
      </c>
      <c r="E609" s="54"/>
      <c r="F609" s="54"/>
      <c r="G609" s="54"/>
      <c r="H609" s="54"/>
      <c r="I609" s="54"/>
      <c r="J609" s="54"/>
      <c r="K609" s="24" t="n">
        <f aca="false">IFERROR(MIN(E609:J609),"")</f>
        <v>0</v>
      </c>
      <c r="L609" s="54" t="str">
        <f aca="false">IF(COUNT(E609:J609)&lt;2,"-",IF(LOOKUP(2,1/(E609:J609&lt;&gt;""),E609:J609)&lt;INDEX(E609:J609,MATCH(TRUE(),E609:J609&lt;&gt;"",0)),"↑",IF(LOOKUP(2,1/(E609:J609&lt;&gt;""),E609:J609)&gt;INDEX(E609:J609,MATCH(TRUE(),E609:J609&lt;&gt;"",0)),"↓","→")))</f>
        <v>-</v>
      </c>
    </row>
    <row r="610" customFormat="false" ht="25.5" hidden="false" customHeight="true" outlineLevel="0" collapsed="false">
      <c r="A610" s="54" t="n">
        <v>609</v>
      </c>
      <c r="B610" s="54" t="n">
        <v>5</v>
      </c>
      <c r="C610" s="23" t="s">
        <v>1473</v>
      </c>
      <c r="D610" s="23" t="s">
        <v>1474</v>
      </c>
      <c r="E610" s="54"/>
      <c r="F610" s="54"/>
      <c r="G610" s="54"/>
      <c r="H610" s="54"/>
      <c r="I610" s="54"/>
      <c r="J610" s="54"/>
      <c r="K610" s="24" t="n">
        <f aca="false">IFERROR(MIN(E610:J610),"")</f>
        <v>0</v>
      </c>
      <c r="L610" s="54" t="str">
        <f aca="false">IF(COUNT(E610:J610)&lt;2,"-",IF(LOOKUP(2,1/(E610:J610&lt;&gt;""),E610:J610)&lt;INDEX(E610:J610,MATCH(TRUE(),E610:J610&lt;&gt;"",0)),"↑",IF(LOOKUP(2,1/(E610:J610&lt;&gt;""),E610:J610)&gt;INDEX(E610:J610,MATCH(TRUE(),E610:J610&lt;&gt;"",0)),"↓","→")))</f>
        <v>-</v>
      </c>
    </row>
    <row r="611" customFormat="false" ht="25.5" hidden="false" customHeight="true" outlineLevel="0" collapsed="false">
      <c r="A611" s="54" t="n">
        <v>610</v>
      </c>
      <c r="B611" s="54" t="n">
        <v>5</v>
      </c>
      <c r="C611" s="25" t="s">
        <v>1475</v>
      </c>
      <c r="D611" s="25" t="s">
        <v>1476</v>
      </c>
      <c r="E611" s="54"/>
      <c r="F611" s="54"/>
      <c r="G611" s="54"/>
      <c r="H611" s="54"/>
      <c r="I611" s="54"/>
      <c r="J611" s="54"/>
      <c r="K611" s="24" t="n">
        <f aca="false">IFERROR(MIN(E611:J611),"")</f>
        <v>0</v>
      </c>
      <c r="L611" s="54" t="str">
        <f aca="false">IF(COUNT(E611:J611)&lt;2,"-",IF(LOOKUP(2,1/(E611:J611&lt;&gt;""),E611:J611)&lt;INDEX(E611:J611,MATCH(TRUE(),E611:J611&lt;&gt;"",0)),"↑",IF(LOOKUP(2,1/(E611:J611&lt;&gt;""),E611:J611)&gt;INDEX(E611:J611,MATCH(TRUE(),E611:J611&lt;&gt;"",0)),"↓","→")))</f>
        <v>-</v>
      </c>
    </row>
    <row r="612" customFormat="false" ht="25.5" hidden="false" customHeight="true" outlineLevel="0" collapsed="false">
      <c r="A612" s="54" t="n">
        <v>611</v>
      </c>
      <c r="B612" s="54" t="n">
        <v>5</v>
      </c>
      <c r="C612" s="23" t="s">
        <v>1477</v>
      </c>
      <c r="D612" s="23" t="s">
        <v>1478</v>
      </c>
      <c r="E612" s="54"/>
      <c r="F612" s="54"/>
      <c r="G612" s="54"/>
      <c r="H612" s="54"/>
      <c r="I612" s="54"/>
      <c r="J612" s="54"/>
      <c r="K612" s="24" t="n">
        <f aca="false">IFERROR(MIN(E612:J612),"")</f>
        <v>0</v>
      </c>
      <c r="L612" s="54" t="str">
        <f aca="false">IF(COUNT(E612:J612)&lt;2,"-",IF(LOOKUP(2,1/(E612:J612&lt;&gt;""),E612:J612)&lt;INDEX(E612:J612,MATCH(TRUE(),E612:J612&lt;&gt;"",0)),"↑",IF(LOOKUP(2,1/(E612:J612&lt;&gt;""),E612:J612)&gt;INDEX(E612:J612,MATCH(TRUE(),E612:J612&lt;&gt;"",0)),"↓","→")))</f>
        <v>-</v>
      </c>
    </row>
    <row r="613" customFormat="false" ht="25.5" hidden="false" customHeight="true" outlineLevel="0" collapsed="false">
      <c r="A613" s="54" t="n">
        <v>612</v>
      </c>
      <c r="B613" s="54" t="n">
        <v>5</v>
      </c>
      <c r="C613" s="25" t="s">
        <v>1479</v>
      </c>
      <c r="D613" s="25" t="s">
        <v>1480</v>
      </c>
      <c r="E613" s="54"/>
      <c r="F613" s="54"/>
      <c r="G613" s="54"/>
      <c r="H613" s="54"/>
      <c r="I613" s="54"/>
      <c r="J613" s="54"/>
      <c r="K613" s="24" t="n">
        <f aca="false">IFERROR(MIN(E613:J613),"")</f>
        <v>0</v>
      </c>
      <c r="L613" s="54" t="str">
        <f aca="false">IF(COUNT(E613:J613)&lt;2,"-",IF(LOOKUP(2,1/(E613:J613&lt;&gt;""),E613:J613)&lt;INDEX(E613:J613,MATCH(TRUE(),E613:J613&lt;&gt;"",0)),"↑",IF(LOOKUP(2,1/(E613:J613&lt;&gt;""),E613:J613)&gt;INDEX(E613:J613,MATCH(TRUE(),E613:J613&lt;&gt;"",0)),"↓","→")))</f>
        <v>-</v>
      </c>
    </row>
    <row r="614" customFormat="false" ht="25.5" hidden="false" customHeight="true" outlineLevel="0" collapsed="false">
      <c r="A614" s="55" t="n">
        <v>613</v>
      </c>
      <c r="B614" s="55" t="n">
        <v>6</v>
      </c>
      <c r="C614" s="27" t="s">
        <v>1481</v>
      </c>
      <c r="D614" s="27" t="s">
        <v>1484</v>
      </c>
      <c r="E614" s="55"/>
      <c r="F614" s="55"/>
      <c r="G614" s="55"/>
      <c r="H614" s="55"/>
      <c r="I614" s="55"/>
      <c r="J614" s="55"/>
      <c r="K614" s="28" t="n">
        <f aca="false">IFERROR(MIN(E614:J614),"")</f>
        <v>0</v>
      </c>
      <c r="L614" s="55" t="str">
        <f aca="false">IF(COUNT(E614:J614)&lt;2,"-",IF(LOOKUP(2,1/(E614:J614&lt;&gt;""),E614:J614)&lt;INDEX(E614:J614,MATCH(TRUE(),E614:J614&lt;&gt;"",0)),"↑",IF(LOOKUP(2,1/(E614:J614&lt;&gt;""),E614:J614)&gt;INDEX(E614:J614,MATCH(TRUE(),E614:J614&lt;&gt;"",0)),"↓","→")))</f>
        <v>-</v>
      </c>
    </row>
    <row r="615" customFormat="false" ht="25.5" hidden="false" customHeight="true" outlineLevel="0" collapsed="false">
      <c r="A615" s="55" t="n">
        <v>614</v>
      </c>
      <c r="B615" s="55" t="n">
        <v>6</v>
      </c>
      <c r="C615" s="29" t="s">
        <v>1485</v>
      </c>
      <c r="D615" s="29" t="s">
        <v>1487</v>
      </c>
      <c r="E615" s="55"/>
      <c r="F615" s="55"/>
      <c r="G615" s="55"/>
      <c r="H615" s="55"/>
      <c r="I615" s="55"/>
      <c r="J615" s="55"/>
      <c r="K615" s="28" t="n">
        <f aca="false">IFERROR(MIN(E615:J615),"")</f>
        <v>0</v>
      </c>
      <c r="L615" s="55" t="str">
        <f aca="false">IF(COUNT(E615:J615)&lt;2,"-",IF(LOOKUP(2,1/(E615:J615&lt;&gt;""),E615:J615)&lt;INDEX(E615:J615,MATCH(TRUE(),E615:J615&lt;&gt;"",0)),"↑",IF(LOOKUP(2,1/(E615:J615&lt;&gt;""),E615:J615)&gt;INDEX(E615:J615,MATCH(TRUE(),E615:J615&lt;&gt;"",0)),"↓","→")))</f>
        <v>-</v>
      </c>
    </row>
    <row r="616" customFormat="false" ht="25.5" hidden="false" customHeight="true" outlineLevel="0" collapsed="false">
      <c r="A616" s="55" t="n">
        <v>615</v>
      </c>
      <c r="B616" s="55" t="n">
        <v>6</v>
      </c>
      <c r="C616" s="27" t="s">
        <v>1488</v>
      </c>
      <c r="D616" s="27" t="s">
        <v>1489</v>
      </c>
      <c r="E616" s="55"/>
      <c r="F616" s="55"/>
      <c r="G616" s="55"/>
      <c r="H616" s="55"/>
      <c r="I616" s="55"/>
      <c r="J616" s="55"/>
      <c r="K616" s="28" t="n">
        <f aca="false">IFERROR(MIN(E616:J616),"")</f>
        <v>0</v>
      </c>
      <c r="L616" s="55" t="str">
        <f aca="false">IF(COUNT(E616:J616)&lt;2,"-",IF(LOOKUP(2,1/(E616:J616&lt;&gt;""),E616:J616)&lt;INDEX(E616:J616,MATCH(TRUE(),E616:J616&lt;&gt;"",0)),"↑",IF(LOOKUP(2,1/(E616:J616&lt;&gt;""),E616:J616)&gt;INDEX(E616:J616,MATCH(TRUE(),E616:J616&lt;&gt;"",0)),"↓","→")))</f>
        <v>-</v>
      </c>
    </row>
    <row r="617" customFormat="false" ht="25.5" hidden="false" customHeight="true" outlineLevel="0" collapsed="false">
      <c r="A617" s="55" t="n">
        <v>616</v>
      </c>
      <c r="B617" s="55" t="n">
        <v>6</v>
      </c>
      <c r="C617" s="29" t="s">
        <v>1490</v>
      </c>
      <c r="D617" s="29" t="s">
        <v>1491</v>
      </c>
      <c r="E617" s="55"/>
      <c r="F617" s="55"/>
      <c r="G617" s="55"/>
      <c r="H617" s="55"/>
      <c r="I617" s="55"/>
      <c r="J617" s="55"/>
      <c r="K617" s="28" t="n">
        <f aca="false">IFERROR(MIN(E617:J617),"")</f>
        <v>0</v>
      </c>
      <c r="L617" s="55" t="str">
        <f aca="false">IF(COUNT(E617:J617)&lt;2,"-",IF(LOOKUP(2,1/(E617:J617&lt;&gt;""),E617:J617)&lt;INDEX(E617:J617,MATCH(TRUE(),E617:J617&lt;&gt;"",0)),"↑",IF(LOOKUP(2,1/(E617:J617&lt;&gt;""),E617:J617)&gt;INDEX(E617:J617,MATCH(TRUE(),E617:J617&lt;&gt;"",0)),"↓","→")))</f>
        <v>-</v>
      </c>
    </row>
    <row r="618" customFormat="false" ht="25.5" hidden="false" customHeight="true" outlineLevel="0" collapsed="false">
      <c r="A618" s="55" t="n">
        <v>617</v>
      </c>
      <c r="B618" s="55" t="n">
        <v>6</v>
      </c>
      <c r="C618" s="27" t="s">
        <v>1492</v>
      </c>
      <c r="D618" s="27" t="s">
        <v>1493</v>
      </c>
      <c r="E618" s="55"/>
      <c r="F618" s="55"/>
      <c r="G618" s="55"/>
      <c r="H618" s="55"/>
      <c r="I618" s="55"/>
      <c r="J618" s="55"/>
      <c r="K618" s="28" t="n">
        <f aca="false">IFERROR(MIN(E618:J618),"")</f>
        <v>0</v>
      </c>
      <c r="L618" s="55" t="str">
        <f aca="false">IF(COUNT(E618:J618)&lt;2,"-",IF(LOOKUP(2,1/(E618:J618&lt;&gt;""),E618:J618)&lt;INDEX(E618:J618,MATCH(TRUE(),E618:J618&lt;&gt;"",0)),"↑",IF(LOOKUP(2,1/(E618:J618&lt;&gt;""),E618:J618)&gt;INDEX(E618:J618,MATCH(TRUE(),E618:J618&lt;&gt;"",0)),"↓","→")))</f>
        <v>-</v>
      </c>
    </row>
    <row r="619" customFormat="false" ht="25.5" hidden="false" customHeight="true" outlineLevel="0" collapsed="false">
      <c r="A619" s="55" t="n">
        <v>618</v>
      </c>
      <c r="B619" s="55" t="n">
        <v>6</v>
      </c>
      <c r="C619" s="29" t="s">
        <v>1494</v>
      </c>
      <c r="D619" s="29" t="s">
        <v>1495</v>
      </c>
      <c r="E619" s="55"/>
      <c r="F619" s="55"/>
      <c r="G619" s="55"/>
      <c r="H619" s="55"/>
      <c r="I619" s="55"/>
      <c r="J619" s="55"/>
      <c r="K619" s="28" t="n">
        <f aca="false">IFERROR(MIN(E619:J619),"")</f>
        <v>0</v>
      </c>
      <c r="L619" s="55" t="str">
        <f aca="false">IF(COUNT(E619:J619)&lt;2,"-",IF(LOOKUP(2,1/(E619:J619&lt;&gt;""),E619:J619)&lt;INDEX(E619:J619,MATCH(TRUE(),E619:J619&lt;&gt;"",0)),"↑",IF(LOOKUP(2,1/(E619:J619&lt;&gt;""),E619:J619)&gt;INDEX(E619:J619,MATCH(TRUE(),E619:J619&lt;&gt;"",0)),"↓","→")))</f>
        <v>-</v>
      </c>
    </row>
    <row r="620" customFormat="false" ht="25.5" hidden="false" customHeight="true" outlineLevel="0" collapsed="false">
      <c r="A620" s="55" t="n">
        <v>619</v>
      </c>
      <c r="B620" s="55" t="n">
        <v>6</v>
      </c>
      <c r="C620" s="27" t="s">
        <v>1496</v>
      </c>
      <c r="D620" s="27" t="s">
        <v>1497</v>
      </c>
      <c r="E620" s="55"/>
      <c r="F620" s="55"/>
      <c r="G620" s="55"/>
      <c r="H620" s="55"/>
      <c r="I620" s="55"/>
      <c r="J620" s="55"/>
      <c r="K620" s="28" t="n">
        <f aca="false">IFERROR(MIN(E620:J620),"")</f>
        <v>0</v>
      </c>
      <c r="L620" s="55" t="str">
        <f aca="false">IF(COUNT(E620:J620)&lt;2,"-",IF(LOOKUP(2,1/(E620:J620&lt;&gt;""),E620:J620)&lt;INDEX(E620:J620,MATCH(TRUE(),E620:J620&lt;&gt;"",0)),"↑",IF(LOOKUP(2,1/(E620:J620&lt;&gt;""),E620:J620)&gt;INDEX(E620:J620,MATCH(TRUE(),E620:J620&lt;&gt;"",0)),"↓","→")))</f>
        <v>-</v>
      </c>
    </row>
    <row r="621" customFormat="false" ht="25.5" hidden="false" customHeight="true" outlineLevel="0" collapsed="false">
      <c r="A621" s="55" t="n">
        <v>620</v>
      </c>
      <c r="B621" s="55" t="n">
        <v>6</v>
      </c>
      <c r="C621" s="29" t="s">
        <v>1498</v>
      </c>
      <c r="D621" s="29" t="s">
        <v>1499</v>
      </c>
      <c r="E621" s="55"/>
      <c r="F621" s="55"/>
      <c r="G621" s="55"/>
      <c r="H621" s="55"/>
      <c r="I621" s="55"/>
      <c r="J621" s="55"/>
      <c r="K621" s="28" t="n">
        <f aca="false">IFERROR(MIN(E621:J621),"")</f>
        <v>0</v>
      </c>
      <c r="L621" s="55" t="str">
        <f aca="false">IF(COUNT(E621:J621)&lt;2,"-",IF(LOOKUP(2,1/(E621:J621&lt;&gt;""),E621:J621)&lt;INDEX(E621:J621,MATCH(TRUE(),E621:J621&lt;&gt;"",0)),"↑",IF(LOOKUP(2,1/(E621:J621&lt;&gt;""),E621:J621)&gt;INDEX(E621:J621,MATCH(TRUE(),E621:J621&lt;&gt;"",0)),"↓","→")))</f>
        <v>-</v>
      </c>
    </row>
    <row r="622" customFormat="false" ht="25.5" hidden="false" customHeight="true" outlineLevel="0" collapsed="false">
      <c r="A622" s="55" t="n">
        <v>621</v>
      </c>
      <c r="B622" s="55" t="n">
        <v>6</v>
      </c>
      <c r="C622" s="27" t="s">
        <v>1500</v>
      </c>
      <c r="D622" s="27" t="s">
        <v>1502</v>
      </c>
      <c r="E622" s="55"/>
      <c r="F622" s="55"/>
      <c r="G622" s="55"/>
      <c r="H622" s="55"/>
      <c r="I622" s="55"/>
      <c r="J622" s="55"/>
      <c r="K622" s="28" t="n">
        <f aca="false">IFERROR(MIN(E622:J622),"")</f>
        <v>0</v>
      </c>
      <c r="L622" s="55" t="str">
        <f aca="false">IF(COUNT(E622:J622)&lt;2,"-",IF(LOOKUP(2,1/(E622:J622&lt;&gt;""),E622:J622)&lt;INDEX(E622:J622,MATCH(TRUE(),E622:J622&lt;&gt;"",0)),"↑",IF(LOOKUP(2,1/(E622:J622&lt;&gt;""),E622:J622)&gt;INDEX(E622:J622,MATCH(TRUE(),E622:J622&lt;&gt;"",0)),"↓","→")))</f>
        <v>-</v>
      </c>
    </row>
    <row r="623" customFormat="false" ht="25.5" hidden="false" customHeight="true" outlineLevel="0" collapsed="false">
      <c r="A623" s="55" t="n">
        <v>622</v>
      </c>
      <c r="B623" s="55" t="n">
        <v>6</v>
      </c>
      <c r="C623" s="29" t="s">
        <v>1503</v>
      </c>
      <c r="D623" s="29" t="s">
        <v>1504</v>
      </c>
      <c r="E623" s="55"/>
      <c r="F623" s="55"/>
      <c r="G623" s="55"/>
      <c r="H623" s="55"/>
      <c r="I623" s="55"/>
      <c r="J623" s="55"/>
      <c r="K623" s="28" t="n">
        <f aca="false">IFERROR(MIN(E623:J623),"")</f>
        <v>0</v>
      </c>
      <c r="L623" s="55" t="str">
        <f aca="false">IF(COUNT(E623:J623)&lt;2,"-",IF(LOOKUP(2,1/(E623:J623&lt;&gt;""),E623:J623)&lt;INDEX(E623:J623,MATCH(TRUE(),E623:J623&lt;&gt;"",0)),"↑",IF(LOOKUP(2,1/(E623:J623&lt;&gt;""),E623:J623)&gt;INDEX(E623:J623,MATCH(TRUE(),E623:J623&lt;&gt;"",0)),"↓","→")))</f>
        <v>-</v>
      </c>
    </row>
    <row r="624" customFormat="false" ht="25.5" hidden="false" customHeight="true" outlineLevel="0" collapsed="false">
      <c r="A624" s="55" t="n">
        <v>623</v>
      </c>
      <c r="B624" s="55" t="n">
        <v>6</v>
      </c>
      <c r="C624" s="27" t="s">
        <v>1505</v>
      </c>
      <c r="D624" s="27" t="s">
        <v>1506</v>
      </c>
      <c r="E624" s="55"/>
      <c r="F624" s="55"/>
      <c r="G624" s="55"/>
      <c r="H624" s="55"/>
      <c r="I624" s="55"/>
      <c r="J624" s="55"/>
      <c r="K624" s="28" t="n">
        <f aca="false">IFERROR(MIN(E624:J624),"")</f>
        <v>0</v>
      </c>
      <c r="L624" s="55" t="str">
        <f aca="false">IF(COUNT(E624:J624)&lt;2,"-",IF(LOOKUP(2,1/(E624:J624&lt;&gt;""),E624:J624)&lt;INDEX(E624:J624,MATCH(TRUE(),E624:J624&lt;&gt;"",0)),"↑",IF(LOOKUP(2,1/(E624:J624&lt;&gt;""),E624:J624)&gt;INDEX(E624:J624,MATCH(TRUE(),E624:J624&lt;&gt;"",0)),"↓","→")))</f>
        <v>-</v>
      </c>
    </row>
    <row r="625" customFormat="false" ht="25.5" hidden="false" customHeight="true" outlineLevel="0" collapsed="false">
      <c r="A625" s="55" t="n">
        <v>624</v>
      </c>
      <c r="B625" s="55" t="n">
        <v>6</v>
      </c>
      <c r="C625" s="29" t="s">
        <v>1507</v>
      </c>
      <c r="D625" s="29" t="s">
        <v>1508</v>
      </c>
      <c r="E625" s="55"/>
      <c r="F625" s="55"/>
      <c r="G625" s="55"/>
      <c r="H625" s="55"/>
      <c r="I625" s="55"/>
      <c r="J625" s="55"/>
      <c r="K625" s="28" t="n">
        <f aca="false">IFERROR(MIN(E625:J625),"")</f>
        <v>0</v>
      </c>
      <c r="L625" s="55" t="str">
        <f aca="false">IF(COUNT(E625:J625)&lt;2,"-",IF(LOOKUP(2,1/(E625:J625&lt;&gt;""),E625:J625)&lt;INDEX(E625:J625,MATCH(TRUE(),E625:J625&lt;&gt;"",0)),"↑",IF(LOOKUP(2,1/(E625:J625&lt;&gt;""),E625:J625)&gt;INDEX(E625:J625,MATCH(TRUE(),E625:J625&lt;&gt;"",0)),"↓","→")))</f>
        <v>-</v>
      </c>
    </row>
    <row r="626" customFormat="false" ht="25.5" hidden="false" customHeight="true" outlineLevel="0" collapsed="false">
      <c r="A626" s="55" t="n">
        <v>625</v>
      </c>
      <c r="B626" s="55" t="n">
        <v>6</v>
      </c>
      <c r="C626" s="27" t="s">
        <v>1509</v>
      </c>
      <c r="D626" s="27" t="s">
        <v>1510</v>
      </c>
      <c r="E626" s="55"/>
      <c r="F626" s="55"/>
      <c r="G626" s="55"/>
      <c r="H626" s="55"/>
      <c r="I626" s="55"/>
      <c r="J626" s="55"/>
      <c r="K626" s="28" t="n">
        <f aca="false">IFERROR(MIN(E626:J626),"")</f>
        <v>0</v>
      </c>
      <c r="L626" s="55" t="str">
        <f aca="false">IF(COUNT(E626:J626)&lt;2,"-",IF(LOOKUP(2,1/(E626:J626&lt;&gt;""),E626:J626)&lt;INDEX(E626:J626,MATCH(TRUE(),E626:J626&lt;&gt;"",0)),"↑",IF(LOOKUP(2,1/(E626:J626&lt;&gt;""),E626:J626)&gt;INDEX(E626:J626,MATCH(TRUE(),E626:J626&lt;&gt;"",0)),"↓","→")))</f>
        <v>-</v>
      </c>
    </row>
    <row r="627" customFormat="false" ht="25.5" hidden="false" customHeight="true" outlineLevel="0" collapsed="false">
      <c r="A627" s="55" t="n">
        <v>626</v>
      </c>
      <c r="B627" s="55" t="n">
        <v>6</v>
      </c>
      <c r="C627" s="29" t="s">
        <v>1511</v>
      </c>
      <c r="D627" s="29" t="s">
        <v>1512</v>
      </c>
      <c r="E627" s="55"/>
      <c r="F627" s="55"/>
      <c r="G627" s="55"/>
      <c r="H627" s="55"/>
      <c r="I627" s="55"/>
      <c r="J627" s="55"/>
      <c r="K627" s="28" t="n">
        <f aca="false">IFERROR(MIN(E627:J627),"")</f>
        <v>0</v>
      </c>
      <c r="L627" s="55" t="str">
        <f aca="false">IF(COUNT(E627:J627)&lt;2,"-",IF(LOOKUP(2,1/(E627:J627&lt;&gt;""),E627:J627)&lt;INDEX(E627:J627,MATCH(TRUE(),E627:J627&lt;&gt;"",0)),"↑",IF(LOOKUP(2,1/(E627:J627&lt;&gt;""),E627:J627)&gt;INDEX(E627:J627,MATCH(TRUE(),E627:J627&lt;&gt;"",0)),"↓","→")))</f>
        <v>-</v>
      </c>
    </row>
    <row r="628" customFormat="false" ht="25.5" hidden="false" customHeight="true" outlineLevel="0" collapsed="false">
      <c r="A628" s="55" t="n">
        <v>627</v>
      </c>
      <c r="B628" s="55" t="n">
        <v>6</v>
      </c>
      <c r="C628" s="27" t="s">
        <v>1513</v>
      </c>
      <c r="D628" s="27" t="s">
        <v>1515</v>
      </c>
      <c r="E628" s="55"/>
      <c r="F628" s="55"/>
      <c r="G628" s="55"/>
      <c r="H628" s="55"/>
      <c r="I628" s="55"/>
      <c r="J628" s="55"/>
      <c r="K628" s="28" t="n">
        <f aca="false">IFERROR(MIN(E628:J628),"")</f>
        <v>0</v>
      </c>
      <c r="L628" s="55" t="str">
        <f aca="false">IF(COUNT(E628:J628)&lt;2,"-",IF(LOOKUP(2,1/(E628:J628&lt;&gt;""),E628:J628)&lt;INDEX(E628:J628,MATCH(TRUE(),E628:J628&lt;&gt;"",0)),"↑",IF(LOOKUP(2,1/(E628:J628&lt;&gt;""),E628:J628)&gt;INDEX(E628:J628,MATCH(TRUE(),E628:J628&lt;&gt;"",0)),"↓","→")))</f>
        <v>-</v>
      </c>
    </row>
    <row r="629" customFormat="false" ht="25.5" hidden="false" customHeight="true" outlineLevel="0" collapsed="false">
      <c r="A629" s="55" t="n">
        <v>628</v>
      </c>
      <c r="B629" s="55" t="n">
        <v>6</v>
      </c>
      <c r="C629" s="29" t="s">
        <v>1516</v>
      </c>
      <c r="D629" s="29" t="s">
        <v>1517</v>
      </c>
      <c r="E629" s="55"/>
      <c r="F629" s="55"/>
      <c r="G629" s="55"/>
      <c r="H629" s="55"/>
      <c r="I629" s="55"/>
      <c r="J629" s="55"/>
      <c r="K629" s="28" t="n">
        <f aca="false">IFERROR(MIN(E629:J629),"")</f>
        <v>0</v>
      </c>
      <c r="L629" s="55" t="str">
        <f aca="false">IF(COUNT(E629:J629)&lt;2,"-",IF(LOOKUP(2,1/(E629:J629&lt;&gt;""),E629:J629)&lt;INDEX(E629:J629,MATCH(TRUE(),E629:J629&lt;&gt;"",0)),"↑",IF(LOOKUP(2,1/(E629:J629&lt;&gt;""),E629:J629)&gt;INDEX(E629:J629,MATCH(TRUE(),E629:J629&lt;&gt;"",0)),"↓","→")))</f>
        <v>-</v>
      </c>
    </row>
    <row r="630" customFormat="false" ht="25.5" hidden="false" customHeight="true" outlineLevel="0" collapsed="false">
      <c r="A630" s="55" t="n">
        <v>629</v>
      </c>
      <c r="B630" s="55" t="n">
        <v>6</v>
      </c>
      <c r="C630" s="27" t="s">
        <v>1518</v>
      </c>
      <c r="D630" s="27" t="s">
        <v>1519</v>
      </c>
      <c r="E630" s="55"/>
      <c r="F630" s="55"/>
      <c r="G630" s="55"/>
      <c r="H630" s="55"/>
      <c r="I630" s="55"/>
      <c r="J630" s="55"/>
      <c r="K630" s="28" t="n">
        <f aca="false">IFERROR(MIN(E630:J630),"")</f>
        <v>0</v>
      </c>
      <c r="L630" s="55" t="str">
        <f aca="false">IF(COUNT(E630:J630)&lt;2,"-",IF(LOOKUP(2,1/(E630:J630&lt;&gt;""),E630:J630)&lt;INDEX(E630:J630,MATCH(TRUE(),E630:J630&lt;&gt;"",0)),"↑",IF(LOOKUP(2,1/(E630:J630&lt;&gt;""),E630:J630)&gt;INDEX(E630:J630,MATCH(TRUE(),E630:J630&lt;&gt;"",0)),"↓","→")))</f>
        <v>-</v>
      </c>
    </row>
    <row r="631" customFormat="false" ht="25.5" hidden="false" customHeight="true" outlineLevel="0" collapsed="false">
      <c r="A631" s="55" t="n">
        <v>630</v>
      </c>
      <c r="B631" s="55" t="n">
        <v>6</v>
      </c>
      <c r="C631" s="29" t="s">
        <v>1520</v>
      </c>
      <c r="D631" s="29" t="s">
        <v>1521</v>
      </c>
      <c r="E631" s="55"/>
      <c r="F631" s="55"/>
      <c r="G631" s="55"/>
      <c r="H631" s="55"/>
      <c r="I631" s="55"/>
      <c r="J631" s="55"/>
      <c r="K631" s="28" t="n">
        <f aca="false">IFERROR(MIN(E631:J631),"")</f>
        <v>0</v>
      </c>
      <c r="L631" s="55" t="str">
        <f aca="false">IF(COUNT(E631:J631)&lt;2,"-",IF(LOOKUP(2,1/(E631:J631&lt;&gt;""),E631:J631)&lt;INDEX(E631:J631,MATCH(TRUE(),E631:J631&lt;&gt;"",0)),"↑",IF(LOOKUP(2,1/(E631:J631&lt;&gt;""),E631:J631)&gt;INDEX(E631:J631,MATCH(TRUE(),E631:J631&lt;&gt;"",0)),"↓","→")))</f>
        <v>-</v>
      </c>
    </row>
    <row r="632" customFormat="false" ht="25.5" hidden="false" customHeight="true" outlineLevel="0" collapsed="false">
      <c r="A632" s="55" t="n">
        <v>631</v>
      </c>
      <c r="B632" s="55" t="n">
        <v>6</v>
      </c>
      <c r="C632" s="27" t="s">
        <v>1522</v>
      </c>
      <c r="D632" s="27" t="s">
        <v>1523</v>
      </c>
      <c r="E632" s="55"/>
      <c r="F632" s="55"/>
      <c r="G632" s="55"/>
      <c r="H632" s="55"/>
      <c r="I632" s="55"/>
      <c r="J632" s="55"/>
      <c r="K632" s="28" t="n">
        <f aca="false">IFERROR(MIN(E632:J632),"")</f>
        <v>0</v>
      </c>
      <c r="L632" s="55" t="str">
        <f aca="false">IF(COUNT(E632:J632)&lt;2,"-",IF(LOOKUP(2,1/(E632:J632&lt;&gt;""),E632:J632)&lt;INDEX(E632:J632,MATCH(TRUE(),E632:J632&lt;&gt;"",0)),"↑",IF(LOOKUP(2,1/(E632:J632&lt;&gt;""),E632:J632)&gt;INDEX(E632:J632,MATCH(TRUE(),E632:J632&lt;&gt;"",0)),"↓","→")))</f>
        <v>-</v>
      </c>
    </row>
    <row r="633" customFormat="false" ht="25.5" hidden="false" customHeight="true" outlineLevel="0" collapsed="false">
      <c r="A633" s="55" t="n">
        <v>632</v>
      </c>
      <c r="B633" s="55" t="n">
        <v>6</v>
      </c>
      <c r="C633" s="29" t="s">
        <v>1524</v>
      </c>
      <c r="D633" s="29" t="s">
        <v>1525</v>
      </c>
      <c r="E633" s="55"/>
      <c r="F633" s="55"/>
      <c r="G633" s="55"/>
      <c r="H633" s="55"/>
      <c r="I633" s="55"/>
      <c r="J633" s="55"/>
      <c r="K633" s="28" t="n">
        <f aca="false">IFERROR(MIN(E633:J633),"")</f>
        <v>0</v>
      </c>
      <c r="L633" s="55" t="str">
        <f aca="false">IF(COUNT(E633:J633)&lt;2,"-",IF(LOOKUP(2,1/(E633:J633&lt;&gt;""),E633:J633)&lt;INDEX(E633:J633,MATCH(TRUE(),E633:J633&lt;&gt;"",0)),"↑",IF(LOOKUP(2,1/(E633:J633&lt;&gt;""),E633:J633)&gt;INDEX(E633:J633,MATCH(TRUE(),E633:J633&lt;&gt;"",0)),"↓","→")))</f>
        <v>-</v>
      </c>
    </row>
    <row r="634" customFormat="false" ht="25.5" hidden="false" customHeight="true" outlineLevel="0" collapsed="false">
      <c r="A634" s="55" t="n">
        <v>633</v>
      </c>
      <c r="B634" s="55" t="n">
        <v>6</v>
      </c>
      <c r="C634" s="27" t="s">
        <v>1526</v>
      </c>
      <c r="D634" s="27" t="s">
        <v>1527</v>
      </c>
      <c r="E634" s="55"/>
      <c r="F634" s="55"/>
      <c r="G634" s="55"/>
      <c r="H634" s="55"/>
      <c r="I634" s="55"/>
      <c r="J634" s="55"/>
      <c r="K634" s="28" t="n">
        <f aca="false">IFERROR(MIN(E634:J634),"")</f>
        <v>0</v>
      </c>
      <c r="L634" s="55" t="str">
        <f aca="false">IF(COUNT(E634:J634)&lt;2,"-",IF(LOOKUP(2,1/(E634:J634&lt;&gt;""),E634:J634)&lt;INDEX(E634:J634,MATCH(TRUE(),E634:J634&lt;&gt;"",0)),"↑",IF(LOOKUP(2,1/(E634:J634&lt;&gt;""),E634:J634)&gt;INDEX(E634:J634,MATCH(TRUE(),E634:J634&lt;&gt;"",0)),"↓","→")))</f>
        <v>-</v>
      </c>
    </row>
    <row r="635" customFormat="false" ht="25.5" hidden="false" customHeight="true" outlineLevel="0" collapsed="false">
      <c r="A635" s="55" t="n">
        <v>634</v>
      </c>
      <c r="B635" s="55" t="n">
        <v>6</v>
      </c>
      <c r="C635" s="29" t="s">
        <v>1528</v>
      </c>
      <c r="D635" s="29" t="s">
        <v>1529</v>
      </c>
      <c r="E635" s="55"/>
      <c r="F635" s="55"/>
      <c r="G635" s="55"/>
      <c r="H635" s="55"/>
      <c r="I635" s="55"/>
      <c r="J635" s="55"/>
      <c r="K635" s="28" t="n">
        <f aca="false">IFERROR(MIN(E635:J635),"")</f>
        <v>0</v>
      </c>
      <c r="L635" s="55" t="str">
        <f aca="false">IF(COUNT(E635:J635)&lt;2,"-",IF(LOOKUP(2,1/(E635:J635&lt;&gt;""),E635:J635)&lt;INDEX(E635:J635,MATCH(TRUE(),E635:J635&lt;&gt;"",0)),"↑",IF(LOOKUP(2,1/(E635:J635&lt;&gt;""),E635:J635)&gt;INDEX(E635:J635,MATCH(TRUE(),E635:J635&lt;&gt;"",0)),"↓","→")))</f>
        <v>-</v>
      </c>
    </row>
    <row r="636" customFormat="false" ht="25.5" hidden="false" customHeight="true" outlineLevel="0" collapsed="false">
      <c r="A636" s="55" t="n">
        <v>635</v>
      </c>
      <c r="B636" s="55" t="n">
        <v>6</v>
      </c>
      <c r="C636" s="27" t="s">
        <v>1530</v>
      </c>
      <c r="D636" s="27" t="s">
        <v>1531</v>
      </c>
      <c r="E636" s="55"/>
      <c r="F636" s="55"/>
      <c r="G636" s="55"/>
      <c r="H636" s="55"/>
      <c r="I636" s="55"/>
      <c r="J636" s="55"/>
      <c r="K636" s="28" t="n">
        <f aca="false">IFERROR(MIN(E636:J636),"")</f>
        <v>0</v>
      </c>
      <c r="L636" s="55" t="str">
        <f aca="false">IF(COUNT(E636:J636)&lt;2,"-",IF(LOOKUP(2,1/(E636:J636&lt;&gt;""),E636:J636)&lt;INDEX(E636:J636,MATCH(TRUE(),E636:J636&lt;&gt;"",0)),"↑",IF(LOOKUP(2,1/(E636:J636&lt;&gt;""),E636:J636)&gt;INDEX(E636:J636,MATCH(TRUE(),E636:J636&lt;&gt;"",0)),"↓","→")))</f>
        <v>-</v>
      </c>
    </row>
    <row r="637" customFormat="false" ht="25.5" hidden="false" customHeight="true" outlineLevel="0" collapsed="false">
      <c r="A637" s="55" t="n">
        <v>636</v>
      </c>
      <c r="B637" s="55" t="n">
        <v>6</v>
      </c>
      <c r="C637" s="29" t="s">
        <v>1532</v>
      </c>
      <c r="D637" s="29" t="s">
        <v>1533</v>
      </c>
      <c r="E637" s="55"/>
      <c r="F637" s="55"/>
      <c r="G637" s="55"/>
      <c r="H637" s="55"/>
      <c r="I637" s="55"/>
      <c r="J637" s="55"/>
      <c r="K637" s="28" t="n">
        <f aca="false">IFERROR(MIN(E637:J637),"")</f>
        <v>0</v>
      </c>
      <c r="L637" s="55" t="str">
        <f aca="false">IF(COUNT(E637:J637)&lt;2,"-",IF(LOOKUP(2,1/(E637:J637&lt;&gt;""),E637:J637)&lt;INDEX(E637:J637,MATCH(TRUE(),E637:J637&lt;&gt;"",0)),"↑",IF(LOOKUP(2,1/(E637:J637&lt;&gt;""),E637:J637)&gt;INDEX(E637:J637,MATCH(TRUE(),E637:J637&lt;&gt;"",0)),"↓","→")))</f>
        <v>-</v>
      </c>
    </row>
    <row r="638" customFormat="false" ht="25.5" hidden="false" customHeight="true" outlineLevel="0" collapsed="false">
      <c r="A638" s="55" t="n">
        <v>637</v>
      </c>
      <c r="B638" s="55" t="n">
        <v>6</v>
      </c>
      <c r="C638" s="27" t="s">
        <v>1534</v>
      </c>
      <c r="D638" s="27" t="s">
        <v>1535</v>
      </c>
      <c r="E638" s="55"/>
      <c r="F638" s="55"/>
      <c r="G638" s="55"/>
      <c r="H638" s="55"/>
      <c r="I638" s="55"/>
      <c r="J638" s="55"/>
      <c r="K638" s="28" t="n">
        <f aca="false">IFERROR(MIN(E638:J638),"")</f>
        <v>0</v>
      </c>
      <c r="L638" s="55" t="str">
        <f aca="false">IF(COUNT(E638:J638)&lt;2,"-",IF(LOOKUP(2,1/(E638:J638&lt;&gt;""),E638:J638)&lt;INDEX(E638:J638,MATCH(TRUE(),E638:J638&lt;&gt;"",0)),"↑",IF(LOOKUP(2,1/(E638:J638&lt;&gt;""),E638:J638)&gt;INDEX(E638:J638,MATCH(TRUE(),E638:J638&lt;&gt;"",0)),"↓","→")))</f>
        <v>-</v>
      </c>
    </row>
    <row r="639" customFormat="false" ht="25.5" hidden="false" customHeight="true" outlineLevel="0" collapsed="false">
      <c r="A639" s="55" t="n">
        <v>638</v>
      </c>
      <c r="B639" s="55" t="n">
        <v>6</v>
      </c>
      <c r="C639" s="29" t="s">
        <v>1536</v>
      </c>
      <c r="D639" s="29" t="s">
        <v>1537</v>
      </c>
      <c r="E639" s="55"/>
      <c r="F639" s="55"/>
      <c r="G639" s="55"/>
      <c r="H639" s="55"/>
      <c r="I639" s="55"/>
      <c r="J639" s="55"/>
      <c r="K639" s="28" t="n">
        <f aca="false">IFERROR(MIN(E639:J639),"")</f>
        <v>0</v>
      </c>
      <c r="L639" s="55" t="str">
        <f aca="false">IF(COUNT(E639:J639)&lt;2,"-",IF(LOOKUP(2,1/(E639:J639&lt;&gt;""),E639:J639)&lt;INDEX(E639:J639,MATCH(TRUE(),E639:J639&lt;&gt;"",0)),"↑",IF(LOOKUP(2,1/(E639:J639&lt;&gt;""),E639:J639)&gt;INDEX(E639:J639,MATCH(TRUE(),E639:J639&lt;&gt;"",0)),"↓","→")))</f>
        <v>-</v>
      </c>
    </row>
    <row r="640" customFormat="false" ht="25.5" hidden="false" customHeight="true" outlineLevel="0" collapsed="false">
      <c r="A640" s="55" t="n">
        <v>639</v>
      </c>
      <c r="B640" s="55" t="n">
        <v>6</v>
      </c>
      <c r="C640" s="27" t="s">
        <v>1538</v>
      </c>
      <c r="D640" s="27" t="s">
        <v>1539</v>
      </c>
      <c r="E640" s="55"/>
      <c r="F640" s="55"/>
      <c r="G640" s="55"/>
      <c r="H640" s="55"/>
      <c r="I640" s="55"/>
      <c r="J640" s="55"/>
      <c r="K640" s="28" t="n">
        <f aca="false">IFERROR(MIN(E640:J640),"")</f>
        <v>0</v>
      </c>
      <c r="L640" s="55" t="str">
        <f aca="false">IF(COUNT(E640:J640)&lt;2,"-",IF(LOOKUP(2,1/(E640:J640&lt;&gt;""),E640:J640)&lt;INDEX(E640:J640,MATCH(TRUE(),E640:J640&lt;&gt;"",0)),"↑",IF(LOOKUP(2,1/(E640:J640&lt;&gt;""),E640:J640)&gt;INDEX(E640:J640,MATCH(TRUE(),E640:J640&lt;&gt;"",0)),"↓","→")))</f>
        <v>-</v>
      </c>
    </row>
    <row r="641" customFormat="false" ht="25.5" hidden="false" customHeight="true" outlineLevel="0" collapsed="false">
      <c r="A641" s="55" t="n">
        <v>640</v>
      </c>
      <c r="B641" s="55" t="n">
        <v>6</v>
      </c>
      <c r="C641" s="29" t="s">
        <v>1540</v>
      </c>
      <c r="D641" s="29" t="s">
        <v>1541</v>
      </c>
      <c r="E641" s="55"/>
      <c r="F641" s="55"/>
      <c r="G641" s="55"/>
      <c r="H641" s="55"/>
      <c r="I641" s="55"/>
      <c r="J641" s="55"/>
      <c r="K641" s="28" t="n">
        <f aca="false">IFERROR(MIN(E641:J641),"")</f>
        <v>0</v>
      </c>
      <c r="L641" s="55" t="str">
        <f aca="false">IF(COUNT(E641:J641)&lt;2,"-",IF(LOOKUP(2,1/(E641:J641&lt;&gt;""),E641:J641)&lt;INDEX(E641:J641,MATCH(TRUE(),E641:J641&lt;&gt;"",0)),"↑",IF(LOOKUP(2,1/(E641:J641&lt;&gt;""),E641:J641)&gt;INDEX(E641:J641,MATCH(TRUE(),E641:J641&lt;&gt;"",0)),"↓","→")))</f>
        <v>-</v>
      </c>
    </row>
    <row r="642" customFormat="false" ht="25.5" hidden="false" customHeight="true" outlineLevel="0" collapsed="false">
      <c r="A642" s="55" t="n">
        <v>641</v>
      </c>
      <c r="B642" s="55" t="n">
        <v>6</v>
      </c>
      <c r="C642" s="27" t="s">
        <v>1542</v>
      </c>
      <c r="D642" s="27" t="s">
        <v>1543</v>
      </c>
      <c r="E642" s="55"/>
      <c r="F642" s="55"/>
      <c r="G642" s="55"/>
      <c r="H642" s="55"/>
      <c r="I642" s="55"/>
      <c r="J642" s="55"/>
      <c r="K642" s="28" t="n">
        <f aca="false">IFERROR(MIN(E642:J642),"")</f>
        <v>0</v>
      </c>
      <c r="L642" s="55" t="str">
        <f aca="false">IF(COUNT(E642:J642)&lt;2,"-",IF(LOOKUP(2,1/(E642:J642&lt;&gt;""),E642:J642)&lt;INDEX(E642:J642,MATCH(TRUE(),E642:J642&lt;&gt;"",0)),"↑",IF(LOOKUP(2,1/(E642:J642&lt;&gt;""),E642:J642)&gt;INDEX(E642:J642,MATCH(TRUE(),E642:J642&lt;&gt;"",0)),"↓","→")))</f>
        <v>-</v>
      </c>
    </row>
    <row r="643" customFormat="false" ht="25.5" hidden="false" customHeight="true" outlineLevel="0" collapsed="false">
      <c r="A643" s="55" t="n">
        <v>642</v>
      </c>
      <c r="B643" s="55" t="n">
        <v>6</v>
      </c>
      <c r="C643" s="29" t="s">
        <v>1544</v>
      </c>
      <c r="D643" s="29" t="s">
        <v>1545</v>
      </c>
      <c r="E643" s="55"/>
      <c r="F643" s="55"/>
      <c r="G643" s="55"/>
      <c r="H643" s="55"/>
      <c r="I643" s="55"/>
      <c r="J643" s="55"/>
      <c r="K643" s="28" t="n">
        <f aca="false">IFERROR(MIN(E643:J643),"")</f>
        <v>0</v>
      </c>
      <c r="L643" s="55" t="str">
        <f aca="false">IF(COUNT(E643:J643)&lt;2,"-",IF(LOOKUP(2,1/(E643:J643&lt;&gt;""),E643:J643)&lt;INDEX(E643:J643,MATCH(TRUE(),E643:J643&lt;&gt;"",0)),"↑",IF(LOOKUP(2,1/(E643:J643&lt;&gt;""),E643:J643)&gt;INDEX(E643:J643,MATCH(TRUE(),E643:J643&lt;&gt;"",0)),"↓","→")))</f>
        <v>-</v>
      </c>
    </row>
    <row r="644" customFormat="false" ht="25.5" hidden="false" customHeight="true" outlineLevel="0" collapsed="false">
      <c r="A644" s="55" t="n">
        <v>643</v>
      </c>
      <c r="B644" s="55" t="n">
        <v>6</v>
      </c>
      <c r="C644" s="27" t="s">
        <v>1546</v>
      </c>
      <c r="D644" s="27" t="s">
        <v>1547</v>
      </c>
      <c r="E644" s="55"/>
      <c r="F644" s="55"/>
      <c r="G644" s="55"/>
      <c r="H644" s="55"/>
      <c r="I644" s="55"/>
      <c r="J644" s="55"/>
      <c r="K644" s="28" t="n">
        <f aca="false">IFERROR(MIN(E644:J644),"")</f>
        <v>0</v>
      </c>
      <c r="L644" s="55" t="str">
        <f aca="false">IF(COUNT(E644:J644)&lt;2,"-",IF(LOOKUP(2,1/(E644:J644&lt;&gt;""),E644:J644)&lt;INDEX(E644:J644,MATCH(TRUE(),E644:J644&lt;&gt;"",0)),"↑",IF(LOOKUP(2,1/(E644:J644&lt;&gt;""),E644:J644)&gt;INDEX(E644:J644,MATCH(TRUE(),E644:J644&lt;&gt;"",0)),"↓","→")))</f>
        <v>-</v>
      </c>
    </row>
    <row r="645" customFormat="false" ht="25.5" hidden="false" customHeight="true" outlineLevel="0" collapsed="false">
      <c r="A645" s="55" t="n">
        <v>644</v>
      </c>
      <c r="B645" s="55" t="n">
        <v>6</v>
      </c>
      <c r="C645" s="29" t="s">
        <v>1548</v>
      </c>
      <c r="D645" s="29" t="s">
        <v>1549</v>
      </c>
      <c r="E645" s="55"/>
      <c r="F645" s="55"/>
      <c r="G645" s="55"/>
      <c r="H645" s="55"/>
      <c r="I645" s="55"/>
      <c r="J645" s="55"/>
      <c r="K645" s="28" t="n">
        <f aca="false">IFERROR(MIN(E645:J645),"")</f>
        <v>0</v>
      </c>
      <c r="L645" s="55" t="str">
        <f aca="false">IF(COUNT(E645:J645)&lt;2,"-",IF(LOOKUP(2,1/(E645:J645&lt;&gt;""),E645:J645)&lt;INDEX(E645:J645,MATCH(TRUE(),E645:J645&lt;&gt;"",0)),"↑",IF(LOOKUP(2,1/(E645:J645&lt;&gt;""),E645:J645)&gt;INDEX(E645:J645,MATCH(TRUE(),E645:J645&lt;&gt;"",0)),"↓","→")))</f>
        <v>-</v>
      </c>
    </row>
    <row r="646" customFormat="false" ht="25.5" hidden="false" customHeight="true" outlineLevel="0" collapsed="false">
      <c r="A646" s="55" t="n">
        <v>645</v>
      </c>
      <c r="B646" s="55" t="n">
        <v>6</v>
      </c>
      <c r="C646" s="27" t="s">
        <v>1550</v>
      </c>
      <c r="D646" s="27" t="s">
        <v>1551</v>
      </c>
      <c r="E646" s="55"/>
      <c r="F646" s="55"/>
      <c r="G646" s="55"/>
      <c r="H646" s="55"/>
      <c r="I646" s="55"/>
      <c r="J646" s="55"/>
      <c r="K646" s="28" t="n">
        <f aca="false">IFERROR(MIN(E646:J646),"")</f>
        <v>0</v>
      </c>
      <c r="L646" s="55" t="str">
        <f aca="false">IF(COUNT(E646:J646)&lt;2,"-",IF(LOOKUP(2,1/(E646:J646&lt;&gt;""),E646:J646)&lt;INDEX(E646:J646,MATCH(TRUE(),E646:J646&lt;&gt;"",0)),"↑",IF(LOOKUP(2,1/(E646:J646&lt;&gt;""),E646:J646)&gt;INDEX(E646:J646,MATCH(TRUE(),E646:J646&lt;&gt;"",0)),"↓","→")))</f>
        <v>-</v>
      </c>
    </row>
    <row r="647" customFormat="false" ht="25.5" hidden="false" customHeight="true" outlineLevel="0" collapsed="false">
      <c r="A647" s="55" t="n">
        <v>646</v>
      </c>
      <c r="B647" s="55" t="n">
        <v>6</v>
      </c>
      <c r="C647" s="29" t="s">
        <v>1552</v>
      </c>
      <c r="D647" s="29" t="s">
        <v>1553</v>
      </c>
      <c r="E647" s="55"/>
      <c r="F647" s="55"/>
      <c r="G647" s="55"/>
      <c r="H647" s="55"/>
      <c r="I647" s="55"/>
      <c r="J647" s="55"/>
      <c r="K647" s="28" t="n">
        <f aca="false">IFERROR(MIN(E647:J647),"")</f>
        <v>0</v>
      </c>
      <c r="L647" s="55" t="str">
        <f aca="false">IF(COUNT(E647:J647)&lt;2,"-",IF(LOOKUP(2,1/(E647:J647&lt;&gt;""),E647:J647)&lt;INDEX(E647:J647,MATCH(TRUE(),E647:J647&lt;&gt;"",0)),"↑",IF(LOOKUP(2,1/(E647:J647&lt;&gt;""),E647:J647)&gt;INDEX(E647:J647,MATCH(TRUE(),E647:J647&lt;&gt;"",0)),"↓","→")))</f>
        <v>-</v>
      </c>
    </row>
    <row r="648" customFormat="false" ht="25.5" hidden="false" customHeight="true" outlineLevel="0" collapsed="false">
      <c r="A648" s="55" t="n">
        <v>647</v>
      </c>
      <c r="B648" s="55" t="n">
        <v>6</v>
      </c>
      <c r="C648" s="27" t="s">
        <v>1554</v>
      </c>
      <c r="D648" s="27" t="s">
        <v>1555</v>
      </c>
      <c r="E648" s="55"/>
      <c r="F648" s="55"/>
      <c r="G648" s="55"/>
      <c r="H648" s="55"/>
      <c r="I648" s="55"/>
      <c r="J648" s="55"/>
      <c r="K648" s="28" t="n">
        <f aca="false">IFERROR(MIN(E648:J648),"")</f>
        <v>0</v>
      </c>
      <c r="L648" s="55" t="str">
        <f aca="false">IF(COUNT(E648:J648)&lt;2,"-",IF(LOOKUP(2,1/(E648:J648&lt;&gt;""),E648:J648)&lt;INDEX(E648:J648,MATCH(TRUE(),E648:J648&lt;&gt;"",0)),"↑",IF(LOOKUP(2,1/(E648:J648&lt;&gt;""),E648:J648)&gt;INDEX(E648:J648,MATCH(TRUE(),E648:J648&lt;&gt;"",0)),"↓","→")))</f>
        <v>-</v>
      </c>
    </row>
    <row r="649" customFormat="false" ht="25.5" hidden="false" customHeight="true" outlineLevel="0" collapsed="false">
      <c r="A649" s="55" t="n">
        <v>648</v>
      </c>
      <c r="B649" s="55" t="n">
        <v>6</v>
      </c>
      <c r="C649" s="29" t="s">
        <v>1556</v>
      </c>
      <c r="D649" s="29" t="s">
        <v>1557</v>
      </c>
      <c r="E649" s="55"/>
      <c r="F649" s="55"/>
      <c r="G649" s="55"/>
      <c r="H649" s="55"/>
      <c r="I649" s="55"/>
      <c r="J649" s="55"/>
      <c r="K649" s="28" t="n">
        <f aca="false">IFERROR(MIN(E649:J649),"")</f>
        <v>0</v>
      </c>
      <c r="L649" s="55" t="str">
        <f aca="false">IF(COUNT(E649:J649)&lt;2,"-",IF(LOOKUP(2,1/(E649:J649&lt;&gt;""),E649:J649)&lt;INDEX(E649:J649,MATCH(TRUE(),E649:J649&lt;&gt;"",0)),"↑",IF(LOOKUP(2,1/(E649:J649&lt;&gt;""),E649:J649)&gt;INDEX(E649:J649,MATCH(TRUE(),E649:J649&lt;&gt;"",0)),"↓","→")))</f>
        <v>-</v>
      </c>
    </row>
    <row r="650" customFormat="false" ht="25.5" hidden="false" customHeight="true" outlineLevel="0" collapsed="false">
      <c r="A650" s="55" t="n">
        <v>649</v>
      </c>
      <c r="B650" s="55" t="n">
        <v>6</v>
      </c>
      <c r="C650" s="27" t="s">
        <v>1558</v>
      </c>
      <c r="D650" s="27" t="s">
        <v>1559</v>
      </c>
      <c r="E650" s="55"/>
      <c r="F650" s="55"/>
      <c r="G650" s="55"/>
      <c r="H650" s="55"/>
      <c r="I650" s="55"/>
      <c r="J650" s="55"/>
      <c r="K650" s="28" t="n">
        <f aca="false">IFERROR(MIN(E650:J650),"")</f>
        <v>0</v>
      </c>
      <c r="L650" s="55" t="str">
        <f aca="false">IF(COUNT(E650:J650)&lt;2,"-",IF(LOOKUP(2,1/(E650:J650&lt;&gt;""),E650:J650)&lt;INDEX(E650:J650,MATCH(TRUE(),E650:J650&lt;&gt;"",0)),"↑",IF(LOOKUP(2,1/(E650:J650&lt;&gt;""),E650:J650)&gt;INDEX(E650:J650,MATCH(TRUE(),E650:J650&lt;&gt;"",0)),"↓","→")))</f>
        <v>-</v>
      </c>
    </row>
    <row r="651" customFormat="false" ht="25.5" hidden="false" customHeight="true" outlineLevel="0" collapsed="false">
      <c r="A651" s="55" t="n">
        <v>650</v>
      </c>
      <c r="B651" s="55" t="n">
        <v>6</v>
      </c>
      <c r="C651" s="29" t="s">
        <v>1560</v>
      </c>
      <c r="D651" s="29" t="s">
        <v>1561</v>
      </c>
      <c r="E651" s="55"/>
      <c r="F651" s="55"/>
      <c r="G651" s="55"/>
      <c r="H651" s="55"/>
      <c r="I651" s="55"/>
      <c r="J651" s="55"/>
      <c r="K651" s="28" t="n">
        <f aca="false">IFERROR(MIN(E651:J651),"")</f>
        <v>0</v>
      </c>
      <c r="L651" s="55" t="str">
        <f aca="false">IF(COUNT(E651:J651)&lt;2,"-",IF(LOOKUP(2,1/(E651:J651&lt;&gt;""),E651:J651)&lt;INDEX(E651:J651,MATCH(TRUE(),E651:J651&lt;&gt;"",0)),"↑",IF(LOOKUP(2,1/(E651:J651&lt;&gt;""),E651:J651)&gt;INDEX(E651:J651,MATCH(TRUE(),E651:J651&lt;&gt;"",0)),"↓","→")))</f>
        <v>-</v>
      </c>
    </row>
    <row r="652" customFormat="false" ht="25.5" hidden="false" customHeight="true" outlineLevel="0" collapsed="false">
      <c r="A652" s="55" t="n">
        <v>651</v>
      </c>
      <c r="B652" s="55" t="n">
        <v>6</v>
      </c>
      <c r="C652" s="27" t="s">
        <v>1562</v>
      </c>
      <c r="D652" s="27" t="s">
        <v>1563</v>
      </c>
      <c r="E652" s="55"/>
      <c r="F652" s="55"/>
      <c r="G652" s="55"/>
      <c r="H652" s="55"/>
      <c r="I652" s="55"/>
      <c r="J652" s="55"/>
      <c r="K652" s="28" t="n">
        <f aca="false">IFERROR(MIN(E652:J652),"")</f>
        <v>0</v>
      </c>
      <c r="L652" s="55" t="str">
        <f aca="false">IF(COUNT(E652:J652)&lt;2,"-",IF(LOOKUP(2,1/(E652:J652&lt;&gt;""),E652:J652)&lt;INDEX(E652:J652,MATCH(TRUE(),E652:J652&lt;&gt;"",0)),"↑",IF(LOOKUP(2,1/(E652:J652&lt;&gt;""),E652:J652)&gt;INDEX(E652:J652,MATCH(TRUE(),E652:J652&lt;&gt;"",0)),"↓","→")))</f>
        <v>-</v>
      </c>
    </row>
    <row r="653" customFormat="false" ht="25.5" hidden="false" customHeight="true" outlineLevel="0" collapsed="false">
      <c r="A653" s="55" t="n">
        <v>652</v>
      </c>
      <c r="B653" s="55" t="n">
        <v>6</v>
      </c>
      <c r="C653" s="29" t="s">
        <v>1564</v>
      </c>
      <c r="D653" s="29" t="s">
        <v>1565</v>
      </c>
      <c r="E653" s="55"/>
      <c r="F653" s="55"/>
      <c r="G653" s="55"/>
      <c r="H653" s="55"/>
      <c r="I653" s="55"/>
      <c r="J653" s="55"/>
      <c r="K653" s="28" t="n">
        <f aca="false">IFERROR(MIN(E653:J653),"")</f>
        <v>0</v>
      </c>
      <c r="L653" s="55" t="str">
        <f aca="false">IF(COUNT(E653:J653)&lt;2,"-",IF(LOOKUP(2,1/(E653:J653&lt;&gt;""),E653:J653)&lt;INDEX(E653:J653,MATCH(TRUE(),E653:J653&lt;&gt;"",0)),"↑",IF(LOOKUP(2,1/(E653:J653&lt;&gt;""),E653:J653)&gt;INDEX(E653:J653,MATCH(TRUE(),E653:J653&lt;&gt;"",0)),"↓","→")))</f>
        <v>-</v>
      </c>
    </row>
    <row r="654" customFormat="false" ht="25.5" hidden="false" customHeight="true" outlineLevel="0" collapsed="false">
      <c r="A654" s="55" t="n">
        <v>653</v>
      </c>
      <c r="B654" s="55" t="n">
        <v>6</v>
      </c>
      <c r="C654" s="27" t="s">
        <v>1566</v>
      </c>
      <c r="D654" s="27" t="s">
        <v>1567</v>
      </c>
      <c r="E654" s="55"/>
      <c r="F654" s="55"/>
      <c r="G654" s="55"/>
      <c r="H654" s="55"/>
      <c r="I654" s="55"/>
      <c r="J654" s="55"/>
      <c r="K654" s="28" t="n">
        <f aca="false">IFERROR(MIN(E654:J654),"")</f>
        <v>0</v>
      </c>
      <c r="L654" s="55" t="str">
        <f aca="false">IF(COUNT(E654:J654)&lt;2,"-",IF(LOOKUP(2,1/(E654:J654&lt;&gt;""),E654:J654)&lt;INDEX(E654:J654,MATCH(TRUE(),E654:J654&lt;&gt;"",0)),"↑",IF(LOOKUP(2,1/(E654:J654&lt;&gt;""),E654:J654)&gt;INDEX(E654:J654,MATCH(TRUE(),E654:J654&lt;&gt;"",0)),"↓","→")))</f>
        <v>-</v>
      </c>
    </row>
    <row r="655" customFormat="false" ht="25.5" hidden="false" customHeight="true" outlineLevel="0" collapsed="false">
      <c r="A655" s="55" t="n">
        <v>654</v>
      </c>
      <c r="B655" s="55" t="n">
        <v>6</v>
      </c>
      <c r="C655" s="29" t="s">
        <v>1568</v>
      </c>
      <c r="D655" s="29" t="s">
        <v>1569</v>
      </c>
      <c r="E655" s="55"/>
      <c r="F655" s="55"/>
      <c r="G655" s="55"/>
      <c r="H655" s="55"/>
      <c r="I655" s="55"/>
      <c r="J655" s="55"/>
      <c r="K655" s="28" t="n">
        <f aca="false">IFERROR(MIN(E655:J655),"")</f>
        <v>0</v>
      </c>
      <c r="L655" s="55" t="str">
        <f aca="false">IF(COUNT(E655:J655)&lt;2,"-",IF(LOOKUP(2,1/(E655:J655&lt;&gt;""),E655:J655)&lt;INDEX(E655:J655,MATCH(TRUE(),E655:J655&lt;&gt;"",0)),"↑",IF(LOOKUP(2,1/(E655:J655&lt;&gt;""),E655:J655)&gt;INDEX(E655:J655,MATCH(TRUE(),E655:J655&lt;&gt;"",0)),"↓","→")))</f>
        <v>-</v>
      </c>
    </row>
    <row r="656" customFormat="false" ht="25.5" hidden="false" customHeight="true" outlineLevel="0" collapsed="false">
      <c r="A656" s="55" t="n">
        <v>655</v>
      </c>
      <c r="B656" s="55" t="n">
        <v>6</v>
      </c>
      <c r="C656" s="27" t="s">
        <v>1570</v>
      </c>
      <c r="D656" s="27" t="s">
        <v>1571</v>
      </c>
      <c r="E656" s="55"/>
      <c r="F656" s="55"/>
      <c r="G656" s="55"/>
      <c r="H656" s="55"/>
      <c r="I656" s="55"/>
      <c r="J656" s="55"/>
      <c r="K656" s="28" t="n">
        <f aca="false">IFERROR(MIN(E656:J656),"")</f>
        <v>0</v>
      </c>
      <c r="L656" s="55" t="str">
        <f aca="false">IF(COUNT(E656:J656)&lt;2,"-",IF(LOOKUP(2,1/(E656:J656&lt;&gt;""),E656:J656)&lt;INDEX(E656:J656,MATCH(TRUE(),E656:J656&lt;&gt;"",0)),"↑",IF(LOOKUP(2,1/(E656:J656&lt;&gt;""),E656:J656)&gt;INDEX(E656:J656,MATCH(TRUE(),E656:J656&lt;&gt;"",0)),"↓","→")))</f>
        <v>-</v>
      </c>
    </row>
    <row r="657" customFormat="false" ht="25.5" hidden="false" customHeight="true" outlineLevel="0" collapsed="false">
      <c r="A657" s="55" t="n">
        <v>656</v>
      </c>
      <c r="B657" s="55" t="n">
        <v>6</v>
      </c>
      <c r="C657" s="29" t="s">
        <v>1572</v>
      </c>
      <c r="D657" s="29" t="s">
        <v>1573</v>
      </c>
      <c r="E657" s="55"/>
      <c r="F657" s="55"/>
      <c r="G657" s="55"/>
      <c r="H657" s="55"/>
      <c r="I657" s="55"/>
      <c r="J657" s="55"/>
      <c r="K657" s="28" t="n">
        <f aca="false">IFERROR(MIN(E657:J657),"")</f>
        <v>0</v>
      </c>
      <c r="L657" s="55" t="str">
        <f aca="false">IF(COUNT(E657:J657)&lt;2,"-",IF(LOOKUP(2,1/(E657:J657&lt;&gt;""),E657:J657)&lt;INDEX(E657:J657,MATCH(TRUE(),E657:J657&lt;&gt;"",0)),"↑",IF(LOOKUP(2,1/(E657:J657&lt;&gt;""),E657:J657)&gt;INDEX(E657:J657,MATCH(TRUE(),E657:J657&lt;&gt;"",0)),"↓","→")))</f>
        <v>-</v>
      </c>
    </row>
    <row r="658" customFormat="false" ht="25.5" hidden="false" customHeight="true" outlineLevel="0" collapsed="false">
      <c r="A658" s="56" t="n">
        <v>657</v>
      </c>
      <c r="B658" s="56" t="n">
        <v>7</v>
      </c>
      <c r="C658" s="31" t="s">
        <v>1574</v>
      </c>
      <c r="D658" s="31" t="s">
        <v>1576</v>
      </c>
      <c r="E658" s="56"/>
      <c r="F658" s="56"/>
      <c r="G658" s="56"/>
      <c r="H658" s="56"/>
      <c r="I658" s="56"/>
      <c r="J658" s="56"/>
      <c r="K658" s="32" t="n">
        <f aca="false">IFERROR(MIN(E658:J658),"")</f>
        <v>0</v>
      </c>
      <c r="L658" s="56" t="str">
        <f aca="false">IF(COUNT(E658:J658)&lt;2,"-",IF(LOOKUP(2,1/(E658:J658&lt;&gt;""),E658:J658)&lt;INDEX(E658:J658,MATCH(TRUE(),E658:J658&lt;&gt;"",0)),"↑",IF(LOOKUP(2,1/(E658:J658&lt;&gt;""),E658:J658)&gt;INDEX(E658:J658,MATCH(TRUE(),E658:J658&lt;&gt;"",0)),"↓","→")))</f>
        <v>-</v>
      </c>
    </row>
    <row r="659" customFormat="false" ht="25.5" hidden="false" customHeight="true" outlineLevel="0" collapsed="false">
      <c r="A659" s="56" t="n">
        <v>658</v>
      </c>
      <c r="B659" s="56" t="n">
        <v>7</v>
      </c>
      <c r="C659" s="33" t="s">
        <v>1577</v>
      </c>
      <c r="D659" s="33" t="s">
        <v>1578</v>
      </c>
      <c r="E659" s="56"/>
      <c r="F659" s="56"/>
      <c r="G659" s="56"/>
      <c r="H659" s="56"/>
      <c r="I659" s="56"/>
      <c r="J659" s="56"/>
      <c r="K659" s="32" t="n">
        <f aca="false">IFERROR(MIN(E659:J659),"")</f>
        <v>0</v>
      </c>
      <c r="L659" s="56" t="str">
        <f aca="false">IF(COUNT(E659:J659)&lt;2,"-",IF(LOOKUP(2,1/(E659:J659&lt;&gt;""),E659:J659)&lt;INDEX(E659:J659,MATCH(TRUE(),E659:J659&lt;&gt;"",0)),"↑",IF(LOOKUP(2,1/(E659:J659&lt;&gt;""),E659:J659)&gt;INDEX(E659:J659,MATCH(TRUE(),E659:J659&lt;&gt;"",0)),"↓","→")))</f>
        <v>-</v>
      </c>
    </row>
    <row r="660" customFormat="false" ht="25.5" hidden="false" customHeight="true" outlineLevel="0" collapsed="false">
      <c r="A660" s="56" t="n">
        <v>659</v>
      </c>
      <c r="B660" s="56" t="n">
        <v>7</v>
      </c>
      <c r="C660" s="31" t="s">
        <v>1579</v>
      </c>
      <c r="D660" s="31" t="s">
        <v>1580</v>
      </c>
      <c r="E660" s="56"/>
      <c r="F660" s="56"/>
      <c r="G660" s="56"/>
      <c r="H660" s="56"/>
      <c r="I660" s="56"/>
      <c r="J660" s="56"/>
      <c r="K660" s="32" t="n">
        <f aca="false">IFERROR(MIN(E660:J660),"")</f>
        <v>0</v>
      </c>
      <c r="L660" s="56" t="str">
        <f aca="false">IF(COUNT(E660:J660)&lt;2,"-",IF(LOOKUP(2,1/(E660:J660&lt;&gt;""),E660:J660)&lt;INDEX(E660:J660,MATCH(TRUE(),E660:J660&lt;&gt;"",0)),"↑",IF(LOOKUP(2,1/(E660:J660&lt;&gt;""),E660:J660)&gt;INDEX(E660:J660,MATCH(TRUE(),E660:J660&lt;&gt;"",0)),"↓","→")))</f>
        <v>-</v>
      </c>
    </row>
    <row r="661" customFormat="false" ht="25.5" hidden="false" customHeight="true" outlineLevel="0" collapsed="false">
      <c r="A661" s="56" t="n">
        <v>660</v>
      </c>
      <c r="B661" s="56" t="n">
        <v>7</v>
      </c>
      <c r="C661" s="33" t="s">
        <v>1581</v>
      </c>
      <c r="D661" s="33" t="s">
        <v>1582</v>
      </c>
      <c r="E661" s="56"/>
      <c r="F661" s="56"/>
      <c r="G661" s="56"/>
      <c r="H661" s="56"/>
      <c r="I661" s="56"/>
      <c r="J661" s="56"/>
      <c r="K661" s="32" t="n">
        <f aca="false">IFERROR(MIN(E661:J661),"")</f>
        <v>0</v>
      </c>
      <c r="L661" s="56" t="str">
        <f aca="false">IF(COUNT(E661:J661)&lt;2,"-",IF(LOOKUP(2,1/(E661:J661&lt;&gt;""),E661:J661)&lt;INDEX(E661:J661,MATCH(TRUE(),E661:J661&lt;&gt;"",0)),"↑",IF(LOOKUP(2,1/(E661:J661&lt;&gt;""),E661:J661)&gt;INDEX(E661:J661,MATCH(TRUE(),E661:J661&lt;&gt;"",0)),"↓","→")))</f>
        <v>-</v>
      </c>
    </row>
    <row r="662" customFormat="false" ht="25.5" hidden="false" customHeight="true" outlineLevel="0" collapsed="false">
      <c r="A662" s="56" t="n">
        <v>661</v>
      </c>
      <c r="B662" s="56" t="n">
        <v>7</v>
      </c>
      <c r="C662" s="31" t="s">
        <v>1583</v>
      </c>
      <c r="D662" s="31" t="s">
        <v>1584</v>
      </c>
      <c r="E662" s="56"/>
      <c r="F662" s="56"/>
      <c r="G662" s="56"/>
      <c r="H662" s="56"/>
      <c r="I662" s="56"/>
      <c r="J662" s="56"/>
      <c r="K662" s="32" t="n">
        <f aca="false">IFERROR(MIN(E662:J662),"")</f>
        <v>0</v>
      </c>
      <c r="L662" s="56" t="str">
        <f aca="false">IF(COUNT(E662:J662)&lt;2,"-",IF(LOOKUP(2,1/(E662:J662&lt;&gt;""),E662:J662)&lt;INDEX(E662:J662,MATCH(TRUE(),E662:J662&lt;&gt;"",0)),"↑",IF(LOOKUP(2,1/(E662:J662&lt;&gt;""),E662:J662)&gt;INDEX(E662:J662,MATCH(TRUE(),E662:J662&lt;&gt;"",0)),"↓","→")))</f>
        <v>-</v>
      </c>
    </row>
    <row r="663" customFormat="false" ht="25.5" hidden="false" customHeight="true" outlineLevel="0" collapsed="false">
      <c r="A663" s="56" t="n">
        <v>662</v>
      </c>
      <c r="B663" s="56" t="n">
        <v>7</v>
      </c>
      <c r="C663" s="33" t="s">
        <v>1585</v>
      </c>
      <c r="D663" s="33" t="s">
        <v>1586</v>
      </c>
      <c r="E663" s="56"/>
      <c r="F663" s="56"/>
      <c r="G663" s="56"/>
      <c r="H663" s="56"/>
      <c r="I663" s="56"/>
      <c r="J663" s="56"/>
      <c r="K663" s="32" t="n">
        <f aca="false">IFERROR(MIN(E663:J663),"")</f>
        <v>0</v>
      </c>
      <c r="L663" s="56" t="str">
        <f aca="false">IF(COUNT(E663:J663)&lt;2,"-",IF(LOOKUP(2,1/(E663:J663&lt;&gt;""),E663:J663)&lt;INDEX(E663:J663,MATCH(TRUE(),E663:J663&lt;&gt;"",0)),"↑",IF(LOOKUP(2,1/(E663:J663&lt;&gt;""),E663:J663)&gt;INDEX(E663:J663,MATCH(TRUE(),E663:J663&lt;&gt;"",0)),"↓","→")))</f>
        <v>-</v>
      </c>
    </row>
    <row r="664" customFormat="false" ht="25.5" hidden="false" customHeight="true" outlineLevel="0" collapsed="false">
      <c r="A664" s="56" t="n">
        <v>663</v>
      </c>
      <c r="B664" s="56" t="n">
        <v>7</v>
      </c>
      <c r="C664" s="31" t="s">
        <v>1587</v>
      </c>
      <c r="D664" s="31" t="s">
        <v>1589</v>
      </c>
      <c r="E664" s="56"/>
      <c r="F664" s="56"/>
      <c r="G664" s="56"/>
      <c r="H664" s="56"/>
      <c r="I664" s="56"/>
      <c r="J664" s="56"/>
      <c r="K664" s="32" t="n">
        <f aca="false">IFERROR(MIN(E664:J664),"")</f>
        <v>0</v>
      </c>
      <c r="L664" s="56" t="str">
        <f aca="false">IF(COUNT(E664:J664)&lt;2,"-",IF(LOOKUP(2,1/(E664:J664&lt;&gt;""),E664:J664)&lt;INDEX(E664:J664,MATCH(TRUE(),E664:J664&lt;&gt;"",0)),"↑",IF(LOOKUP(2,1/(E664:J664&lt;&gt;""),E664:J664)&gt;INDEX(E664:J664,MATCH(TRUE(),E664:J664&lt;&gt;"",0)),"↓","→")))</f>
        <v>-</v>
      </c>
    </row>
    <row r="665" customFormat="false" ht="25.5" hidden="false" customHeight="true" outlineLevel="0" collapsed="false">
      <c r="A665" s="56" t="n">
        <v>664</v>
      </c>
      <c r="B665" s="56" t="n">
        <v>7</v>
      </c>
      <c r="C665" s="33" t="s">
        <v>1590</v>
      </c>
      <c r="D665" s="33" t="s">
        <v>1591</v>
      </c>
      <c r="E665" s="56"/>
      <c r="F665" s="56"/>
      <c r="G665" s="56"/>
      <c r="H665" s="56"/>
      <c r="I665" s="56"/>
      <c r="J665" s="56"/>
      <c r="K665" s="32" t="n">
        <f aca="false">IFERROR(MIN(E665:J665),"")</f>
        <v>0</v>
      </c>
      <c r="L665" s="56" t="str">
        <f aca="false">IF(COUNT(E665:J665)&lt;2,"-",IF(LOOKUP(2,1/(E665:J665&lt;&gt;""),E665:J665)&lt;INDEX(E665:J665,MATCH(TRUE(),E665:J665&lt;&gt;"",0)),"↑",IF(LOOKUP(2,1/(E665:J665&lt;&gt;""),E665:J665)&gt;INDEX(E665:J665,MATCH(TRUE(),E665:J665&lt;&gt;"",0)),"↓","→")))</f>
        <v>-</v>
      </c>
    </row>
    <row r="666" customFormat="false" ht="25.5" hidden="false" customHeight="true" outlineLevel="0" collapsed="false">
      <c r="A666" s="56" t="n">
        <v>665</v>
      </c>
      <c r="B666" s="56" t="n">
        <v>7</v>
      </c>
      <c r="C666" s="31" t="s">
        <v>1592</v>
      </c>
      <c r="D666" s="31" t="s">
        <v>1593</v>
      </c>
      <c r="E666" s="56"/>
      <c r="F666" s="56"/>
      <c r="G666" s="56"/>
      <c r="H666" s="56"/>
      <c r="I666" s="56"/>
      <c r="J666" s="56"/>
      <c r="K666" s="32" t="n">
        <f aca="false">IFERROR(MIN(E666:J666),"")</f>
        <v>0</v>
      </c>
      <c r="L666" s="56" t="str">
        <f aca="false">IF(COUNT(E666:J666)&lt;2,"-",IF(LOOKUP(2,1/(E666:J666&lt;&gt;""),E666:J666)&lt;INDEX(E666:J666,MATCH(TRUE(),E666:J666&lt;&gt;"",0)),"↑",IF(LOOKUP(2,1/(E666:J666&lt;&gt;""),E666:J666)&gt;INDEX(E666:J666,MATCH(TRUE(),E666:J666&lt;&gt;"",0)),"↓","→")))</f>
        <v>-</v>
      </c>
    </row>
    <row r="667" customFormat="false" ht="25.5" hidden="false" customHeight="true" outlineLevel="0" collapsed="false">
      <c r="A667" s="56" t="n">
        <v>666</v>
      </c>
      <c r="B667" s="56" t="n">
        <v>7</v>
      </c>
      <c r="C667" s="33" t="s">
        <v>1594</v>
      </c>
      <c r="D667" s="33" t="s">
        <v>1595</v>
      </c>
      <c r="E667" s="56"/>
      <c r="F667" s="56"/>
      <c r="G667" s="56"/>
      <c r="H667" s="56"/>
      <c r="I667" s="56"/>
      <c r="J667" s="56"/>
      <c r="K667" s="32" t="n">
        <f aca="false">IFERROR(MIN(E667:J667),"")</f>
        <v>0</v>
      </c>
      <c r="L667" s="56" t="str">
        <f aca="false">IF(COUNT(E667:J667)&lt;2,"-",IF(LOOKUP(2,1/(E667:J667&lt;&gt;""),E667:J667)&lt;INDEX(E667:J667,MATCH(TRUE(),E667:J667&lt;&gt;"",0)),"↑",IF(LOOKUP(2,1/(E667:J667&lt;&gt;""),E667:J667)&gt;INDEX(E667:J667,MATCH(TRUE(),E667:J667&lt;&gt;"",0)),"↓","→")))</f>
        <v>-</v>
      </c>
    </row>
    <row r="668" customFormat="false" ht="25.5" hidden="false" customHeight="true" outlineLevel="0" collapsed="false">
      <c r="A668" s="56" t="n">
        <v>667</v>
      </c>
      <c r="B668" s="56" t="n">
        <v>7</v>
      </c>
      <c r="C668" s="31" t="s">
        <v>1596</v>
      </c>
      <c r="D668" s="31" t="s">
        <v>1597</v>
      </c>
      <c r="E668" s="56"/>
      <c r="F668" s="56"/>
      <c r="G668" s="56"/>
      <c r="H668" s="56"/>
      <c r="I668" s="56"/>
      <c r="J668" s="56"/>
      <c r="K668" s="32" t="n">
        <f aca="false">IFERROR(MIN(E668:J668),"")</f>
        <v>0</v>
      </c>
      <c r="L668" s="56" t="str">
        <f aca="false">IF(COUNT(E668:J668)&lt;2,"-",IF(LOOKUP(2,1/(E668:J668&lt;&gt;""),E668:J668)&lt;INDEX(E668:J668,MATCH(TRUE(),E668:J668&lt;&gt;"",0)),"↑",IF(LOOKUP(2,1/(E668:J668&lt;&gt;""),E668:J668)&gt;INDEX(E668:J668,MATCH(TRUE(),E668:J668&lt;&gt;"",0)),"↓","→")))</f>
        <v>-</v>
      </c>
    </row>
    <row r="669" customFormat="false" ht="25.5" hidden="false" customHeight="true" outlineLevel="0" collapsed="false">
      <c r="A669" s="56" t="n">
        <v>668</v>
      </c>
      <c r="B669" s="56" t="n">
        <v>7</v>
      </c>
      <c r="C669" s="33" t="s">
        <v>1598</v>
      </c>
      <c r="D669" s="33" t="s">
        <v>1599</v>
      </c>
      <c r="E669" s="56"/>
      <c r="F669" s="56"/>
      <c r="G669" s="56"/>
      <c r="H669" s="56"/>
      <c r="I669" s="56"/>
      <c r="J669" s="56"/>
      <c r="K669" s="32" t="n">
        <f aca="false">IFERROR(MIN(E669:J669),"")</f>
        <v>0</v>
      </c>
      <c r="L669" s="56" t="str">
        <f aca="false">IF(COUNT(E669:J669)&lt;2,"-",IF(LOOKUP(2,1/(E669:J669&lt;&gt;""),E669:J669)&lt;INDEX(E669:J669,MATCH(TRUE(),E669:J669&lt;&gt;"",0)),"↑",IF(LOOKUP(2,1/(E669:J669&lt;&gt;""),E669:J669)&gt;INDEX(E669:J669,MATCH(TRUE(),E669:J669&lt;&gt;"",0)),"↓","→")))</f>
        <v>-</v>
      </c>
    </row>
    <row r="670" customFormat="false" ht="25.5" hidden="false" customHeight="true" outlineLevel="0" collapsed="false">
      <c r="A670" s="56" t="n">
        <v>669</v>
      </c>
      <c r="B670" s="56" t="n">
        <v>7</v>
      </c>
      <c r="C670" s="31" t="s">
        <v>1600</v>
      </c>
      <c r="D670" s="31" t="s">
        <v>1601</v>
      </c>
      <c r="E670" s="56"/>
      <c r="F670" s="56"/>
      <c r="G670" s="56"/>
      <c r="H670" s="56"/>
      <c r="I670" s="56"/>
      <c r="J670" s="56"/>
      <c r="K670" s="32" t="n">
        <f aca="false">IFERROR(MIN(E670:J670),"")</f>
        <v>0</v>
      </c>
      <c r="L670" s="56" t="str">
        <f aca="false">IF(COUNT(E670:J670)&lt;2,"-",IF(LOOKUP(2,1/(E670:J670&lt;&gt;""),E670:J670)&lt;INDEX(E670:J670,MATCH(TRUE(),E670:J670&lt;&gt;"",0)),"↑",IF(LOOKUP(2,1/(E670:J670&lt;&gt;""),E670:J670)&gt;INDEX(E670:J670,MATCH(TRUE(),E670:J670&lt;&gt;"",0)),"↓","→")))</f>
        <v>-</v>
      </c>
    </row>
    <row r="671" customFormat="false" ht="25.5" hidden="false" customHeight="true" outlineLevel="0" collapsed="false">
      <c r="A671" s="56" t="n">
        <v>670</v>
      </c>
      <c r="B671" s="56" t="n">
        <v>7</v>
      </c>
      <c r="C671" s="33" t="s">
        <v>1602</v>
      </c>
      <c r="D671" s="33" t="s">
        <v>1603</v>
      </c>
      <c r="E671" s="56"/>
      <c r="F671" s="56"/>
      <c r="G671" s="56"/>
      <c r="H671" s="56"/>
      <c r="I671" s="56"/>
      <c r="J671" s="56"/>
      <c r="K671" s="32" t="n">
        <f aca="false">IFERROR(MIN(E671:J671),"")</f>
        <v>0</v>
      </c>
      <c r="L671" s="56" t="str">
        <f aca="false">IF(COUNT(E671:J671)&lt;2,"-",IF(LOOKUP(2,1/(E671:J671&lt;&gt;""),E671:J671)&lt;INDEX(E671:J671,MATCH(TRUE(),E671:J671&lt;&gt;"",0)),"↑",IF(LOOKUP(2,1/(E671:J671&lt;&gt;""),E671:J671)&gt;INDEX(E671:J671,MATCH(TRUE(),E671:J671&lt;&gt;"",0)),"↓","→")))</f>
        <v>-</v>
      </c>
    </row>
    <row r="672" customFormat="false" ht="25.5" hidden="false" customHeight="true" outlineLevel="0" collapsed="false">
      <c r="A672" s="56" t="n">
        <v>671</v>
      </c>
      <c r="B672" s="56" t="n">
        <v>7</v>
      </c>
      <c r="C672" s="31" t="s">
        <v>1604</v>
      </c>
      <c r="D672" s="31" t="s">
        <v>1605</v>
      </c>
      <c r="E672" s="56"/>
      <c r="F672" s="56"/>
      <c r="G672" s="56"/>
      <c r="H672" s="56"/>
      <c r="I672" s="56"/>
      <c r="J672" s="56"/>
      <c r="K672" s="32" t="n">
        <f aca="false">IFERROR(MIN(E672:J672),"")</f>
        <v>0</v>
      </c>
      <c r="L672" s="56" t="str">
        <f aca="false">IF(COUNT(E672:J672)&lt;2,"-",IF(LOOKUP(2,1/(E672:J672&lt;&gt;""),E672:J672)&lt;INDEX(E672:J672,MATCH(TRUE(),E672:J672&lt;&gt;"",0)),"↑",IF(LOOKUP(2,1/(E672:J672&lt;&gt;""),E672:J672)&gt;INDEX(E672:J672,MATCH(TRUE(),E672:J672&lt;&gt;"",0)),"↓","→")))</f>
        <v>-</v>
      </c>
    </row>
    <row r="673" customFormat="false" ht="25.5" hidden="false" customHeight="true" outlineLevel="0" collapsed="false">
      <c r="A673" s="56" t="n">
        <v>672</v>
      </c>
      <c r="B673" s="56" t="n">
        <v>7</v>
      </c>
      <c r="C673" s="33" t="s">
        <v>1606</v>
      </c>
      <c r="D673" s="33" t="s">
        <v>1607</v>
      </c>
      <c r="E673" s="56"/>
      <c r="F673" s="56"/>
      <c r="G673" s="56"/>
      <c r="H673" s="56"/>
      <c r="I673" s="56"/>
      <c r="J673" s="56"/>
      <c r="K673" s="32" t="n">
        <f aca="false">IFERROR(MIN(E673:J673),"")</f>
        <v>0</v>
      </c>
      <c r="L673" s="56" t="str">
        <f aca="false">IF(COUNT(E673:J673)&lt;2,"-",IF(LOOKUP(2,1/(E673:J673&lt;&gt;""),E673:J673)&lt;INDEX(E673:J673,MATCH(TRUE(),E673:J673&lt;&gt;"",0)),"↑",IF(LOOKUP(2,1/(E673:J673&lt;&gt;""),E673:J673)&gt;INDEX(E673:J673,MATCH(TRUE(),E673:J673&lt;&gt;"",0)),"↓","→")))</f>
        <v>-</v>
      </c>
    </row>
    <row r="674" customFormat="false" ht="25.5" hidden="false" customHeight="true" outlineLevel="0" collapsed="false">
      <c r="A674" s="56" t="n">
        <v>673</v>
      </c>
      <c r="B674" s="56" t="n">
        <v>7</v>
      </c>
      <c r="C674" s="31" t="s">
        <v>1608</v>
      </c>
      <c r="D674" s="31" t="s">
        <v>1609</v>
      </c>
      <c r="E674" s="56"/>
      <c r="F674" s="56"/>
      <c r="G674" s="56"/>
      <c r="H674" s="56"/>
      <c r="I674" s="56"/>
      <c r="J674" s="56"/>
      <c r="K674" s="32" t="n">
        <f aca="false">IFERROR(MIN(E674:J674),"")</f>
        <v>0</v>
      </c>
      <c r="L674" s="56" t="str">
        <f aca="false">IF(COUNT(E674:J674)&lt;2,"-",IF(LOOKUP(2,1/(E674:J674&lt;&gt;""),E674:J674)&lt;INDEX(E674:J674,MATCH(TRUE(),E674:J674&lt;&gt;"",0)),"↑",IF(LOOKUP(2,1/(E674:J674&lt;&gt;""),E674:J674)&gt;INDEX(E674:J674,MATCH(TRUE(),E674:J674&lt;&gt;"",0)),"↓","→")))</f>
        <v>-</v>
      </c>
    </row>
    <row r="675" customFormat="false" ht="25.5" hidden="false" customHeight="true" outlineLevel="0" collapsed="false">
      <c r="A675" s="56" t="n">
        <v>674</v>
      </c>
      <c r="B675" s="56" t="n">
        <v>7</v>
      </c>
      <c r="C675" s="33" t="s">
        <v>1610</v>
      </c>
      <c r="D675" s="33" t="s">
        <v>1611</v>
      </c>
      <c r="E675" s="56"/>
      <c r="F675" s="56"/>
      <c r="G675" s="56"/>
      <c r="H675" s="56"/>
      <c r="I675" s="56"/>
      <c r="J675" s="56"/>
      <c r="K675" s="32" t="n">
        <f aca="false">IFERROR(MIN(E675:J675),"")</f>
        <v>0</v>
      </c>
      <c r="L675" s="56" t="str">
        <f aca="false">IF(COUNT(E675:J675)&lt;2,"-",IF(LOOKUP(2,1/(E675:J675&lt;&gt;""),E675:J675)&lt;INDEX(E675:J675,MATCH(TRUE(),E675:J675&lt;&gt;"",0)),"↑",IF(LOOKUP(2,1/(E675:J675&lt;&gt;""),E675:J675)&gt;INDEX(E675:J675,MATCH(TRUE(),E675:J675&lt;&gt;"",0)),"↓","→")))</f>
        <v>-</v>
      </c>
    </row>
    <row r="676" customFormat="false" ht="25.5" hidden="false" customHeight="true" outlineLevel="0" collapsed="false">
      <c r="A676" s="56" t="n">
        <v>675</v>
      </c>
      <c r="B676" s="56" t="n">
        <v>7</v>
      </c>
      <c r="C676" s="31" t="s">
        <v>1612</v>
      </c>
      <c r="D676" s="31" t="s">
        <v>1613</v>
      </c>
      <c r="E676" s="56"/>
      <c r="F676" s="56"/>
      <c r="G676" s="56"/>
      <c r="H676" s="56"/>
      <c r="I676" s="56"/>
      <c r="J676" s="56"/>
      <c r="K676" s="32" t="n">
        <f aca="false">IFERROR(MIN(E676:J676),"")</f>
        <v>0</v>
      </c>
      <c r="L676" s="56" t="str">
        <f aca="false">IF(COUNT(E676:J676)&lt;2,"-",IF(LOOKUP(2,1/(E676:J676&lt;&gt;""),E676:J676)&lt;INDEX(E676:J676,MATCH(TRUE(),E676:J676&lt;&gt;"",0)),"↑",IF(LOOKUP(2,1/(E676:J676&lt;&gt;""),E676:J676)&gt;INDEX(E676:J676,MATCH(TRUE(),E676:J676&lt;&gt;"",0)),"↓","→")))</f>
        <v>-</v>
      </c>
    </row>
    <row r="677" customFormat="false" ht="25.5" hidden="false" customHeight="true" outlineLevel="0" collapsed="false">
      <c r="A677" s="56" t="n">
        <v>676</v>
      </c>
      <c r="B677" s="56" t="n">
        <v>7</v>
      </c>
      <c r="C677" s="33" t="s">
        <v>1614</v>
      </c>
      <c r="D677" s="33" t="s">
        <v>1615</v>
      </c>
      <c r="E677" s="56"/>
      <c r="F677" s="56"/>
      <c r="G677" s="56"/>
      <c r="H677" s="56"/>
      <c r="I677" s="56"/>
      <c r="J677" s="56"/>
      <c r="K677" s="32" t="n">
        <f aca="false">IFERROR(MIN(E677:J677),"")</f>
        <v>0</v>
      </c>
      <c r="L677" s="56" t="str">
        <f aca="false">IF(COUNT(E677:J677)&lt;2,"-",IF(LOOKUP(2,1/(E677:J677&lt;&gt;""),E677:J677)&lt;INDEX(E677:J677,MATCH(TRUE(),E677:J677&lt;&gt;"",0)),"↑",IF(LOOKUP(2,1/(E677:J677&lt;&gt;""),E677:J677)&gt;INDEX(E677:J677,MATCH(TRUE(),E677:J677&lt;&gt;"",0)),"↓","→")))</f>
        <v>-</v>
      </c>
    </row>
    <row r="678" customFormat="false" ht="25.5" hidden="false" customHeight="true" outlineLevel="0" collapsed="false">
      <c r="A678" s="56" t="n">
        <v>677</v>
      </c>
      <c r="B678" s="56" t="n">
        <v>7</v>
      </c>
      <c r="C678" s="31" t="s">
        <v>1616</v>
      </c>
      <c r="D678" s="31" t="s">
        <v>1617</v>
      </c>
      <c r="E678" s="56"/>
      <c r="F678" s="56"/>
      <c r="G678" s="56"/>
      <c r="H678" s="56"/>
      <c r="I678" s="56"/>
      <c r="J678" s="56"/>
      <c r="K678" s="32" t="n">
        <f aca="false">IFERROR(MIN(E678:J678),"")</f>
        <v>0</v>
      </c>
      <c r="L678" s="56" t="str">
        <f aca="false">IF(COUNT(E678:J678)&lt;2,"-",IF(LOOKUP(2,1/(E678:J678&lt;&gt;""),E678:J678)&lt;INDEX(E678:J678,MATCH(TRUE(),E678:J678&lt;&gt;"",0)),"↑",IF(LOOKUP(2,1/(E678:J678&lt;&gt;""),E678:J678)&gt;INDEX(E678:J678,MATCH(TRUE(),E678:J678&lt;&gt;"",0)),"↓","→")))</f>
        <v>-</v>
      </c>
    </row>
    <row r="679" customFormat="false" ht="25.5" hidden="false" customHeight="true" outlineLevel="0" collapsed="false">
      <c r="A679" s="56" t="n">
        <v>678</v>
      </c>
      <c r="B679" s="56" t="n">
        <v>7</v>
      </c>
      <c r="C679" s="33" t="s">
        <v>1618</v>
      </c>
      <c r="D679" s="33" t="s">
        <v>1619</v>
      </c>
      <c r="E679" s="56"/>
      <c r="F679" s="56"/>
      <c r="G679" s="56"/>
      <c r="H679" s="56"/>
      <c r="I679" s="56"/>
      <c r="J679" s="56"/>
      <c r="K679" s="32" t="n">
        <f aca="false">IFERROR(MIN(E679:J679),"")</f>
        <v>0</v>
      </c>
      <c r="L679" s="56" t="str">
        <f aca="false">IF(COUNT(E679:J679)&lt;2,"-",IF(LOOKUP(2,1/(E679:J679&lt;&gt;""),E679:J679)&lt;INDEX(E679:J679,MATCH(TRUE(),E679:J679&lt;&gt;"",0)),"↑",IF(LOOKUP(2,1/(E679:J679&lt;&gt;""),E679:J679)&gt;INDEX(E679:J679,MATCH(TRUE(),E679:J679&lt;&gt;"",0)),"↓","→")))</f>
        <v>-</v>
      </c>
    </row>
    <row r="680" customFormat="false" ht="25.5" hidden="false" customHeight="true" outlineLevel="0" collapsed="false">
      <c r="A680" s="56" t="n">
        <v>679</v>
      </c>
      <c r="B680" s="56" t="n">
        <v>7</v>
      </c>
      <c r="C680" s="31" t="s">
        <v>1620</v>
      </c>
      <c r="D680" s="31" t="s">
        <v>1621</v>
      </c>
      <c r="E680" s="56"/>
      <c r="F680" s="56"/>
      <c r="G680" s="56"/>
      <c r="H680" s="56"/>
      <c r="I680" s="56"/>
      <c r="J680" s="56"/>
      <c r="K680" s="32" t="n">
        <f aca="false">IFERROR(MIN(E680:J680),"")</f>
        <v>0</v>
      </c>
      <c r="L680" s="56" t="str">
        <f aca="false">IF(COUNT(E680:J680)&lt;2,"-",IF(LOOKUP(2,1/(E680:J680&lt;&gt;""),E680:J680)&lt;INDEX(E680:J680,MATCH(TRUE(),E680:J680&lt;&gt;"",0)),"↑",IF(LOOKUP(2,1/(E680:J680&lt;&gt;""),E680:J680)&gt;INDEX(E680:J680,MATCH(TRUE(),E680:J680&lt;&gt;"",0)),"↓","→")))</f>
        <v>-</v>
      </c>
    </row>
    <row r="681" customFormat="false" ht="25.5" hidden="false" customHeight="true" outlineLevel="0" collapsed="false">
      <c r="A681" s="56" t="n">
        <v>680</v>
      </c>
      <c r="B681" s="56" t="n">
        <v>7</v>
      </c>
      <c r="C681" s="33" t="s">
        <v>1622</v>
      </c>
      <c r="D681" s="33" t="s">
        <v>1623</v>
      </c>
      <c r="E681" s="56"/>
      <c r="F681" s="56"/>
      <c r="G681" s="56"/>
      <c r="H681" s="56"/>
      <c r="I681" s="56"/>
      <c r="J681" s="56"/>
      <c r="K681" s="32" t="n">
        <f aca="false">IFERROR(MIN(E681:J681),"")</f>
        <v>0</v>
      </c>
      <c r="L681" s="56" t="str">
        <f aca="false">IF(COUNT(E681:J681)&lt;2,"-",IF(LOOKUP(2,1/(E681:J681&lt;&gt;""),E681:J681)&lt;INDEX(E681:J681,MATCH(TRUE(),E681:J681&lt;&gt;"",0)),"↑",IF(LOOKUP(2,1/(E681:J681&lt;&gt;""),E681:J681)&gt;INDEX(E681:J681,MATCH(TRUE(),E681:J681&lt;&gt;"",0)),"↓","→")))</f>
        <v>-</v>
      </c>
    </row>
    <row r="682" customFormat="false" ht="25.5" hidden="false" customHeight="true" outlineLevel="0" collapsed="false">
      <c r="A682" s="56" t="n">
        <v>681</v>
      </c>
      <c r="B682" s="56" t="n">
        <v>7</v>
      </c>
      <c r="C682" s="31" t="s">
        <v>1624</v>
      </c>
      <c r="D682" s="31" t="s">
        <v>1625</v>
      </c>
      <c r="E682" s="56"/>
      <c r="F682" s="56"/>
      <c r="G682" s="56"/>
      <c r="H682" s="56"/>
      <c r="I682" s="56"/>
      <c r="J682" s="56"/>
      <c r="K682" s="32" t="n">
        <f aca="false">IFERROR(MIN(E682:J682),"")</f>
        <v>0</v>
      </c>
      <c r="L682" s="56" t="str">
        <f aca="false">IF(COUNT(E682:J682)&lt;2,"-",IF(LOOKUP(2,1/(E682:J682&lt;&gt;""),E682:J682)&lt;INDEX(E682:J682,MATCH(TRUE(),E682:J682&lt;&gt;"",0)),"↑",IF(LOOKUP(2,1/(E682:J682&lt;&gt;""),E682:J682)&gt;INDEX(E682:J682,MATCH(TRUE(),E682:J682&lt;&gt;"",0)),"↓","→")))</f>
        <v>-</v>
      </c>
    </row>
    <row r="683" customFormat="false" ht="25.5" hidden="false" customHeight="true" outlineLevel="0" collapsed="false">
      <c r="A683" s="56" t="n">
        <v>682</v>
      </c>
      <c r="B683" s="56" t="n">
        <v>7</v>
      </c>
      <c r="C683" s="33" t="s">
        <v>1626</v>
      </c>
      <c r="D683" s="33" t="s">
        <v>1627</v>
      </c>
      <c r="E683" s="56"/>
      <c r="F683" s="56"/>
      <c r="G683" s="56"/>
      <c r="H683" s="56"/>
      <c r="I683" s="56"/>
      <c r="J683" s="56"/>
      <c r="K683" s="32" t="n">
        <f aca="false">IFERROR(MIN(E683:J683),"")</f>
        <v>0</v>
      </c>
      <c r="L683" s="56" t="str">
        <f aca="false">IF(COUNT(E683:J683)&lt;2,"-",IF(LOOKUP(2,1/(E683:J683&lt;&gt;""),E683:J683)&lt;INDEX(E683:J683,MATCH(TRUE(),E683:J683&lt;&gt;"",0)),"↑",IF(LOOKUP(2,1/(E683:J683&lt;&gt;""),E683:J683)&gt;INDEX(E683:J683,MATCH(TRUE(),E683:J683&lt;&gt;"",0)),"↓","→")))</f>
        <v>-</v>
      </c>
    </row>
    <row r="684" customFormat="false" ht="25.5" hidden="false" customHeight="true" outlineLevel="0" collapsed="false">
      <c r="A684" s="56" t="n">
        <v>683</v>
      </c>
      <c r="B684" s="56" t="n">
        <v>7</v>
      </c>
      <c r="C684" s="31" t="s">
        <v>1628</v>
      </c>
      <c r="D684" s="31" t="s">
        <v>1629</v>
      </c>
      <c r="E684" s="56"/>
      <c r="F684" s="56"/>
      <c r="G684" s="56"/>
      <c r="H684" s="56"/>
      <c r="I684" s="56"/>
      <c r="J684" s="56"/>
      <c r="K684" s="32" t="n">
        <f aca="false">IFERROR(MIN(E684:J684),"")</f>
        <v>0</v>
      </c>
      <c r="L684" s="56" t="str">
        <f aca="false">IF(COUNT(E684:J684)&lt;2,"-",IF(LOOKUP(2,1/(E684:J684&lt;&gt;""),E684:J684)&lt;INDEX(E684:J684,MATCH(TRUE(),E684:J684&lt;&gt;"",0)),"↑",IF(LOOKUP(2,1/(E684:J684&lt;&gt;""),E684:J684)&gt;INDEX(E684:J684,MATCH(TRUE(),E684:J684&lt;&gt;"",0)),"↓","→")))</f>
        <v>-</v>
      </c>
    </row>
    <row r="685" customFormat="false" ht="25.5" hidden="false" customHeight="true" outlineLevel="0" collapsed="false">
      <c r="A685" s="56" t="n">
        <v>684</v>
      </c>
      <c r="B685" s="56" t="n">
        <v>7</v>
      </c>
      <c r="C685" s="33" t="s">
        <v>1630</v>
      </c>
      <c r="D685" s="33" t="s">
        <v>1631</v>
      </c>
      <c r="E685" s="56"/>
      <c r="F685" s="56"/>
      <c r="G685" s="56"/>
      <c r="H685" s="56"/>
      <c r="I685" s="56"/>
      <c r="J685" s="56"/>
      <c r="K685" s="32" t="n">
        <f aca="false">IFERROR(MIN(E685:J685),"")</f>
        <v>0</v>
      </c>
      <c r="L685" s="56" t="str">
        <f aca="false">IF(COUNT(E685:J685)&lt;2,"-",IF(LOOKUP(2,1/(E685:J685&lt;&gt;""),E685:J685)&lt;INDEX(E685:J685,MATCH(TRUE(),E685:J685&lt;&gt;"",0)),"↑",IF(LOOKUP(2,1/(E685:J685&lt;&gt;""),E685:J685)&gt;INDEX(E685:J685,MATCH(TRUE(),E685:J685&lt;&gt;"",0)),"↓","→")))</f>
        <v>-</v>
      </c>
    </row>
    <row r="686" customFormat="false" ht="25.5" hidden="false" customHeight="true" outlineLevel="0" collapsed="false">
      <c r="A686" s="56" t="n">
        <v>685</v>
      </c>
      <c r="B686" s="56" t="n">
        <v>7</v>
      </c>
      <c r="C686" s="31" t="s">
        <v>1632</v>
      </c>
      <c r="D686" s="31" t="s">
        <v>1633</v>
      </c>
      <c r="E686" s="56"/>
      <c r="F686" s="56"/>
      <c r="G686" s="56"/>
      <c r="H686" s="56"/>
      <c r="I686" s="56"/>
      <c r="J686" s="56"/>
      <c r="K686" s="32" t="n">
        <f aca="false">IFERROR(MIN(E686:J686),"")</f>
        <v>0</v>
      </c>
      <c r="L686" s="56" t="str">
        <f aca="false">IF(COUNT(E686:J686)&lt;2,"-",IF(LOOKUP(2,1/(E686:J686&lt;&gt;""),E686:J686)&lt;INDEX(E686:J686,MATCH(TRUE(),E686:J686&lt;&gt;"",0)),"↑",IF(LOOKUP(2,1/(E686:J686&lt;&gt;""),E686:J686)&gt;INDEX(E686:J686,MATCH(TRUE(),E686:J686&lt;&gt;"",0)),"↓","→")))</f>
        <v>-</v>
      </c>
    </row>
    <row r="687" customFormat="false" ht="25.5" hidden="false" customHeight="true" outlineLevel="0" collapsed="false">
      <c r="A687" s="56" t="n">
        <v>686</v>
      </c>
      <c r="B687" s="56" t="n">
        <v>7</v>
      </c>
      <c r="C687" s="33" t="s">
        <v>1634</v>
      </c>
      <c r="D687" s="33" t="s">
        <v>1635</v>
      </c>
      <c r="E687" s="56"/>
      <c r="F687" s="56"/>
      <c r="G687" s="56"/>
      <c r="H687" s="56"/>
      <c r="I687" s="56"/>
      <c r="J687" s="56"/>
      <c r="K687" s="32" t="n">
        <f aca="false">IFERROR(MIN(E687:J687),"")</f>
        <v>0</v>
      </c>
      <c r="L687" s="56" t="str">
        <f aca="false">IF(COUNT(E687:J687)&lt;2,"-",IF(LOOKUP(2,1/(E687:J687&lt;&gt;""),E687:J687)&lt;INDEX(E687:J687,MATCH(TRUE(),E687:J687&lt;&gt;"",0)),"↑",IF(LOOKUP(2,1/(E687:J687&lt;&gt;""),E687:J687)&gt;INDEX(E687:J687,MATCH(TRUE(),E687:J687&lt;&gt;"",0)),"↓","→")))</f>
        <v>-</v>
      </c>
    </row>
    <row r="688" customFormat="false" ht="25.5" hidden="false" customHeight="true" outlineLevel="0" collapsed="false">
      <c r="A688" s="56" t="n">
        <v>687</v>
      </c>
      <c r="B688" s="56" t="n">
        <v>7</v>
      </c>
      <c r="C688" s="31" t="s">
        <v>1636</v>
      </c>
      <c r="D688" s="31" t="s">
        <v>1637</v>
      </c>
      <c r="E688" s="56"/>
      <c r="F688" s="56"/>
      <c r="G688" s="56"/>
      <c r="H688" s="56"/>
      <c r="I688" s="56"/>
      <c r="J688" s="56"/>
      <c r="K688" s="32" t="n">
        <f aca="false">IFERROR(MIN(E688:J688),"")</f>
        <v>0</v>
      </c>
      <c r="L688" s="56" t="str">
        <f aca="false">IF(COUNT(E688:J688)&lt;2,"-",IF(LOOKUP(2,1/(E688:J688&lt;&gt;""),E688:J688)&lt;INDEX(E688:J688,MATCH(TRUE(),E688:J688&lt;&gt;"",0)),"↑",IF(LOOKUP(2,1/(E688:J688&lt;&gt;""),E688:J688)&gt;INDEX(E688:J688,MATCH(TRUE(),E688:J688&lt;&gt;"",0)),"↓","→")))</f>
        <v>-</v>
      </c>
    </row>
    <row r="689" customFormat="false" ht="25.5" hidden="false" customHeight="true" outlineLevel="0" collapsed="false">
      <c r="A689" s="56" t="n">
        <v>688</v>
      </c>
      <c r="B689" s="56" t="n">
        <v>7</v>
      </c>
      <c r="C689" s="33" t="s">
        <v>1638</v>
      </c>
      <c r="D689" s="33" t="s">
        <v>1639</v>
      </c>
      <c r="E689" s="56"/>
      <c r="F689" s="56"/>
      <c r="G689" s="56"/>
      <c r="H689" s="56"/>
      <c r="I689" s="56"/>
      <c r="J689" s="56"/>
      <c r="K689" s="32" t="n">
        <f aca="false">IFERROR(MIN(E689:J689),"")</f>
        <v>0</v>
      </c>
      <c r="L689" s="56" t="str">
        <f aca="false">IF(COUNT(E689:J689)&lt;2,"-",IF(LOOKUP(2,1/(E689:J689&lt;&gt;""),E689:J689)&lt;INDEX(E689:J689,MATCH(TRUE(),E689:J689&lt;&gt;"",0)),"↑",IF(LOOKUP(2,1/(E689:J689&lt;&gt;""),E689:J689)&gt;INDEX(E689:J689,MATCH(TRUE(),E689:J689&lt;&gt;"",0)),"↓","→")))</f>
        <v>-</v>
      </c>
    </row>
    <row r="690" customFormat="false" ht="25.5" hidden="false" customHeight="true" outlineLevel="0" collapsed="false">
      <c r="A690" s="56" t="n">
        <v>689</v>
      </c>
      <c r="B690" s="56" t="n">
        <v>7</v>
      </c>
      <c r="C690" s="31" t="s">
        <v>1640</v>
      </c>
      <c r="D690" s="31" t="s">
        <v>1641</v>
      </c>
      <c r="E690" s="56"/>
      <c r="F690" s="56"/>
      <c r="G690" s="56"/>
      <c r="H690" s="56"/>
      <c r="I690" s="56"/>
      <c r="J690" s="56"/>
      <c r="K690" s="32" t="n">
        <f aca="false">IFERROR(MIN(E690:J690),"")</f>
        <v>0</v>
      </c>
      <c r="L690" s="56" t="str">
        <f aca="false">IF(COUNT(E690:J690)&lt;2,"-",IF(LOOKUP(2,1/(E690:J690&lt;&gt;""),E690:J690)&lt;INDEX(E690:J690,MATCH(TRUE(),E690:J690&lt;&gt;"",0)),"↑",IF(LOOKUP(2,1/(E690:J690&lt;&gt;""),E690:J690)&gt;INDEX(E690:J690,MATCH(TRUE(),E690:J690&lt;&gt;"",0)),"↓","→")))</f>
        <v>-</v>
      </c>
    </row>
    <row r="691" customFormat="false" ht="25.5" hidden="false" customHeight="true" outlineLevel="0" collapsed="false">
      <c r="A691" s="56" t="n">
        <v>690</v>
      </c>
      <c r="B691" s="56" t="n">
        <v>7</v>
      </c>
      <c r="C691" s="33" t="s">
        <v>1642</v>
      </c>
      <c r="D691" s="33" t="s">
        <v>1643</v>
      </c>
      <c r="E691" s="56"/>
      <c r="F691" s="56"/>
      <c r="G691" s="56"/>
      <c r="H691" s="56"/>
      <c r="I691" s="56"/>
      <c r="J691" s="56"/>
      <c r="K691" s="32" t="n">
        <f aca="false">IFERROR(MIN(E691:J691),"")</f>
        <v>0</v>
      </c>
      <c r="L691" s="56" t="str">
        <f aca="false">IF(COUNT(E691:J691)&lt;2,"-",IF(LOOKUP(2,1/(E691:J691&lt;&gt;""),E691:J691)&lt;INDEX(E691:J691,MATCH(TRUE(),E691:J691&lt;&gt;"",0)),"↑",IF(LOOKUP(2,1/(E691:J691&lt;&gt;""),E691:J691)&gt;INDEX(E691:J691,MATCH(TRUE(),E691:J691&lt;&gt;"",0)),"↓","→")))</f>
        <v>-</v>
      </c>
    </row>
    <row r="692" customFormat="false" ht="25.5" hidden="false" customHeight="true" outlineLevel="0" collapsed="false">
      <c r="A692" s="56" t="n">
        <v>691</v>
      </c>
      <c r="B692" s="56" t="n">
        <v>7</v>
      </c>
      <c r="C692" s="31" t="s">
        <v>1644</v>
      </c>
      <c r="D692" s="31" t="s">
        <v>1645</v>
      </c>
      <c r="E692" s="56"/>
      <c r="F692" s="56"/>
      <c r="G692" s="56"/>
      <c r="H692" s="56"/>
      <c r="I692" s="56"/>
      <c r="J692" s="56"/>
      <c r="K692" s="32" t="n">
        <f aca="false">IFERROR(MIN(E692:J692),"")</f>
        <v>0</v>
      </c>
      <c r="L692" s="56" t="str">
        <f aca="false">IF(COUNT(E692:J692)&lt;2,"-",IF(LOOKUP(2,1/(E692:J692&lt;&gt;""),E692:J692)&lt;INDEX(E692:J692,MATCH(TRUE(),E692:J692&lt;&gt;"",0)),"↑",IF(LOOKUP(2,1/(E692:J692&lt;&gt;""),E692:J692)&gt;INDEX(E692:J692,MATCH(TRUE(),E692:J692&lt;&gt;"",0)),"↓","→")))</f>
        <v>-</v>
      </c>
    </row>
    <row r="693" customFormat="false" ht="25.5" hidden="false" customHeight="true" outlineLevel="0" collapsed="false">
      <c r="A693" s="56" t="n">
        <v>692</v>
      </c>
      <c r="B693" s="56" t="n">
        <v>7</v>
      </c>
      <c r="C693" s="33" t="s">
        <v>1646</v>
      </c>
      <c r="D693" s="33" t="s">
        <v>1647</v>
      </c>
      <c r="E693" s="56"/>
      <c r="F693" s="56"/>
      <c r="G693" s="56"/>
      <c r="H693" s="56"/>
      <c r="I693" s="56"/>
      <c r="J693" s="56"/>
      <c r="K693" s="32" t="n">
        <f aca="false">IFERROR(MIN(E693:J693),"")</f>
        <v>0</v>
      </c>
      <c r="L693" s="56" t="str">
        <f aca="false">IF(COUNT(E693:J693)&lt;2,"-",IF(LOOKUP(2,1/(E693:J693&lt;&gt;""),E693:J693)&lt;INDEX(E693:J693,MATCH(TRUE(),E693:J693&lt;&gt;"",0)),"↑",IF(LOOKUP(2,1/(E693:J693&lt;&gt;""),E693:J693)&gt;INDEX(E693:J693,MATCH(TRUE(),E693:J693&lt;&gt;"",0)),"↓","→")))</f>
        <v>-</v>
      </c>
    </row>
    <row r="694" customFormat="false" ht="25.5" hidden="false" customHeight="true" outlineLevel="0" collapsed="false">
      <c r="A694" s="56" t="n">
        <v>693</v>
      </c>
      <c r="B694" s="56" t="n">
        <v>7</v>
      </c>
      <c r="C694" s="31" t="s">
        <v>1648</v>
      </c>
      <c r="D694" s="31" t="s">
        <v>1649</v>
      </c>
      <c r="E694" s="56"/>
      <c r="F694" s="56"/>
      <c r="G694" s="56"/>
      <c r="H694" s="56"/>
      <c r="I694" s="56"/>
      <c r="J694" s="56"/>
      <c r="K694" s="32" t="n">
        <f aca="false">IFERROR(MIN(E694:J694),"")</f>
        <v>0</v>
      </c>
      <c r="L694" s="56" t="str">
        <f aca="false">IF(COUNT(E694:J694)&lt;2,"-",IF(LOOKUP(2,1/(E694:J694&lt;&gt;""),E694:J694)&lt;INDEX(E694:J694,MATCH(TRUE(),E694:J694&lt;&gt;"",0)),"↑",IF(LOOKUP(2,1/(E694:J694&lt;&gt;""),E694:J694)&gt;INDEX(E694:J694,MATCH(TRUE(),E694:J694&lt;&gt;"",0)),"↓","→")))</f>
        <v>-</v>
      </c>
    </row>
    <row r="695" customFormat="false" ht="25.5" hidden="false" customHeight="true" outlineLevel="0" collapsed="false">
      <c r="A695" s="56" t="n">
        <v>694</v>
      </c>
      <c r="B695" s="56" t="n">
        <v>7</v>
      </c>
      <c r="C695" s="33" t="s">
        <v>1650</v>
      </c>
      <c r="D695" s="33" t="s">
        <v>1651</v>
      </c>
      <c r="E695" s="56"/>
      <c r="F695" s="56"/>
      <c r="G695" s="56"/>
      <c r="H695" s="56"/>
      <c r="I695" s="56"/>
      <c r="J695" s="56"/>
      <c r="K695" s="32" t="n">
        <f aca="false">IFERROR(MIN(E695:J695),"")</f>
        <v>0</v>
      </c>
      <c r="L695" s="56" t="str">
        <f aca="false">IF(COUNT(E695:J695)&lt;2,"-",IF(LOOKUP(2,1/(E695:J695&lt;&gt;""),E695:J695)&lt;INDEX(E695:J695,MATCH(TRUE(),E695:J695&lt;&gt;"",0)),"↑",IF(LOOKUP(2,1/(E695:J695&lt;&gt;""),E695:J695)&gt;INDEX(E695:J695,MATCH(TRUE(),E695:J695&lt;&gt;"",0)),"↓","→")))</f>
        <v>-</v>
      </c>
    </row>
    <row r="696" customFormat="false" ht="25.5" hidden="false" customHeight="true" outlineLevel="0" collapsed="false">
      <c r="A696" s="56" t="n">
        <v>695</v>
      </c>
      <c r="B696" s="56" t="n">
        <v>7</v>
      </c>
      <c r="C696" s="31" t="s">
        <v>1652</v>
      </c>
      <c r="D696" s="31" t="s">
        <v>1653</v>
      </c>
      <c r="E696" s="56"/>
      <c r="F696" s="56"/>
      <c r="G696" s="56"/>
      <c r="H696" s="56"/>
      <c r="I696" s="56"/>
      <c r="J696" s="56"/>
      <c r="K696" s="32" t="n">
        <f aca="false">IFERROR(MIN(E696:J696),"")</f>
        <v>0</v>
      </c>
      <c r="L696" s="56" t="str">
        <f aca="false">IF(COUNT(E696:J696)&lt;2,"-",IF(LOOKUP(2,1/(E696:J696&lt;&gt;""),E696:J696)&lt;INDEX(E696:J696,MATCH(TRUE(),E696:J696&lt;&gt;"",0)),"↑",IF(LOOKUP(2,1/(E696:J696&lt;&gt;""),E696:J696)&gt;INDEX(E696:J696,MATCH(TRUE(),E696:J696&lt;&gt;"",0)),"↓","→")))</f>
        <v>-</v>
      </c>
    </row>
    <row r="697" customFormat="false" ht="25.5" hidden="false" customHeight="true" outlineLevel="0" collapsed="false">
      <c r="A697" s="56" t="n">
        <v>696</v>
      </c>
      <c r="B697" s="56" t="n">
        <v>7</v>
      </c>
      <c r="C697" s="33" t="s">
        <v>1654</v>
      </c>
      <c r="D697" s="33" t="s">
        <v>1655</v>
      </c>
      <c r="E697" s="56"/>
      <c r="F697" s="56"/>
      <c r="G697" s="56"/>
      <c r="H697" s="56"/>
      <c r="I697" s="56"/>
      <c r="J697" s="56"/>
      <c r="K697" s="32" t="n">
        <f aca="false">IFERROR(MIN(E697:J697),"")</f>
        <v>0</v>
      </c>
      <c r="L697" s="56" t="str">
        <f aca="false">IF(COUNT(E697:J697)&lt;2,"-",IF(LOOKUP(2,1/(E697:J697&lt;&gt;""),E697:J697)&lt;INDEX(E697:J697,MATCH(TRUE(),E697:J697&lt;&gt;"",0)),"↑",IF(LOOKUP(2,1/(E697:J697&lt;&gt;""),E697:J697)&gt;INDEX(E697:J697,MATCH(TRUE(),E697:J697&lt;&gt;"",0)),"↓","→")))</f>
        <v>-</v>
      </c>
    </row>
    <row r="698" customFormat="false" ht="25.5" hidden="false" customHeight="true" outlineLevel="0" collapsed="false">
      <c r="A698" s="56" t="n">
        <v>697</v>
      </c>
      <c r="B698" s="56" t="n">
        <v>7</v>
      </c>
      <c r="C698" s="31" t="s">
        <v>1656</v>
      </c>
      <c r="D698" s="31" t="s">
        <v>1657</v>
      </c>
      <c r="E698" s="56"/>
      <c r="F698" s="56"/>
      <c r="G698" s="56"/>
      <c r="H698" s="56"/>
      <c r="I698" s="56"/>
      <c r="J698" s="56"/>
      <c r="K698" s="32" t="n">
        <f aca="false">IFERROR(MIN(E698:J698),"")</f>
        <v>0</v>
      </c>
      <c r="L698" s="56" t="str">
        <f aca="false">IF(COUNT(E698:J698)&lt;2,"-",IF(LOOKUP(2,1/(E698:J698&lt;&gt;""),E698:J698)&lt;INDEX(E698:J698,MATCH(TRUE(),E698:J698&lt;&gt;"",0)),"↑",IF(LOOKUP(2,1/(E698:J698&lt;&gt;""),E698:J698)&gt;INDEX(E698:J698,MATCH(TRUE(),E698:J698&lt;&gt;"",0)),"↓","→")))</f>
        <v>-</v>
      </c>
    </row>
    <row r="699" customFormat="false" ht="25.5" hidden="false" customHeight="true" outlineLevel="0" collapsed="false">
      <c r="A699" s="56" t="n">
        <v>698</v>
      </c>
      <c r="B699" s="56" t="n">
        <v>7</v>
      </c>
      <c r="C699" s="33" t="s">
        <v>1658</v>
      </c>
      <c r="D699" s="33" t="s">
        <v>1659</v>
      </c>
      <c r="E699" s="56"/>
      <c r="F699" s="56"/>
      <c r="G699" s="56"/>
      <c r="H699" s="56"/>
      <c r="I699" s="56"/>
      <c r="J699" s="56"/>
      <c r="K699" s="32" t="n">
        <f aca="false">IFERROR(MIN(E699:J699),"")</f>
        <v>0</v>
      </c>
      <c r="L699" s="56" t="str">
        <f aca="false">IF(COUNT(E699:J699)&lt;2,"-",IF(LOOKUP(2,1/(E699:J699&lt;&gt;""),E699:J699)&lt;INDEX(E699:J699,MATCH(TRUE(),E699:J699&lt;&gt;"",0)),"↑",IF(LOOKUP(2,1/(E699:J699&lt;&gt;""),E699:J699)&gt;INDEX(E699:J699,MATCH(TRUE(),E699:J699&lt;&gt;"",0)),"↓","→")))</f>
        <v>-</v>
      </c>
    </row>
    <row r="700" customFormat="false" ht="25.5" hidden="false" customHeight="true" outlineLevel="0" collapsed="false">
      <c r="A700" s="56" t="n">
        <v>699</v>
      </c>
      <c r="B700" s="56" t="n">
        <v>7</v>
      </c>
      <c r="C700" s="31" t="s">
        <v>1660</v>
      </c>
      <c r="D700" s="31" t="s">
        <v>1661</v>
      </c>
      <c r="E700" s="56"/>
      <c r="F700" s="56"/>
      <c r="G700" s="56"/>
      <c r="H700" s="56"/>
      <c r="I700" s="56"/>
      <c r="J700" s="56"/>
      <c r="K700" s="32" t="n">
        <f aca="false">IFERROR(MIN(E700:J700),"")</f>
        <v>0</v>
      </c>
      <c r="L700" s="56" t="str">
        <f aca="false">IF(COUNT(E700:J700)&lt;2,"-",IF(LOOKUP(2,1/(E700:J700&lt;&gt;""),E700:J700)&lt;INDEX(E700:J700,MATCH(TRUE(),E700:J700&lt;&gt;"",0)),"↑",IF(LOOKUP(2,1/(E700:J700&lt;&gt;""),E700:J700)&gt;INDEX(E700:J700,MATCH(TRUE(),E700:J700&lt;&gt;"",0)),"↓","→")))</f>
        <v>-</v>
      </c>
    </row>
    <row r="701" customFormat="false" ht="25.5" hidden="false" customHeight="true" outlineLevel="0" collapsed="false">
      <c r="A701" s="56" t="n">
        <v>700</v>
      </c>
      <c r="B701" s="56" t="n">
        <v>7</v>
      </c>
      <c r="C701" s="33" t="s">
        <v>1662</v>
      </c>
      <c r="D701" s="33" t="s">
        <v>1663</v>
      </c>
      <c r="E701" s="56"/>
      <c r="F701" s="56"/>
      <c r="G701" s="56"/>
      <c r="H701" s="56"/>
      <c r="I701" s="56"/>
      <c r="J701" s="56"/>
      <c r="K701" s="32" t="n">
        <f aca="false">IFERROR(MIN(E701:J701),"")</f>
        <v>0</v>
      </c>
      <c r="L701" s="56" t="str">
        <f aca="false">IF(COUNT(E701:J701)&lt;2,"-",IF(LOOKUP(2,1/(E701:J701&lt;&gt;""),E701:J701)&lt;INDEX(E701:J701,MATCH(TRUE(),E701:J701&lt;&gt;"",0)),"↑",IF(LOOKUP(2,1/(E701:J701&lt;&gt;""),E701:J701)&gt;INDEX(E701:J701,MATCH(TRUE(),E701:J701&lt;&gt;"",0)),"↓","→")))</f>
        <v>-</v>
      </c>
    </row>
    <row r="702" customFormat="false" ht="25.5" hidden="false" customHeight="true" outlineLevel="0" collapsed="false">
      <c r="A702" s="56" t="n">
        <v>701</v>
      </c>
      <c r="B702" s="56" t="n">
        <v>7</v>
      </c>
      <c r="C702" s="31" t="s">
        <v>1664</v>
      </c>
      <c r="D702" s="31" t="s">
        <v>1665</v>
      </c>
      <c r="E702" s="56"/>
      <c r="F702" s="56"/>
      <c r="G702" s="56"/>
      <c r="H702" s="56"/>
      <c r="I702" s="56"/>
      <c r="J702" s="56"/>
      <c r="K702" s="32" t="n">
        <f aca="false">IFERROR(MIN(E702:J702),"")</f>
        <v>0</v>
      </c>
      <c r="L702" s="56" t="str">
        <f aca="false">IF(COUNT(E702:J702)&lt;2,"-",IF(LOOKUP(2,1/(E702:J702&lt;&gt;""),E702:J702)&lt;INDEX(E702:J702,MATCH(TRUE(),E702:J702&lt;&gt;"",0)),"↑",IF(LOOKUP(2,1/(E702:J702&lt;&gt;""),E702:J702)&gt;INDEX(E702:J702,MATCH(TRUE(),E702:J702&lt;&gt;"",0)),"↓","→")))</f>
        <v>-</v>
      </c>
    </row>
    <row r="703" customFormat="false" ht="25.5" hidden="false" customHeight="true" outlineLevel="0" collapsed="false">
      <c r="A703" s="56" t="n">
        <v>702</v>
      </c>
      <c r="B703" s="56" t="n">
        <v>7</v>
      </c>
      <c r="C703" s="33" t="s">
        <v>1666</v>
      </c>
      <c r="D703" s="33" t="s">
        <v>1667</v>
      </c>
      <c r="E703" s="56"/>
      <c r="F703" s="56"/>
      <c r="G703" s="56"/>
      <c r="H703" s="56"/>
      <c r="I703" s="56"/>
      <c r="J703" s="56"/>
      <c r="K703" s="32" t="n">
        <f aca="false">IFERROR(MIN(E703:J703),"")</f>
        <v>0</v>
      </c>
      <c r="L703" s="56" t="str">
        <f aca="false">IF(COUNT(E703:J703)&lt;2,"-",IF(LOOKUP(2,1/(E703:J703&lt;&gt;""),E703:J703)&lt;INDEX(E703:J703,MATCH(TRUE(),E703:J703&lt;&gt;"",0)),"↑",IF(LOOKUP(2,1/(E703:J703&lt;&gt;""),E703:J703)&gt;INDEX(E703:J703,MATCH(TRUE(),E703:J703&lt;&gt;"",0)),"↓","→")))</f>
        <v>-</v>
      </c>
    </row>
    <row r="704" customFormat="false" ht="25.5" hidden="false" customHeight="true" outlineLevel="0" collapsed="false">
      <c r="A704" s="56" t="n">
        <v>703</v>
      </c>
      <c r="B704" s="56" t="n">
        <v>7</v>
      </c>
      <c r="C704" s="31" t="s">
        <v>1668</v>
      </c>
      <c r="D704" s="31" t="s">
        <v>1669</v>
      </c>
      <c r="E704" s="56"/>
      <c r="F704" s="56"/>
      <c r="G704" s="56"/>
      <c r="H704" s="56"/>
      <c r="I704" s="56"/>
      <c r="J704" s="56"/>
      <c r="K704" s="32" t="n">
        <f aca="false">IFERROR(MIN(E704:J704),"")</f>
        <v>0</v>
      </c>
      <c r="L704" s="56" t="str">
        <f aca="false">IF(COUNT(E704:J704)&lt;2,"-",IF(LOOKUP(2,1/(E704:J704&lt;&gt;""),E704:J704)&lt;INDEX(E704:J704,MATCH(TRUE(),E704:J704&lt;&gt;"",0)),"↑",IF(LOOKUP(2,1/(E704:J704&lt;&gt;""),E704:J704)&gt;INDEX(E704:J704,MATCH(TRUE(),E704:J704&lt;&gt;"",0)),"↓","→")))</f>
        <v>-</v>
      </c>
    </row>
    <row r="705" customFormat="false" ht="25.5" hidden="false" customHeight="true" outlineLevel="0" collapsed="false">
      <c r="A705" s="56" t="n">
        <v>704</v>
      </c>
      <c r="B705" s="56" t="n">
        <v>7</v>
      </c>
      <c r="C705" s="33" t="s">
        <v>1670</v>
      </c>
      <c r="D705" s="33" t="s">
        <v>1671</v>
      </c>
      <c r="E705" s="56"/>
      <c r="F705" s="56"/>
      <c r="G705" s="56"/>
      <c r="H705" s="56"/>
      <c r="I705" s="56"/>
      <c r="J705" s="56"/>
      <c r="K705" s="32" t="n">
        <f aca="false">IFERROR(MIN(E705:J705),"")</f>
        <v>0</v>
      </c>
      <c r="L705" s="56" t="str">
        <f aca="false">IF(COUNT(E705:J705)&lt;2,"-",IF(LOOKUP(2,1/(E705:J705&lt;&gt;""),E705:J705)&lt;INDEX(E705:J705,MATCH(TRUE(),E705:J705&lt;&gt;"",0)),"↑",IF(LOOKUP(2,1/(E705:J705&lt;&gt;""),E705:J705)&gt;INDEX(E705:J705,MATCH(TRUE(),E705:J705&lt;&gt;"",0)),"↓","→")))</f>
        <v>-</v>
      </c>
    </row>
    <row r="706" customFormat="false" ht="25.5" hidden="false" customHeight="true" outlineLevel="0" collapsed="false">
      <c r="A706" s="56" t="n">
        <v>705</v>
      </c>
      <c r="B706" s="56" t="n">
        <v>7</v>
      </c>
      <c r="C706" s="31" t="s">
        <v>1672</v>
      </c>
      <c r="D706" s="31" t="s">
        <v>1673</v>
      </c>
      <c r="E706" s="56"/>
      <c r="F706" s="56"/>
      <c r="G706" s="56"/>
      <c r="H706" s="56"/>
      <c r="I706" s="56"/>
      <c r="J706" s="56"/>
      <c r="K706" s="32" t="n">
        <f aca="false">IFERROR(MIN(E706:J706),"")</f>
        <v>0</v>
      </c>
      <c r="L706" s="56" t="str">
        <f aca="false">IF(COUNT(E706:J706)&lt;2,"-",IF(LOOKUP(2,1/(E706:J706&lt;&gt;""),E706:J706)&lt;INDEX(E706:J706,MATCH(TRUE(),E706:J706&lt;&gt;"",0)),"↑",IF(LOOKUP(2,1/(E706:J706&lt;&gt;""),E706:J706)&gt;INDEX(E706:J706,MATCH(TRUE(),E706:J706&lt;&gt;"",0)),"↓","→")))</f>
        <v>-</v>
      </c>
    </row>
    <row r="707" customFormat="false" ht="25.5" hidden="false" customHeight="true" outlineLevel="0" collapsed="false">
      <c r="A707" s="56" t="n">
        <v>706</v>
      </c>
      <c r="B707" s="56" t="n">
        <v>7</v>
      </c>
      <c r="C707" s="33" t="s">
        <v>1674</v>
      </c>
      <c r="D707" s="33" t="s">
        <v>1675</v>
      </c>
      <c r="E707" s="56"/>
      <c r="F707" s="56"/>
      <c r="G707" s="56"/>
      <c r="H707" s="56"/>
      <c r="I707" s="56"/>
      <c r="J707" s="56"/>
      <c r="K707" s="32" t="n">
        <f aca="false">IFERROR(MIN(E707:J707),"")</f>
        <v>0</v>
      </c>
      <c r="L707" s="56" t="str">
        <f aca="false">IF(COUNT(E707:J707)&lt;2,"-",IF(LOOKUP(2,1/(E707:J707&lt;&gt;""),E707:J707)&lt;INDEX(E707:J707,MATCH(TRUE(),E707:J707&lt;&gt;"",0)),"↑",IF(LOOKUP(2,1/(E707:J707&lt;&gt;""),E707:J707)&gt;INDEX(E707:J707,MATCH(TRUE(),E707:J707&lt;&gt;"",0)),"↓","→")))</f>
        <v>-</v>
      </c>
    </row>
    <row r="708" customFormat="false" ht="25.5" hidden="false" customHeight="true" outlineLevel="0" collapsed="false">
      <c r="A708" s="57" t="n">
        <v>707</v>
      </c>
      <c r="B708" s="57" t="n">
        <v>8</v>
      </c>
      <c r="C708" s="35" t="s">
        <v>1676</v>
      </c>
      <c r="D708" s="35" t="s">
        <v>1679</v>
      </c>
      <c r="E708" s="57"/>
      <c r="F708" s="57"/>
      <c r="G708" s="57"/>
      <c r="H708" s="57"/>
      <c r="I708" s="57"/>
      <c r="J708" s="57"/>
      <c r="K708" s="36" t="n">
        <f aca="false">IFERROR(MIN(E708:J708),"")</f>
        <v>0</v>
      </c>
      <c r="L708" s="57" t="str">
        <f aca="false">IF(COUNT(E708:J708)&lt;2,"-",IF(LOOKUP(2,1/(E708:J708&lt;&gt;""),E708:J708)&lt;INDEX(E708:J708,MATCH(TRUE(),E708:J708&lt;&gt;"",0)),"↑",IF(LOOKUP(2,1/(E708:J708&lt;&gt;""),E708:J708)&gt;INDEX(E708:J708,MATCH(TRUE(),E708:J708&lt;&gt;"",0)),"↓","→")))</f>
        <v>-</v>
      </c>
    </row>
    <row r="709" customFormat="false" ht="25.5" hidden="false" customHeight="true" outlineLevel="0" collapsed="false">
      <c r="A709" s="57" t="n">
        <v>708</v>
      </c>
      <c r="B709" s="57" t="n">
        <v>8</v>
      </c>
      <c r="C709" s="37" t="s">
        <v>1680</v>
      </c>
      <c r="D709" s="37" t="s">
        <v>1681</v>
      </c>
      <c r="E709" s="57"/>
      <c r="F709" s="57"/>
      <c r="G709" s="57"/>
      <c r="H709" s="57"/>
      <c r="I709" s="57"/>
      <c r="J709" s="57"/>
      <c r="K709" s="36" t="n">
        <f aca="false">IFERROR(MIN(E709:J709),"")</f>
        <v>0</v>
      </c>
      <c r="L709" s="57" t="str">
        <f aca="false">IF(COUNT(E709:J709)&lt;2,"-",IF(LOOKUP(2,1/(E709:J709&lt;&gt;""),E709:J709)&lt;INDEX(E709:J709,MATCH(TRUE(),E709:J709&lt;&gt;"",0)),"↑",IF(LOOKUP(2,1/(E709:J709&lt;&gt;""),E709:J709)&gt;INDEX(E709:J709,MATCH(TRUE(),E709:J709&lt;&gt;"",0)),"↓","→")))</f>
        <v>-</v>
      </c>
    </row>
    <row r="710" customFormat="false" ht="25.5" hidden="false" customHeight="true" outlineLevel="0" collapsed="false">
      <c r="A710" s="57" t="n">
        <v>709</v>
      </c>
      <c r="B710" s="57" t="n">
        <v>8</v>
      </c>
      <c r="C710" s="35" t="s">
        <v>1682</v>
      </c>
      <c r="D710" s="35" t="s">
        <v>1683</v>
      </c>
      <c r="E710" s="57"/>
      <c r="F710" s="57"/>
      <c r="G710" s="57"/>
      <c r="H710" s="57"/>
      <c r="I710" s="57"/>
      <c r="J710" s="57"/>
      <c r="K710" s="36" t="n">
        <f aca="false">IFERROR(MIN(E710:J710),"")</f>
        <v>0</v>
      </c>
      <c r="L710" s="57" t="str">
        <f aca="false">IF(COUNT(E710:J710)&lt;2,"-",IF(LOOKUP(2,1/(E710:J710&lt;&gt;""),E710:J710)&lt;INDEX(E710:J710,MATCH(TRUE(),E710:J710&lt;&gt;"",0)),"↑",IF(LOOKUP(2,1/(E710:J710&lt;&gt;""),E710:J710)&gt;INDEX(E710:J710,MATCH(TRUE(),E710:J710&lt;&gt;"",0)),"↓","→")))</f>
        <v>-</v>
      </c>
    </row>
    <row r="711" customFormat="false" ht="25.5" hidden="false" customHeight="true" outlineLevel="0" collapsed="false">
      <c r="A711" s="57" t="n">
        <v>710</v>
      </c>
      <c r="B711" s="57" t="n">
        <v>8</v>
      </c>
      <c r="C711" s="37" t="s">
        <v>1684</v>
      </c>
      <c r="D711" s="37" t="s">
        <v>1685</v>
      </c>
      <c r="E711" s="57"/>
      <c r="F711" s="57"/>
      <c r="G711" s="57"/>
      <c r="H711" s="57"/>
      <c r="I711" s="57"/>
      <c r="J711" s="57"/>
      <c r="K711" s="36" t="n">
        <f aca="false">IFERROR(MIN(E711:J711),"")</f>
        <v>0</v>
      </c>
      <c r="L711" s="57" t="str">
        <f aca="false">IF(COUNT(E711:J711)&lt;2,"-",IF(LOOKUP(2,1/(E711:J711&lt;&gt;""),E711:J711)&lt;INDEX(E711:J711,MATCH(TRUE(),E711:J711&lt;&gt;"",0)),"↑",IF(LOOKUP(2,1/(E711:J711&lt;&gt;""),E711:J711)&gt;INDEX(E711:J711,MATCH(TRUE(),E711:J711&lt;&gt;"",0)),"↓","→")))</f>
        <v>-</v>
      </c>
    </row>
    <row r="712" customFormat="false" ht="25.5" hidden="false" customHeight="true" outlineLevel="0" collapsed="false">
      <c r="A712" s="57" t="n">
        <v>711</v>
      </c>
      <c r="B712" s="57" t="n">
        <v>8</v>
      </c>
      <c r="C712" s="35" t="s">
        <v>1686</v>
      </c>
      <c r="D712" s="35" t="s">
        <v>1687</v>
      </c>
      <c r="E712" s="57"/>
      <c r="F712" s="57"/>
      <c r="G712" s="57"/>
      <c r="H712" s="57"/>
      <c r="I712" s="57"/>
      <c r="J712" s="57"/>
      <c r="K712" s="36" t="n">
        <f aca="false">IFERROR(MIN(E712:J712),"")</f>
        <v>0</v>
      </c>
      <c r="L712" s="57" t="str">
        <f aca="false">IF(COUNT(E712:J712)&lt;2,"-",IF(LOOKUP(2,1/(E712:J712&lt;&gt;""),E712:J712)&lt;INDEX(E712:J712,MATCH(TRUE(),E712:J712&lt;&gt;"",0)),"↑",IF(LOOKUP(2,1/(E712:J712&lt;&gt;""),E712:J712)&gt;INDEX(E712:J712,MATCH(TRUE(),E712:J712&lt;&gt;"",0)),"↓","→")))</f>
        <v>-</v>
      </c>
    </row>
    <row r="713" customFormat="false" ht="25.5" hidden="false" customHeight="true" outlineLevel="0" collapsed="false">
      <c r="A713" s="57" t="n">
        <v>712</v>
      </c>
      <c r="B713" s="57" t="n">
        <v>8</v>
      </c>
      <c r="C713" s="37" t="s">
        <v>1688</v>
      </c>
      <c r="D713" s="37" t="s">
        <v>1689</v>
      </c>
      <c r="E713" s="57"/>
      <c r="F713" s="57"/>
      <c r="G713" s="57"/>
      <c r="H713" s="57"/>
      <c r="I713" s="57"/>
      <c r="J713" s="57"/>
      <c r="K713" s="36" t="n">
        <f aca="false">IFERROR(MIN(E713:J713),"")</f>
        <v>0</v>
      </c>
      <c r="L713" s="57" t="str">
        <f aca="false">IF(COUNT(E713:J713)&lt;2,"-",IF(LOOKUP(2,1/(E713:J713&lt;&gt;""),E713:J713)&lt;INDEX(E713:J713,MATCH(TRUE(),E713:J713&lt;&gt;"",0)),"↑",IF(LOOKUP(2,1/(E713:J713&lt;&gt;""),E713:J713)&gt;INDEX(E713:J713,MATCH(TRUE(),E713:J713&lt;&gt;"",0)),"↓","→")))</f>
        <v>-</v>
      </c>
    </row>
    <row r="714" customFormat="false" ht="25.5" hidden="false" customHeight="true" outlineLevel="0" collapsed="false">
      <c r="A714" s="57" t="n">
        <v>713</v>
      </c>
      <c r="B714" s="57" t="n">
        <v>8</v>
      </c>
      <c r="C714" s="35" t="s">
        <v>1690</v>
      </c>
      <c r="D714" s="35" t="s">
        <v>1691</v>
      </c>
      <c r="E714" s="57"/>
      <c r="F714" s="57"/>
      <c r="G714" s="57"/>
      <c r="H714" s="57"/>
      <c r="I714" s="57"/>
      <c r="J714" s="57"/>
      <c r="K714" s="36" t="n">
        <f aca="false">IFERROR(MIN(E714:J714),"")</f>
        <v>0</v>
      </c>
      <c r="L714" s="57" t="str">
        <f aca="false">IF(COUNT(E714:J714)&lt;2,"-",IF(LOOKUP(2,1/(E714:J714&lt;&gt;""),E714:J714)&lt;INDEX(E714:J714,MATCH(TRUE(),E714:J714&lt;&gt;"",0)),"↑",IF(LOOKUP(2,1/(E714:J714&lt;&gt;""),E714:J714)&gt;INDEX(E714:J714,MATCH(TRUE(),E714:J714&lt;&gt;"",0)),"↓","→")))</f>
        <v>-</v>
      </c>
    </row>
    <row r="715" customFormat="false" ht="25.5" hidden="false" customHeight="true" outlineLevel="0" collapsed="false">
      <c r="A715" s="57" t="n">
        <v>714</v>
      </c>
      <c r="B715" s="57" t="n">
        <v>8</v>
      </c>
      <c r="C715" s="37" t="s">
        <v>1692</v>
      </c>
      <c r="D715" s="37" t="s">
        <v>1693</v>
      </c>
      <c r="E715" s="57"/>
      <c r="F715" s="57"/>
      <c r="G715" s="57"/>
      <c r="H715" s="57"/>
      <c r="I715" s="57"/>
      <c r="J715" s="57"/>
      <c r="K715" s="36" t="n">
        <f aca="false">IFERROR(MIN(E715:J715),"")</f>
        <v>0</v>
      </c>
      <c r="L715" s="57" t="str">
        <f aca="false">IF(COUNT(E715:J715)&lt;2,"-",IF(LOOKUP(2,1/(E715:J715&lt;&gt;""),E715:J715)&lt;INDEX(E715:J715,MATCH(TRUE(),E715:J715&lt;&gt;"",0)),"↑",IF(LOOKUP(2,1/(E715:J715&lt;&gt;""),E715:J715)&gt;INDEX(E715:J715,MATCH(TRUE(),E715:J715&lt;&gt;"",0)),"↓","→")))</f>
        <v>-</v>
      </c>
    </row>
    <row r="716" customFormat="false" ht="25.5" hidden="false" customHeight="true" outlineLevel="0" collapsed="false">
      <c r="A716" s="57" t="n">
        <v>715</v>
      </c>
      <c r="B716" s="57" t="n">
        <v>8</v>
      </c>
      <c r="C716" s="35" t="s">
        <v>1694</v>
      </c>
      <c r="D716" s="35" t="s">
        <v>1695</v>
      </c>
      <c r="E716" s="57"/>
      <c r="F716" s="57"/>
      <c r="G716" s="57"/>
      <c r="H716" s="57"/>
      <c r="I716" s="57"/>
      <c r="J716" s="57"/>
      <c r="K716" s="36" t="n">
        <f aca="false">IFERROR(MIN(E716:J716),"")</f>
        <v>0</v>
      </c>
      <c r="L716" s="57" t="str">
        <f aca="false">IF(COUNT(E716:J716)&lt;2,"-",IF(LOOKUP(2,1/(E716:J716&lt;&gt;""),E716:J716)&lt;INDEX(E716:J716,MATCH(TRUE(),E716:J716&lt;&gt;"",0)),"↑",IF(LOOKUP(2,1/(E716:J716&lt;&gt;""),E716:J716)&gt;INDEX(E716:J716,MATCH(TRUE(),E716:J716&lt;&gt;"",0)),"↓","→")))</f>
        <v>-</v>
      </c>
    </row>
    <row r="717" customFormat="false" ht="25.5" hidden="false" customHeight="true" outlineLevel="0" collapsed="false">
      <c r="A717" s="57" t="n">
        <v>716</v>
      </c>
      <c r="B717" s="57" t="n">
        <v>8</v>
      </c>
      <c r="C717" s="37" t="s">
        <v>1696</v>
      </c>
      <c r="D717" s="37" t="s">
        <v>1697</v>
      </c>
      <c r="E717" s="57"/>
      <c r="F717" s="57"/>
      <c r="G717" s="57"/>
      <c r="H717" s="57"/>
      <c r="I717" s="57"/>
      <c r="J717" s="57"/>
      <c r="K717" s="36" t="n">
        <f aca="false">IFERROR(MIN(E717:J717),"")</f>
        <v>0</v>
      </c>
      <c r="L717" s="57" t="str">
        <f aca="false">IF(COUNT(E717:J717)&lt;2,"-",IF(LOOKUP(2,1/(E717:J717&lt;&gt;""),E717:J717)&lt;INDEX(E717:J717,MATCH(TRUE(),E717:J717&lt;&gt;"",0)),"↑",IF(LOOKUP(2,1/(E717:J717&lt;&gt;""),E717:J717)&gt;INDEX(E717:J717,MATCH(TRUE(),E717:J717&lt;&gt;"",0)),"↓","→")))</f>
        <v>-</v>
      </c>
    </row>
    <row r="718" customFormat="false" ht="25.5" hidden="false" customHeight="true" outlineLevel="0" collapsed="false">
      <c r="A718" s="57" t="n">
        <v>717</v>
      </c>
      <c r="B718" s="57" t="n">
        <v>8</v>
      </c>
      <c r="C718" s="35" t="s">
        <v>1698</v>
      </c>
      <c r="D718" s="35" t="s">
        <v>1700</v>
      </c>
      <c r="E718" s="57"/>
      <c r="F718" s="57"/>
      <c r="G718" s="57"/>
      <c r="H718" s="57"/>
      <c r="I718" s="57"/>
      <c r="J718" s="57"/>
      <c r="K718" s="36" t="n">
        <f aca="false">IFERROR(MIN(E718:J718),"")</f>
        <v>0</v>
      </c>
      <c r="L718" s="57" t="str">
        <f aca="false">IF(COUNT(E718:J718)&lt;2,"-",IF(LOOKUP(2,1/(E718:J718&lt;&gt;""),E718:J718)&lt;INDEX(E718:J718,MATCH(TRUE(),E718:J718&lt;&gt;"",0)),"↑",IF(LOOKUP(2,1/(E718:J718&lt;&gt;""),E718:J718)&gt;INDEX(E718:J718,MATCH(TRUE(),E718:J718&lt;&gt;"",0)),"↓","→")))</f>
        <v>-</v>
      </c>
    </row>
    <row r="719" customFormat="false" ht="25.5" hidden="false" customHeight="true" outlineLevel="0" collapsed="false">
      <c r="A719" s="57" t="n">
        <v>718</v>
      </c>
      <c r="B719" s="57" t="n">
        <v>8</v>
      </c>
      <c r="C719" s="37" t="s">
        <v>1701</v>
      </c>
      <c r="D719" s="37" t="s">
        <v>1702</v>
      </c>
      <c r="E719" s="57"/>
      <c r="F719" s="57"/>
      <c r="G719" s="57"/>
      <c r="H719" s="57"/>
      <c r="I719" s="57"/>
      <c r="J719" s="57"/>
      <c r="K719" s="36" t="n">
        <f aca="false">IFERROR(MIN(E719:J719),"")</f>
        <v>0</v>
      </c>
      <c r="L719" s="57" t="str">
        <f aca="false">IF(COUNT(E719:J719)&lt;2,"-",IF(LOOKUP(2,1/(E719:J719&lt;&gt;""),E719:J719)&lt;INDEX(E719:J719,MATCH(TRUE(),E719:J719&lt;&gt;"",0)),"↑",IF(LOOKUP(2,1/(E719:J719&lt;&gt;""),E719:J719)&gt;INDEX(E719:J719,MATCH(TRUE(),E719:J719&lt;&gt;"",0)),"↓","→")))</f>
        <v>-</v>
      </c>
    </row>
    <row r="720" customFormat="false" ht="25.5" hidden="false" customHeight="true" outlineLevel="0" collapsed="false">
      <c r="A720" s="57" t="n">
        <v>719</v>
      </c>
      <c r="B720" s="57" t="n">
        <v>8</v>
      </c>
      <c r="C720" s="35" t="s">
        <v>1703</v>
      </c>
      <c r="D720" s="35" t="s">
        <v>1705</v>
      </c>
      <c r="E720" s="57"/>
      <c r="F720" s="57"/>
      <c r="G720" s="57"/>
      <c r="H720" s="57"/>
      <c r="I720" s="57"/>
      <c r="J720" s="57"/>
      <c r="K720" s="36" t="n">
        <f aca="false">IFERROR(MIN(E720:J720),"")</f>
        <v>0</v>
      </c>
      <c r="L720" s="57" t="str">
        <f aca="false">IF(COUNT(E720:J720)&lt;2,"-",IF(LOOKUP(2,1/(E720:J720&lt;&gt;""),E720:J720)&lt;INDEX(E720:J720,MATCH(TRUE(),E720:J720&lt;&gt;"",0)),"↑",IF(LOOKUP(2,1/(E720:J720&lt;&gt;""),E720:J720)&gt;INDEX(E720:J720,MATCH(TRUE(),E720:J720&lt;&gt;"",0)),"↓","→")))</f>
        <v>-</v>
      </c>
    </row>
    <row r="721" customFormat="false" ht="25.5" hidden="false" customHeight="true" outlineLevel="0" collapsed="false">
      <c r="A721" s="57" t="n">
        <v>720</v>
      </c>
      <c r="B721" s="57" t="n">
        <v>8</v>
      </c>
      <c r="C721" s="37" t="s">
        <v>1706</v>
      </c>
      <c r="D721" s="37" t="s">
        <v>1707</v>
      </c>
      <c r="E721" s="57"/>
      <c r="F721" s="57"/>
      <c r="G721" s="57"/>
      <c r="H721" s="57"/>
      <c r="I721" s="57"/>
      <c r="J721" s="57"/>
      <c r="K721" s="36" t="n">
        <f aca="false">IFERROR(MIN(E721:J721),"")</f>
        <v>0</v>
      </c>
      <c r="L721" s="57" t="str">
        <f aca="false">IF(COUNT(E721:J721)&lt;2,"-",IF(LOOKUP(2,1/(E721:J721&lt;&gt;""),E721:J721)&lt;INDEX(E721:J721,MATCH(TRUE(),E721:J721&lt;&gt;"",0)),"↑",IF(LOOKUP(2,1/(E721:J721&lt;&gt;""),E721:J721)&gt;INDEX(E721:J721,MATCH(TRUE(),E721:J721&lt;&gt;"",0)),"↓","→")))</f>
        <v>-</v>
      </c>
    </row>
    <row r="722" customFormat="false" ht="25.5" hidden="false" customHeight="true" outlineLevel="0" collapsed="false">
      <c r="A722" s="57" t="n">
        <v>721</v>
      </c>
      <c r="B722" s="57" t="n">
        <v>8</v>
      </c>
      <c r="C722" s="35" t="s">
        <v>1708</v>
      </c>
      <c r="D722" s="35" t="s">
        <v>1710</v>
      </c>
      <c r="E722" s="57"/>
      <c r="F722" s="57"/>
      <c r="G722" s="57"/>
      <c r="H722" s="57"/>
      <c r="I722" s="57"/>
      <c r="J722" s="57"/>
      <c r="K722" s="36" t="n">
        <f aca="false">IFERROR(MIN(E722:J722),"")</f>
        <v>0</v>
      </c>
      <c r="L722" s="57" t="str">
        <f aca="false">IF(COUNT(E722:J722)&lt;2,"-",IF(LOOKUP(2,1/(E722:J722&lt;&gt;""),E722:J722)&lt;INDEX(E722:J722,MATCH(TRUE(),E722:J722&lt;&gt;"",0)),"↑",IF(LOOKUP(2,1/(E722:J722&lt;&gt;""),E722:J722)&gt;INDEX(E722:J722,MATCH(TRUE(),E722:J722&lt;&gt;"",0)),"↓","→")))</f>
        <v>-</v>
      </c>
    </row>
    <row r="723" customFormat="false" ht="25.5" hidden="false" customHeight="true" outlineLevel="0" collapsed="false">
      <c r="A723" s="57" t="n">
        <v>722</v>
      </c>
      <c r="B723" s="57" t="n">
        <v>8</v>
      </c>
      <c r="C723" s="37" t="s">
        <v>1711</v>
      </c>
      <c r="D723" s="37" t="s">
        <v>1712</v>
      </c>
      <c r="E723" s="57"/>
      <c r="F723" s="57"/>
      <c r="G723" s="57"/>
      <c r="H723" s="57"/>
      <c r="I723" s="57"/>
      <c r="J723" s="57"/>
      <c r="K723" s="36" t="n">
        <f aca="false">IFERROR(MIN(E723:J723),"")</f>
        <v>0</v>
      </c>
      <c r="L723" s="57" t="str">
        <f aca="false">IF(COUNT(E723:J723)&lt;2,"-",IF(LOOKUP(2,1/(E723:J723&lt;&gt;""),E723:J723)&lt;INDEX(E723:J723,MATCH(TRUE(),E723:J723&lt;&gt;"",0)),"↑",IF(LOOKUP(2,1/(E723:J723&lt;&gt;""),E723:J723)&gt;INDEX(E723:J723,MATCH(TRUE(),E723:J723&lt;&gt;"",0)),"↓","→")))</f>
        <v>-</v>
      </c>
    </row>
    <row r="724" customFormat="false" ht="25.5" hidden="false" customHeight="true" outlineLevel="0" collapsed="false">
      <c r="A724" s="57" t="n">
        <v>723</v>
      </c>
      <c r="B724" s="57" t="n">
        <v>8</v>
      </c>
      <c r="C724" s="35" t="s">
        <v>1713</v>
      </c>
      <c r="D724" s="35" t="s">
        <v>1714</v>
      </c>
      <c r="E724" s="57"/>
      <c r="F724" s="57"/>
      <c r="G724" s="57"/>
      <c r="H724" s="57"/>
      <c r="I724" s="57"/>
      <c r="J724" s="57"/>
      <c r="K724" s="36" t="n">
        <f aca="false">IFERROR(MIN(E724:J724),"")</f>
        <v>0</v>
      </c>
      <c r="L724" s="57" t="str">
        <f aca="false">IF(COUNT(E724:J724)&lt;2,"-",IF(LOOKUP(2,1/(E724:J724&lt;&gt;""),E724:J724)&lt;INDEX(E724:J724,MATCH(TRUE(),E724:J724&lt;&gt;"",0)),"↑",IF(LOOKUP(2,1/(E724:J724&lt;&gt;""),E724:J724)&gt;INDEX(E724:J724,MATCH(TRUE(),E724:J724&lt;&gt;"",0)),"↓","→")))</f>
        <v>-</v>
      </c>
    </row>
    <row r="725" customFormat="false" ht="25.5" hidden="false" customHeight="true" outlineLevel="0" collapsed="false">
      <c r="A725" s="57" t="n">
        <v>724</v>
      </c>
      <c r="B725" s="57" t="n">
        <v>8</v>
      </c>
      <c r="C725" s="37" t="s">
        <v>1715</v>
      </c>
      <c r="D725" s="37" t="s">
        <v>1716</v>
      </c>
      <c r="E725" s="57"/>
      <c r="F725" s="57"/>
      <c r="G725" s="57"/>
      <c r="H725" s="57"/>
      <c r="I725" s="57"/>
      <c r="J725" s="57"/>
      <c r="K725" s="36" t="n">
        <f aca="false">IFERROR(MIN(E725:J725),"")</f>
        <v>0</v>
      </c>
      <c r="L725" s="57" t="str">
        <f aca="false">IF(COUNT(E725:J725)&lt;2,"-",IF(LOOKUP(2,1/(E725:J725&lt;&gt;""),E725:J725)&lt;INDEX(E725:J725,MATCH(TRUE(),E725:J725&lt;&gt;"",0)),"↑",IF(LOOKUP(2,1/(E725:J725&lt;&gt;""),E725:J725)&gt;INDEX(E725:J725,MATCH(TRUE(),E725:J725&lt;&gt;"",0)),"↓","→")))</f>
        <v>-</v>
      </c>
    </row>
    <row r="726" customFormat="false" ht="25.5" hidden="false" customHeight="true" outlineLevel="0" collapsed="false">
      <c r="A726" s="57" t="n">
        <v>725</v>
      </c>
      <c r="B726" s="57" t="n">
        <v>8</v>
      </c>
      <c r="C726" s="35" t="s">
        <v>1717</v>
      </c>
      <c r="D726" s="35" t="s">
        <v>1718</v>
      </c>
      <c r="E726" s="57"/>
      <c r="F726" s="57"/>
      <c r="G726" s="57"/>
      <c r="H726" s="57"/>
      <c r="I726" s="57"/>
      <c r="J726" s="57"/>
      <c r="K726" s="36" t="n">
        <f aca="false">IFERROR(MIN(E726:J726),"")</f>
        <v>0</v>
      </c>
      <c r="L726" s="57" t="str">
        <f aca="false">IF(COUNT(E726:J726)&lt;2,"-",IF(LOOKUP(2,1/(E726:J726&lt;&gt;""),E726:J726)&lt;INDEX(E726:J726,MATCH(TRUE(),E726:J726&lt;&gt;"",0)),"↑",IF(LOOKUP(2,1/(E726:J726&lt;&gt;""),E726:J726)&gt;INDEX(E726:J726,MATCH(TRUE(),E726:J726&lt;&gt;"",0)),"↓","→")))</f>
        <v>-</v>
      </c>
    </row>
    <row r="727" customFormat="false" ht="25.5" hidden="false" customHeight="true" outlineLevel="0" collapsed="false">
      <c r="A727" s="57" t="n">
        <v>726</v>
      </c>
      <c r="B727" s="57" t="n">
        <v>8</v>
      </c>
      <c r="C727" s="37" t="s">
        <v>1719</v>
      </c>
      <c r="D727" s="37" t="s">
        <v>1720</v>
      </c>
      <c r="E727" s="57"/>
      <c r="F727" s="57"/>
      <c r="G727" s="57"/>
      <c r="H727" s="57"/>
      <c r="I727" s="57"/>
      <c r="J727" s="57"/>
      <c r="K727" s="36" t="n">
        <f aca="false">IFERROR(MIN(E727:J727),"")</f>
        <v>0</v>
      </c>
      <c r="L727" s="57" t="str">
        <f aca="false">IF(COUNT(E727:J727)&lt;2,"-",IF(LOOKUP(2,1/(E727:J727&lt;&gt;""),E727:J727)&lt;INDEX(E727:J727,MATCH(TRUE(),E727:J727&lt;&gt;"",0)),"↑",IF(LOOKUP(2,1/(E727:J727&lt;&gt;""),E727:J727)&gt;INDEX(E727:J727,MATCH(TRUE(),E727:J727&lt;&gt;"",0)),"↓","→")))</f>
        <v>-</v>
      </c>
    </row>
    <row r="728" customFormat="false" ht="25.5" hidden="false" customHeight="true" outlineLevel="0" collapsed="false">
      <c r="A728" s="57" t="n">
        <v>727</v>
      </c>
      <c r="B728" s="57" t="n">
        <v>8</v>
      </c>
      <c r="C728" s="35" t="s">
        <v>1721</v>
      </c>
      <c r="D728" s="35" t="s">
        <v>1723</v>
      </c>
      <c r="E728" s="57"/>
      <c r="F728" s="57"/>
      <c r="G728" s="57"/>
      <c r="H728" s="57"/>
      <c r="I728" s="57"/>
      <c r="J728" s="57"/>
      <c r="K728" s="36" t="n">
        <f aca="false">IFERROR(MIN(E728:J728),"")</f>
        <v>0</v>
      </c>
      <c r="L728" s="57" t="str">
        <f aca="false">IF(COUNT(E728:J728)&lt;2,"-",IF(LOOKUP(2,1/(E728:J728&lt;&gt;""),E728:J728)&lt;INDEX(E728:J728,MATCH(TRUE(),E728:J728&lt;&gt;"",0)),"↑",IF(LOOKUP(2,1/(E728:J728&lt;&gt;""),E728:J728)&gt;INDEX(E728:J728,MATCH(TRUE(),E728:J728&lt;&gt;"",0)),"↓","→")))</f>
        <v>-</v>
      </c>
    </row>
    <row r="729" customFormat="false" ht="25.5" hidden="false" customHeight="true" outlineLevel="0" collapsed="false">
      <c r="A729" s="57" t="n">
        <v>728</v>
      </c>
      <c r="B729" s="57" t="n">
        <v>8</v>
      </c>
      <c r="C729" s="37" t="s">
        <v>1724</v>
      </c>
      <c r="D729" s="37" t="s">
        <v>1725</v>
      </c>
      <c r="E729" s="57"/>
      <c r="F729" s="57"/>
      <c r="G729" s="57"/>
      <c r="H729" s="57"/>
      <c r="I729" s="57"/>
      <c r="J729" s="57"/>
      <c r="K729" s="36" t="n">
        <f aca="false">IFERROR(MIN(E729:J729),"")</f>
        <v>0</v>
      </c>
      <c r="L729" s="57" t="str">
        <f aca="false">IF(COUNT(E729:J729)&lt;2,"-",IF(LOOKUP(2,1/(E729:J729&lt;&gt;""),E729:J729)&lt;INDEX(E729:J729,MATCH(TRUE(),E729:J729&lt;&gt;"",0)),"↑",IF(LOOKUP(2,1/(E729:J729&lt;&gt;""),E729:J729)&gt;INDEX(E729:J729,MATCH(TRUE(),E729:J729&lt;&gt;"",0)),"↓","→")))</f>
        <v>-</v>
      </c>
    </row>
    <row r="730" customFormat="false" ht="25.5" hidden="false" customHeight="true" outlineLevel="0" collapsed="false">
      <c r="A730" s="57" t="n">
        <v>729</v>
      </c>
      <c r="B730" s="57" t="n">
        <v>8</v>
      </c>
      <c r="C730" s="35" t="s">
        <v>1726</v>
      </c>
      <c r="D730" s="35" t="s">
        <v>1727</v>
      </c>
      <c r="E730" s="57"/>
      <c r="F730" s="57"/>
      <c r="G730" s="57"/>
      <c r="H730" s="57"/>
      <c r="I730" s="57"/>
      <c r="J730" s="57"/>
      <c r="K730" s="36" t="n">
        <f aca="false">IFERROR(MIN(E730:J730),"")</f>
        <v>0</v>
      </c>
      <c r="L730" s="57" t="str">
        <f aca="false">IF(COUNT(E730:J730)&lt;2,"-",IF(LOOKUP(2,1/(E730:J730&lt;&gt;""),E730:J730)&lt;INDEX(E730:J730,MATCH(TRUE(),E730:J730&lt;&gt;"",0)),"↑",IF(LOOKUP(2,1/(E730:J730&lt;&gt;""),E730:J730)&gt;INDEX(E730:J730,MATCH(TRUE(),E730:J730&lt;&gt;"",0)),"↓","→")))</f>
        <v>-</v>
      </c>
    </row>
    <row r="731" customFormat="false" ht="25.5" hidden="false" customHeight="true" outlineLevel="0" collapsed="false">
      <c r="A731" s="57" t="n">
        <v>730</v>
      </c>
      <c r="B731" s="57" t="n">
        <v>8</v>
      </c>
      <c r="C731" s="37" t="s">
        <v>1728</v>
      </c>
      <c r="D731" s="37" t="s">
        <v>1729</v>
      </c>
      <c r="E731" s="57"/>
      <c r="F731" s="57"/>
      <c r="G731" s="57"/>
      <c r="H731" s="57"/>
      <c r="I731" s="57"/>
      <c r="J731" s="57"/>
      <c r="K731" s="36" t="n">
        <f aca="false">IFERROR(MIN(E731:J731),"")</f>
        <v>0</v>
      </c>
      <c r="L731" s="57" t="str">
        <f aca="false">IF(COUNT(E731:J731)&lt;2,"-",IF(LOOKUP(2,1/(E731:J731&lt;&gt;""),E731:J731)&lt;INDEX(E731:J731,MATCH(TRUE(),E731:J731&lt;&gt;"",0)),"↑",IF(LOOKUP(2,1/(E731:J731&lt;&gt;""),E731:J731)&gt;INDEX(E731:J731,MATCH(TRUE(),E731:J731&lt;&gt;"",0)),"↓","→")))</f>
        <v>-</v>
      </c>
    </row>
    <row r="732" customFormat="false" ht="25.5" hidden="false" customHeight="true" outlineLevel="0" collapsed="false">
      <c r="A732" s="57" t="n">
        <v>731</v>
      </c>
      <c r="B732" s="57" t="n">
        <v>8</v>
      </c>
      <c r="C732" s="35" t="s">
        <v>1730</v>
      </c>
      <c r="D732" s="35" t="s">
        <v>1731</v>
      </c>
      <c r="E732" s="57"/>
      <c r="F732" s="57"/>
      <c r="G732" s="57"/>
      <c r="H732" s="57"/>
      <c r="I732" s="57"/>
      <c r="J732" s="57"/>
      <c r="K732" s="36" t="n">
        <f aca="false">IFERROR(MIN(E732:J732),"")</f>
        <v>0</v>
      </c>
      <c r="L732" s="57" t="str">
        <f aca="false">IF(COUNT(E732:J732)&lt;2,"-",IF(LOOKUP(2,1/(E732:J732&lt;&gt;""),E732:J732)&lt;INDEX(E732:J732,MATCH(TRUE(),E732:J732&lt;&gt;"",0)),"↑",IF(LOOKUP(2,1/(E732:J732&lt;&gt;""),E732:J732)&gt;INDEX(E732:J732,MATCH(TRUE(),E732:J732&lt;&gt;"",0)),"↓","→")))</f>
        <v>-</v>
      </c>
    </row>
    <row r="733" customFormat="false" ht="25.5" hidden="false" customHeight="true" outlineLevel="0" collapsed="false">
      <c r="A733" s="57" t="n">
        <v>732</v>
      </c>
      <c r="B733" s="57" t="n">
        <v>8</v>
      </c>
      <c r="C733" s="37" t="s">
        <v>1732</v>
      </c>
      <c r="D733" s="37" t="s">
        <v>1733</v>
      </c>
      <c r="E733" s="57"/>
      <c r="F733" s="57"/>
      <c r="G733" s="57"/>
      <c r="H733" s="57"/>
      <c r="I733" s="57"/>
      <c r="J733" s="57"/>
      <c r="K733" s="36" t="n">
        <f aca="false">IFERROR(MIN(E733:J733),"")</f>
        <v>0</v>
      </c>
      <c r="L733" s="57" t="str">
        <f aca="false">IF(COUNT(E733:J733)&lt;2,"-",IF(LOOKUP(2,1/(E733:J733&lt;&gt;""),E733:J733)&lt;INDEX(E733:J733,MATCH(TRUE(),E733:J733&lt;&gt;"",0)),"↑",IF(LOOKUP(2,1/(E733:J733&lt;&gt;""),E733:J733)&gt;INDEX(E733:J733,MATCH(TRUE(),E733:J733&lt;&gt;"",0)),"↓","→")))</f>
        <v>-</v>
      </c>
    </row>
    <row r="734" customFormat="false" ht="25.5" hidden="false" customHeight="true" outlineLevel="0" collapsed="false">
      <c r="A734" s="57" t="n">
        <v>733</v>
      </c>
      <c r="B734" s="57" t="n">
        <v>8</v>
      </c>
      <c r="C734" s="35" t="s">
        <v>1734</v>
      </c>
      <c r="D734" s="35" t="s">
        <v>1735</v>
      </c>
      <c r="E734" s="57"/>
      <c r="F734" s="57"/>
      <c r="G734" s="57"/>
      <c r="H734" s="57"/>
      <c r="I734" s="57"/>
      <c r="J734" s="57"/>
      <c r="K734" s="36" t="n">
        <f aca="false">IFERROR(MIN(E734:J734),"")</f>
        <v>0</v>
      </c>
      <c r="L734" s="57" t="str">
        <f aca="false">IF(COUNT(E734:J734)&lt;2,"-",IF(LOOKUP(2,1/(E734:J734&lt;&gt;""),E734:J734)&lt;INDEX(E734:J734,MATCH(TRUE(),E734:J734&lt;&gt;"",0)),"↑",IF(LOOKUP(2,1/(E734:J734&lt;&gt;""),E734:J734)&gt;INDEX(E734:J734,MATCH(TRUE(),E734:J734&lt;&gt;"",0)),"↓","→")))</f>
        <v>-</v>
      </c>
    </row>
    <row r="735" customFormat="false" ht="25.5" hidden="false" customHeight="true" outlineLevel="0" collapsed="false">
      <c r="A735" s="57" t="n">
        <v>734</v>
      </c>
      <c r="B735" s="57" t="n">
        <v>8</v>
      </c>
      <c r="C735" s="37" t="s">
        <v>1736</v>
      </c>
      <c r="D735" s="37" t="s">
        <v>1737</v>
      </c>
      <c r="E735" s="57"/>
      <c r="F735" s="57"/>
      <c r="G735" s="57"/>
      <c r="H735" s="57"/>
      <c r="I735" s="57"/>
      <c r="J735" s="57"/>
      <c r="K735" s="36" t="n">
        <f aca="false">IFERROR(MIN(E735:J735),"")</f>
        <v>0</v>
      </c>
      <c r="L735" s="57" t="str">
        <f aca="false">IF(COUNT(E735:J735)&lt;2,"-",IF(LOOKUP(2,1/(E735:J735&lt;&gt;""),E735:J735)&lt;INDEX(E735:J735,MATCH(TRUE(),E735:J735&lt;&gt;"",0)),"↑",IF(LOOKUP(2,1/(E735:J735&lt;&gt;""),E735:J735)&gt;INDEX(E735:J735,MATCH(TRUE(),E735:J735&lt;&gt;"",0)),"↓","→")))</f>
        <v>-</v>
      </c>
    </row>
    <row r="736" customFormat="false" ht="25.5" hidden="false" customHeight="true" outlineLevel="0" collapsed="false">
      <c r="A736" s="57" t="n">
        <v>735</v>
      </c>
      <c r="B736" s="57" t="n">
        <v>8</v>
      </c>
      <c r="C736" s="35" t="s">
        <v>1738</v>
      </c>
      <c r="D736" s="35" t="s">
        <v>1740</v>
      </c>
      <c r="E736" s="57"/>
      <c r="F736" s="57"/>
      <c r="G736" s="57"/>
      <c r="H736" s="57"/>
      <c r="I736" s="57"/>
      <c r="J736" s="57"/>
      <c r="K736" s="36" t="n">
        <f aca="false">IFERROR(MIN(E736:J736),"")</f>
        <v>0</v>
      </c>
      <c r="L736" s="57" t="str">
        <f aca="false">IF(COUNT(E736:J736)&lt;2,"-",IF(LOOKUP(2,1/(E736:J736&lt;&gt;""),E736:J736)&lt;INDEX(E736:J736,MATCH(TRUE(),E736:J736&lt;&gt;"",0)),"↑",IF(LOOKUP(2,1/(E736:J736&lt;&gt;""),E736:J736)&gt;INDEX(E736:J736,MATCH(TRUE(),E736:J736&lt;&gt;"",0)),"↓","→")))</f>
        <v>-</v>
      </c>
    </row>
    <row r="737" customFormat="false" ht="25.5" hidden="false" customHeight="true" outlineLevel="0" collapsed="false">
      <c r="A737" s="57" t="n">
        <v>736</v>
      </c>
      <c r="B737" s="57" t="n">
        <v>8</v>
      </c>
      <c r="C737" s="37" t="s">
        <v>1741</v>
      </c>
      <c r="D737" s="37" t="s">
        <v>1742</v>
      </c>
      <c r="E737" s="57"/>
      <c r="F737" s="57"/>
      <c r="G737" s="57"/>
      <c r="H737" s="57"/>
      <c r="I737" s="57"/>
      <c r="J737" s="57"/>
      <c r="K737" s="36" t="n">
        <f aca="false">IFERROR(MIN(E737:J737),"")</f>
        <v>0</v>
      </c>
      <c r="L737" s="57" t="str">
        <f aca="false">IF(COUNT(E737:J737)&lt;2,"-",IF(LOOKUP(2,1/(E737:J737&lt;&gt;""),E737:J737)&lt;INDEX(E737:J737,MATCH(TRUE(),E737:J737&lt;&gt;"",0)),"↑",IF(LOOKUP(2,1/(E737:J737&lt;&gt;""),E737:J737)&gt;INDEX(E737:J737,MATCH(TRUE(),E737:J737&lt;&gt;"",0)),"↓","→")))</f>
        <v>-</v>
      </c>
    </row>
    <row r="738" customFormat="false" ht="25.5" hidden="false" customHeight="true" outlineLevel="0" collapsed="false">
      <c r="A738" s="57" t="n">
        <v>737</v>
      </c>
      <c r="B738" s="57" t="n">
        <v>8</v>
      </c>
      <c r="C738" s="35" t="s">
        <v>1743</v>
      </c>
      <c r="D738" s="35" t="s">
        <v>1744</v>
      </c>
      <c r="E738" s="57"/>
      <c r="F738" s="57"/>
      <c r="G738" s="57"/>
      <c r="H738" s="57"/>
      <c r="I738" s="57"/>
      <c r="J738" s="57"/>
      <c r="K738" s="36" t="n">
        <f aca="false">IFERROR(MIN(E738:J738),"")</f>
        <v>0</v>
      </c>
      <c r="L738" s="57" t="str">
        <f aca="false">IF(COUNT(E738:J738)&lt;2,"-",IF(LOOKUP(2,1/(E738:J738&lt;&gt;""),E738:J738)&lt;INDEX(E738:J738,MATCH(TRUE(),E738:J738&lt;&gt;"",0)),"↑",IF(LOOKUP(2,1/(E738:J738&lt;&gt;""),E738:J738)&gt;INDEX(E738:J738,MATCH(TRUE(),E738:J738&lt;&gt;"",0)),"↓","→")))</f>
        <v>-</v>
      </c>
    </row>
    <row r="739" customFormat="false" ht="25.5" hidden="false" customHeight="true" outlineLevel="0" collapsed="false">
      <c r="A739" s="57" t="n">
        <v>738</v>
      </c>
      <c r="B739" s="57" t="n">
        <v>8</v>
      </c>
      <c r="C739" s="37" t="s">
        <v>1745</v>
      </c>
      <c r="D739" s="37" t="s">
        <v>1746</v>
      </c>
      <c r="E739" s="57"/>
      <c r="F739" s="57"/>
      <c r="G739" s="57"/>
      <c r="H739" s="57"/>
      <c r="I739" s="57"/>
      <c r="J739" s="57"/>
      <c r="K739" s="36" t="n">
        <f aca="false">IFERROR(MIN(E739:J739),"")</f>
        <v>0</v>
      </c>
      <c r="L739" s="57" t="str">
        <f aca="false">IF(COUNT(E739:J739)&lt;2,"-",IF(LOOKUP(2,1/(E739:J739&lt;&gt;""),E739:J739)&lt;INDEX(E739:J739,MATCH(TRUE(),E739:J739&lt;&gt;"",0)),"↑",IF(LOOKUP(2,1/(E739:J739&lt;&gt;""),E739:J739)&gt;INDEX(E739:J739,MATCH(TRUE(),E739:J739&lt;&gt;"",0)),"↓","→")))</f>
        <v>-</v>
      </c>
    </row>
    <row r="740" customFormat="false" ht="25.5" hidden="false" customHeight="true" outlineLevel="0" collapsed="false">
      <c r="A740" s="58" t="n">
        <v>739</v>
      </c>
      <c r="B740" s="58" t="n">
        <v>9</v>
      </c>
      <c r="C740" s="39" t="s">
        <v>1747</v>
      </c>
      <c r="D740" s="39" t="s">
        <v>1749</v>
      </c>
      <c r="E740" s="58"/>
      <c r="F740" s="58"/>
      <c r="G740" s="58"/>
      <c r="H740" s="58"/>
      <c r="I740" s="58"/>
      <c r="J740" s="58"/>
      <c r="K740" s="40" t="n">
        <f aca="false">IFERROR(MIN(E740:J740),"")</f>
        <v>0</v>
      </c>
      <c r="L740" s="58" t="str">
        <f aca="false">IF(COUNT(E740:J740)&lt;2,"-",IF(LOOKUP(2,1/(E740:J740&lt;&gt;""),E740:J740)&lt;INDEX(E740:J740,MATCH(TRUE(),E740:J740&lt;&gt;"",0)),"↑",IF(LOOKUP(2,1/(E740:J740&lt;&gt;""),E740:J740)&gt;INDEX(E740:J740,MATCH(TRUE(),E740:J740&lt;&gt;"",0)),"↓","→")))</f>
        <v>-</v>
      </c>
    </row>
    <row r="741" customFormat="false" ht="25.5" hidden="false" customHeight="true" outlineLevel="0" collapsed="false">
      <c r="A741" s="58" t="n">
        <v>740</v>
      </c>
      <c r="B741" s="58" t="n">
        <v>9</v>
      </c>
      <c r="C741" s="41" t="s">
        <v>1750</v>
      </c>
      <c r="D741" s="41" t="s">
        <v>1752</v>
      </c>
      <c r="E741" s="58"/>
      <c r="F741" s="58"/>
      <c r="G741" s="58"/>
      <c r="H741" s="58"/>
      <c r="I741" s="58"/>
      <c r="J741" s="58"/>
      <c r="K741" s="40" t="n">
        <f aca="false">IFERROR(MIN(E741:J741),"")</f>
        <v>0</v>
      </c>
      <c r="L741" s="58" t="str">
        <f aca="false">IF(COUNT(E741:J741)&lt;2,"-",IF(LOOKUP(2,1/(E741:J741&lt;&gt;""),E741:J741)&lt;INDEX(E741:J741,MATCH(TRUE(),E741:J741&lt;&gt;"",0)),"↑",IF(LOOKUP(2,1/(E741:J741&lt;&gt;""),E741:J741)&gt;INDEX(E741:J741,MATCH(TRUE(),E741:J741&lt;&gt;"",0)),"↓","→")))</f>
        <v>-</v>
      </c>
    </row>
    <row r="742" customFormat="false" ht="25.5" hidden="false" customHeight="true" outlineLevel="0" collapsed="false">
      <c r="A742" s="58" t="n">
        <v>741</v>
      </c>
      <c r="B742" s="58" t="n">
        <v>9</v>
      </c>
      <c r="C742" s="39" t="s">
        <v>1753</v>
      </c>
      <c r="D742" s="39" t="s">
        <v>1754</v>
      </c>
      <c r="E742" s="58"/>
      <c r="F742" s="58"/>
      <c r="G742" s="58"/>
      <c r="H742" s="58"/>
      <c r="I742" s="58"/>
      <c r="J742" s="58"/>
      <c r="K742" s="40" t="n">
        <f aca="false">IFERROR(MIN(E742:J742),"")</f>
        <v>0</v>
      </c>
      <c r="L742" s="58" t="str">
        <f aca="false">IF(COUNT(E742:J742)&lt;2,"-",IF(LOOKUP(2,1/(E742:J742&lt;&gt;""),E742:J742)&lt;INDEX(E742:J742,MATCH(TRUE(),E742:J742&lt;&gt;"",0)),"↑",IF(LOOKUP(2,1/(E742:J742&lt;&gt;""),E742:J742)&gt;INDEX(E742:J742,MATCH(TRUE(),E742:J742&lt;&gt;"",0)),"↓","→")))</f>
        <v>-</v>
      </c>
    </row>
    <row r="743" customFormat="false" ht="25.5" hidden="false" customHeight="true" outlineLevel="0" collapsed="false">
      <c r="A743" s="58" t="n">
        <v>742</v>
      </c>
      <c r="B743" s="58" t="n">
        <v>9</v>
      </c>
      <c r="C743" s="41" t="s">
        <v>1755</v>
      </c>
      <c r="D743" s="41" t="s">
        <v>1756</v>
      </c>
      <c r="E743" s="58"/>
      <c r="F743" s="58"/>
      <c r="G743" s="58"/>
      <c r="H743" s="58"/>
      <c r="I743" s="58"/>
      <c r="J743" s="58"/>
      <c r="K743" s="40" t="n">
        <f aca="false">IFERROR(MIN(E743:J743),"")</f>
        <v>0</v>
      </c>
      <c r="L743" s="58" t="str">
        <f aca="false">IF(COUNT(E743:J743)&lt;2,"-",IF(LOOKUP(2,1/(E743:J743&lt;&gt;""),E743:J743)&lt;INDEX(E743:J743,MATCH(TRUE(),E743:J743&lt;&gt;"",0)),"↑",IF(LOOKUP(2,1/(E743:J743&lt;&gt;""),E743:J743)&gt;INDEX(E743:J743,MATCH(TRUE(),E743:J743&lt;&gt;"",0)),"↓","→")))</f>
        <v>-</v>
      </c>
    </row>
    <row r="744" customFormat="false" ht="25.5" hidden="false" customHeight="true" outlineLevel="0" collapsed="false">
      <c r="A744" s="58" t="n">
        <v>743</v>
      </c>
      <c r="B744" s="58" t="n">
        <v>9</v>
      </c>
      <c r="C744" s="39" t="s">
        <v>1757</v>
      </c>
      <c r="D744" s="39" t="s">
        <v>1758</v>
      </c>
      <c r="E744" s="58"/>
      <c r="F744" s="58"/>
      <c r="G744" s="58"/>
      <c r="H744" s="58"/>
      <c r="I744" s="58"/>
      <c r="J744" s="58"/>
      <c r="K744" s="40" t="n">
        <f aca="false">IFERROR(MIN(E744:J744),"")</f>
        <v>0</v>
      </c>
      <c r="L744" s="58" t="str">
        <f aca="false">IF(COUNT(E744:J744)&lt;2,"-",IF(LOOKUP(2,1/(E744:J744&lt;&gt;""),E744:J744)&lt;INDEX(E744:J744,MATCH(TRUE(),E744:J744&lt;&gt;"",0)),"↑",IF(LOOKUP(2,1/(E744:J744&lt;&gt;""),E744:J744)&gt;INDEX(E744:J744,MATCH(TRUE(),E744:J744&lt;&gt;"",0)),"↓","→")))</f>
        <v>-</v>
      </c>
    </row>
    <row r="745" customFormat="false" ht="25.5" hidden="false" customHeight="true" outlineLevel="0" collapsed="false">
      <c r="A745" s="58" t="n">
        <v>744</v>
      </c>
      <c r="B745" s="58" t="n">
        <v>9</v>
      </c>
      <c r="C745" s="41" t="s">
        <v>1759</v>
      </c>
      <c r="D745" s="41" t="s">
        <v>1760</v>
      </c>
      <c r="E745" s="58"/>
      <c r="F745" s="58"/>
      <c r="G745" s="58"/>
      <c r="H745" s="58"/>
      <c r="I745" s="58"/>
      <c r="J745" s="58"/>
      <c r="K745" s="40" t="n">
        <f aca="false">IFERROR(MIN(E745:J745),"")</f>
        <v>0</v>
      </c>
      <c r="L745" s="58" t="str">
        <f aca="false">IF(COUNT(E745:J745)&lt;2,"-",IF(LOOKUP(2,1/(E745:J745&lt;&gt;""),E745:J745)&lt;INDEX(E745:J745,MATCH(TRUE(),E745:J745&lt;&gt;"",0)),"↑",IF(LOOKUP(2,1/(E745:J745&lt;&gt;""),E745:J745)&gt;INDEX(E745:J745,MATCH(TRUE(),E745:J745&lt;&gt;"",0)),"↓","→")))</f>
        <v>-</v>
      </c>
    </row>
    <row r="746" customFormat="false" ht="25.5" hidden="false" customHeight="true" outlineLevel="0" collapsed="false">
      <c r="A746" s="58" t="n">
        <v>745</v>
      </c>
      <c r="B746" s="58" t="n">
        <v>9</v>
      </c>
      <c r="C746" s="39" t="s">
        <v>1761</v>
      </c>
      <c r="D746" s="39" t="s">
        <v>1762</v>
      </c>
      <c r="E746" s="58"/>
      <c r="F746" s="58"/>
      <c r="G746" s="58"/>
      <c r="H746" s="58"/>
      <c r="I746" s="58"/>
      <c r="J746" s="58"/>
      <c r="K746" s="40" t="n">
        <f aca="false">IFERROR(MIN(E746:J746),"")</f>
        <v>0</v>
      </c>
      <c r="L746" s="58" t="str">
        <f aca="false">IF(COUNT(E746:J746)&lt;2,"-",IF(LOOKUP(2,1/(E746:J746&lt;&gt;""),E746:J746)&lt;INDEX(E746:J746,MATCH(TRUE(),E746:J746&lt;&gt;"",0)),"↑",IF(LOOKUP(2,1/(E746:J746&lt;&gt;""),E746:J746)&gt;INDEX(E746:J746,MATCH(TRUE(),E746:J746&lt;&gt;"",0)),"↓","→")))</f>
        <v>-</v>
      </c>
    </row>
    <row r="747" customFormat="false" ht="25.5" hidden="false" customHeight="true" outlineLevel="0" collapsed="false">
      <c r="A747" s="58" t="n">
        <v>746</v>
      </c>
      <c r="B747" s="58" t="n">
        <v>9</v>
      </c>
      <c r="C747" s="41" t="s">
        <v>1763</v>
      </c>
      <c r="D747" s="41" t="s">
        <v>1764</v>
      </c>
      <c r="E747" s="58"/>
      <c r="F747" s="58"/>
      <c r="G747" s="58"/>
      <c r="H747" s="58"/>
      <c r="I747" s="58"/>
      <c r="J747" s="58"/>
      <c r="K747" s="40" t="n">
        <f aca="false">IFERROR(MIN(E747:J747),"")</f>
        <v>0</v>
      </c>
      <c r="L747" s="58" t="str">
        <f aca="false">IF(COUNT(E747:J747)&lt;2,"-",IF(LOOKUP(2,1/(E747:J747&lt;&gt;""),E747:J747)&lt;INDEX(E747:J747,MATCH(TRUE(),E747:J747&lt;&gt;"",0)),"↑",IF(LOOKUP(2,1/(E747:J747&lt;&gt;""),E747:J747)&gt;INDEX(E747:J747,MATCH(TRUE(),E747:J747&lt;&gt;"",0)),"↓","→")))</f>
        <v>-</v>
      </c>
    </row>
    <row r="748" customFormat="false" ht="25.5" hidden="false" customHeight="true" outlineLevel="0" collapsed="false">
      <c r="A748" s="58" t="n">
        <v>747</v>
      </c>
      <c r="B748" s="58" t="n">
        <v>9</v>
      </c>
      <c r="C748" s="39" t="s">
        <v>1765</v>
      </c>
      <c r="D748" s="39" t="s">
        <v>1766</v>
      </c>
      <c r="E748" s="58"/>
      <c r="F748" s="58"/>
      <c r="G748" s="58"/>
      <c r="H748" s="58"/>
      <c r="I748" s="58"/>
      <c r="J748" s="58"/>
      <c r="K748" s="40" t="n">
        <f aca="false">IFERROR(MIN(E748:J748),"")</f>
        <v>0</v>
      </c>
      <c r="L748" s="58" t="str">
        <f aca="false">IF(COUNT(E748:J748)&lt;2,"-",IF(LOOKUP(2,1/(E748:J748&lt;&gt;""),E748:J748)&lt;INDEX(E748:J748,MATCH(TRUE(),E748:J748&lt;&gt;"",0)),"↑",IF(LOOKUP(2,1/(E748:J748&lt;&gt;""),E748:J748)&gt;INDEX(E748:J748,MATCH(TRUE(),E748:J748&lt;&gt;"",0)),"↓","→")))</f>
        <v>-</v>
      </c>
    </row>
    <row r="749" customFormat="false" ht="25.5" hidden="false" customHeight="true" outlineLevel="0" collapsed="false">
      <c r="A749" s="58" t="n">
        <v>748</v>
      </c>
      <c r="B749" s="58" t="n">
        <v>9</v>
      </c>
      <c r="C749" s="41" t="s">
        <v>1767</v>
      </c>
      <c r="D749" s="41" t="s">
        <v>1768</v>
      </c>
      <c r="E749" s="58"/>
      <c r="F749" s="58"/>
      <c r="G749" s="58"/>
      <c r="H749" s="58"/>
      <c r="I749" s="58"/>
      <c r="J749" s="58"/>
      <c r="K749" s="40" t="n">
        <f aca="false">IFERROR(MIN(E749:J749),"")</f>
        <v>0</v>
      </c>
      <c r="L749" s="58" t="str">
        <f aca="false">IF(COUNT(E749:J749)&lt;2,"-",IF(LOOKUP(2,1/(E749:J749&lt;&gt;""),E749:J749)&lt;INDEX(E749:J749,MATCH(TRUE(),E749:J749&lt;&gt;"",0)),"↑",IF(LOOKUP(2,1/(E749:J749&lt;&gt;""),E749:J749)&gt;INDEX(E749:J749,MATCH(TRUE(),E749:J749&lt;&gt;"",0)),"↓","→")))</f>
        <v>-</v>
      </c>
    </row>
    <row r="750" customFormat="false" ht="25.5" hidden="false" customHeight="true" outlineLevel="0" collapsed="false">
      <c r="A750" s="58" t="n">
        <v>749</v>
      </c>
      <c r="B750" s="58" t="n">
        <v>9</v>
      </c>
      <c r="C750" s="39" t="s">
        <v>1769</v>
      </c>
      <c r="D750" s="39" t="s">
        <v>1770</v>
      </c>
      <c r="E750" s="58"/>
      <c r="F750" s="58"/>
      <c r="G750" s="58"/>
      <c r="H750" s="58"/>
      <c r="I750" s="58"/>
      <c r="J750" s="58"/>
      <c r="K750" s="40" t="n">
        <f aca="false">IFERROR(MIN(E750:J750),"")</f>
        <v>0</v>
      </c>
      <c r="L750" s="58" t="str">
        <f aca="false">IF(COUNT(E750:J750)&lt;2,"-",IF(LOOKUP(2,1/(E750:J750&lt;&gt;""),E750:J750)&lt;INDEX(E750:J750,MATCH(TRUE(),E750:J750&lt;&gt;"",0)),"↑",IF(LOOKUP(2,1/(E750:J750&lt;&gt;""),E750:J750)&gt;INDEX(E750:J750,MATCH(TRUE(),E750:J750&lt;&gt;"",0)),"↓","→")))</f>
        <v>-</v>
      </c>
    </row>
    <row r="751" customFormat="false" ht="25.5" hidden="false" customHeight="true" outlineLevel="0" collapsed="false">
      <c r="A751" s="58" t="n">
        <v>750</v>
      </c>
      <c r="B751" s="58" t="n">
        <v>9</v>
      </c>
      <c r="C751" s="41" t="s">
        <v>1771</v>
      </c>
      <c r="D751" s="41" t="s">
        <v>1772</v>
      </c>
      <c r="E751" s="58"/>
      <c r="F751" s="58"/>
      <c r="G751" s="58"/>
      <c r="H751" s="58"/>
      <c r="I751" s="58"/>
      <c r="J751" s="58"/>
      <c r="K751" s="40" t="n">
        <f aca="false">IFERROR(MIN(E751:J751),"")</f>
        <v>0</v>
      </c>
      <c r="L751" s="58" t="str">
        <f aca="false">IF(COUNT(E751:J751)&lt;2,"-",IF(LOOKUP(2,1/(E751:J751&lt;&gt;""),E751:J751)&lt;INDEX(E751:J751,MATCH(TRUE(),E751:J751&lt;&gt;"",0)),"↑",IF(LOOKUP(2,1/(E751:J751&lt;&gt;""),E751:J751)&gt;INDEX(E751:J751,MATCH(TRUE(),E751:J751&lt;&gt;"",0)),"↓","→")))</f>
        <v>-</v>
      </c>
    </row>
    <row r="752" customFormat="false" ht="25.5" hidden="false" customHeight="true" outlineLevel="0" collapsed="false">
      <c r="A752" s="58" t="n">
        <v>751</v>
      </c>
      <c r="B752" s="58" t="n">
        <v>9</v>
      </c>
      <c r="C752" s="39" t="s">
        <v>1773</v>
      </c>
      <c r="D752" s="39" t="s">
        <v>1774</v>
      </c>
      <c r="E752" s="58"/>
      <c r="F752" s="58"/>
      <c r="G752" s="58"/>
      <c r="H752" s="58"/>
      <c r="I752" s="58"/>
      <c r="J752" s="58"/>
      <c r="K752" s="40" t="n">
        <f aca="false">IFERROR(MIN(E752:J752),"")</f>
        <v>0</v>
      </c>
      <c r="L752" s="58" t="str">
        <f aca="false">IF(COUNT(E752:J752)&lt;2,"-",IF(LOOKUP(2,1/(E752:J752&lt;&gt;""),E752:J752)&lt;INDEX(E752:J752,MATCH(TRUE(),E752:J752&lt;&gt;"",0)),"↑",IF(LOOKUP(2,1/(E752:J752&lt;&gt;""),E752:J752)&gt;INDEX(E752:J752,MATCH(TRUE(),E752:J752&lt;&gt;"",0)),"↓","→")))</f>
        <v>-</v>
      </c>
    </row>
    <row r="753" customFormat="false" ht="25.5" hidden="false" customHeight="true" outlineLevel="0" collapsed="false">
      <c r="A753" s="58" t="n">
        <v>752</v>
      </c>
      <c r="B753" s="58" t="n">
        <v>9</v>
      </c>
      <c r="C753" s="41" t="s">
        <v>1775</v>
      </c>
      <c r="D753" s="41" t="s">
        <v>1776</v>
      </c>
      <c r="E753" s="58"/>
      <c r="F753" s="58"/>
      <c r="G753" s="58"/>
      <c r="H753" s="58"/>
      <c r="I753" s="58"/>
      <c r="J753" s="58"/>
      <c r="K753" s="40" t="n">
        <f aca="false">IFERROR(MIN(E753:J753),"")</f>
        <v>0</v>
      </c>
      <c r="L753" s="58" t="str">
        <f aca="false">IF(COUNT(E753:J753)&lt;2,"-",IF(LOOKUP(2,1/(E753:J753&lt;&gt;""),E753:J753)&lt;INDEX(E753:J753,MATCH(TRUE(),E753:J753&lt;&gt;"",0)),"↑",IF(LOOKUP(2,1/(E753:J753&lt;&gt;""),E753:J753)&gt;INDEX(E753:J753,MATCH(TRUE(),E753:J753&lt;&gt;"",0)),"↓","→")))</f>
        <v>-</v>
      </c>
    </row>
    <row r="754" customFormat="false" ht="25.5" hidden="false" customHeight="true" outlineLevel="0" collapsed="false">
      <c r="A754" s="58" t="n">
        <v>753</v>
      </c>
      <c r="B754" s="58" t="n">
        <v>9</v>
      </c>
      <c r="C754" s="39" t="s">
        <v>1777</v>
      </c>
      <c r="D754" s="39" t="s">
        <v>1778</v>
      </c>
      <c r="E754" s="58"/>
      <c r="F754" s="58"/>
      <c r="G754" s="58"/>
      <c r="H754" s="58"/>
      <c r="I754" s="58"/>
      <c r="J754" s="58"/>
      <c r="K754" s="40" t="n">
        <f aca="false">IFERROR(MIN(E754:J754),"")</f>
        <v>0</v>
      </c>
      <c r="L754" s="58" t="str">
        <f aca="false">IF(COUNT(E754:J754)&lt;2,"-",IF(LOOKUP(2,1/(E754:J754&lt;&gt;""),E754:J754)&lt;INDEX(E754:J754,MATCH(TRUE(),E754:J754&lt;&gt;"",0)),"↑",IF(LOOKUP(2,1/(E754:J754&lt;&gt;""),E754:J754)&gt;INDEX(E754:J754,MATCH(TRUE(),E754:J754&lt;&gt;"",0)),"↓","→")))</f>
        <v>-</v>
      </c>
    </row>
    <row r="755" customFormat="false" ht="25.5" hidden="false" customHeight="true" outlineLevel="0" collapsed="false">
      <c r="A755" s="58" t="n">
        <v>754</v>
      </c>
      <c r="B755" s="58" t="n">
        <v>9</v>
      </c>
      <c r="C755" s="41" t="s">
        <v>1779</v>
      </c>
      <c r="D755" s="41" t="s">
        <v>1780</v>
      </c>
      <c r="E755" s="58"/>
      <c r="F755" s="58"/>
      <c r="G755" s="58"/>
      <c r="H755" s="58"/>
      <c r="I755" s="58"/>
      <c r="J755" s="58"/>
      <c r="K755" s="40" t="n">
        <f aca="false">IFERROR(MIN(E755:J755),"")</f>
        <v>0</v>
      </c>
      <c r="L755" s="58" t="str">
        <f aca="false">IF(COUNT(E755:J755)&lt;2,"-",IF(LOOKUP(2,1/(E755:J755&lt;&gt;""),E755:J755)&lt;INDEX(E755:J755,MATCH(TRUE(),E755:J755&lt;&gt;"",0)),"↑",IF(LOOKUP(2,1/(E755:J755&lt;&gt;""),E755:J755)&gt;INDEX(E755:J755,MATCH(TRUE(),E755:J755&lt;&gt;"",0)),"↓","→")))</f>
        <v>-</v>
      </c>
    </row>
    <row r="756" customFormat="false" ht="25.5" hidden="false" customHeight="true" outlineLevel="0" collapsed="false">
      <c r="A756" s="58" t="n">
        <v>755</v>
      </c>
      <c r="B756" s="58" t="n">
        <v>9</v>
      </c>
      <c r="C756" s="39" t="s">
        <v>1781</v>
      </c>
      <c r="D756" s="39" t="s">
        <v>1782</v>
      </c>
      <c r="E756" s="58"/>
      <c r="F756" s="58"/>
      <c r="G756" s="58"/>
      <c r="H756" s="58"/>
      <c r="I756" s="58"/>
      <c r="J756" s="58"/>
      <c r="K756" s="40" t="n">
        <f aca="false">IFERROR(MIN(E756:J756),"")</f>
        <v>0</v>
      </c>
      <c r="L756" s="58" t="str">
        <f aca="false">IF(COUNT(E756:J756)&lt;2,"-",IF(LOOKUP(2,1/(E756:J756&lt;&gt;""),E756:J756)&lt;INDEX(E756:J756,MATCH(TRUE(),E756:J756&lt;&gt;"",0)),"↑",IF(LOOKUP(2,1/(E756:J756&lt;&gt;""),E756:J756)&gt;INDEX(E756:J756,MATCH(TRUE(),E756:J756&lt;&gt;"",0)),"↓","→")))</f>
        <v>-</v>
      </c>
    </row>
    <row r="757" customFormat="false" ht="25.5" hidden="false" customHeight="true" outlineLevel="0" collapsed="false">
      <c r="A757" s="58" t="n">
        <v>756</v>
      </c>
      <c r="B757" s="58" t="n">
        <v>9</v>
      </c>
      <c r="C757" s="41" t="s">
        <v>1783</v>
      </c>
      <c r="D757" s="41" t="s">
        <v>1784</v>
      </c>
      <c r="E757" s="58"/>
      <c r="F757" s="58"/>
      <c r="G757" s="58"/>
      <c r="H757" s="58"/>
      <c r="I757" s="58"/>
      <c r="J757" s="58"/>
      <c r="K757" s="40" t="n">
        <f aca="false">IFERROR(MIN(E757:J757),"")</f>
        <v>0</v>
      </c>
      <c r="L757" s="58" t="str">
        <f aca="false">IF(COUNT(E757:J757)&lt;2,"-",IF(LOOKUP(2,1/(E757:J757&lt;&gt;""),E757:J757)&lt;INDEX(E757:J757,MATCH(TRUE(),E757:J757&lt;&gt;"",0)),"↑",IF(LOOKUP(2,1/(E757:J757&lt;&gt;""),E757:J757)&gt;INDEX(E757:J757,MATCH(TRUE(),E757:J757&lt;&gt;"",0)),"↓","→")))</f>
        <v>-</v>
      </c>
    </row>
    <row r="758" customFormat="false" ht="25.5" hidden="false" customHeight="true" outlineLevel="0" collapsed="false">
      <c r="A758" s="58" t="n">
        <v>757</v>
      </c>
      <c r="B758" s="58" t="n">
        <v>9</v>
      </c>
      <c r="C758" s="39" t="s">
        <v>1785</v>
      </c>
      <c r="D758" s="39" t="s">
        <v>1786</v>
      </c>
      <c r="E758" s="58"/>
      <c r="F758" s="58"/>
      <c r="G758" s="58"/>
      <c r="H758" s="58"/>
      <c r="I758" s="58"/>
      <c r="J758" s="58"/>
      <c r="K758" s="40" t="n">
        <f aca="false">IFERROR(MIN(E758:J758),"")</f>
        <v>0</v>
      </c>
      <c r="L758" s="58" t="str">
        <f aca="false">IF(COUNT(E758:J758)&lt;2,"-",IF(LOOKUP(2,1/(E758:J758&lt;&gt;""),E758:J758)&lt;INDEX(E758:J758,MATCH(TRUE(),E758:J758&lt;&gt;"",0)),"↑",IF(LOOKUP(2,1/(E758:J758&lt;&gt;""),E758:J758)&gt;INDEX(E758:J758,MATCH(TRUE(),E758:J758&lt;&gt;"",0)),"↓","→")))</f>
        <v>-</v>
      </c>
    </row>
    <row r="759" customFormat="false" ht="25.5" hidden="false" customHeight="true" outlineLevel="0" collapsed="false">
      <c r="A759" s="58" t="n">
        <v>758</v>
      </c>
      <c r="B759" s="58" t="n">
        <v>9</v>
      </c>
      <c r="C759" s="41" t="s">
        <v>1787</v>
      </c>
      <c r="D759" s="41" t="s">
        <v>1788</v>
      </c>
      <c r="E759" s="58"/>
      <c r="F759" s="58"/>
      <c r="G759" s="58"/>
      <c r="H759" s="58"/>
      <c r="I759" s="58"/>
      <c r="J759" s="58"/>
      <c r="K759" s="40" t="n">
        <f aca="false">IFERROR(MIN(E759:J759),"")</f>
        <v>0</v>
      </c>
      <c r="L759" s="58" t="str">
        <f aca="false">IF(COUNT(E759:J759)&lt;2,"-",IF(LOOKUP(2,1/(E759:J759&lt;&gt;""),E759:J759)&lt;INDEX(E759:J759,MATCH(TRUE(),E759:J759&lt;&gt;"",0)),"↑",IF(LOOKUP(2,1/(E759:J759&lt;&gt;""),E759:J759)&gt;INDEX(E759:J759,MATCH(TRUE(),E759:J759&lt;&gt;"",0)),"↓","→")))</f>
        <v>-</v>
      </c>
    </row>
    <row r="760" customFormat="false" ht="25.5" hidden="false" customHeight="true" outlineLevel="0" collapsed="false">
      <c r="A760" s="58" t="n">
        <v>759</v>
      </c>
      <c r="B760" s="58" t="n">
        <v>9</v>
      </c>
      <c r="C760" s="39" t="s">
        <v>1789</v>
      </c>
      <c r="D760" s="39" t="s">
        <v>1790</v>
      </c>
      <c r="E760" s="58"/>
      <c r="F760" s="58"/>
      <c r="G760" s="58"/>
      <c r="H760" s="58"/>
      <c r="I760" s="58"/>
      <c r="J760" s="58"/>
      <c r="K760" s="40" t="n">
        <f aca="false">IFERROR(MIN(E760:J760),"")</f>
        <v>0</v>
      </c>
      <c r="L760" s="58" t="str">
        <f aca="false">IF(COUNT(E760:J760)&lt;2,"-",IF(LOOKUP(2,1/(E760:J760&lt;&gt;""),E760:J760)&lt;INDEX(E760:J760,MATCH(TRUE(),E760:J760&lt;&gt;"",0)),"↑",IF(LOOKUP(2,1/(E760:J760&lt;&gt;""),E760:J760)&gt;INDEX(E760:J760,MATCH(TRUE(),E760:J760&lt;&gt;"",0)),"↓","→")))</f>
        <v>-</v>
      </c>
    </row>
    <row r="761" customFormat="false" ht="25.5" hidden="false" customHeight="true" outlineLevel="0" collapsed="false">
      <c r="A761" s="58" t="n">
        <v>760</v>
      </c>
      <c r="B761" s="58" t="n">
        <v>9</v>
      </c>
      <c r="C761" s="41" t="s">
        <v>1791</v>
      </c>
      <c r="D761" s="41" t="s">
        <v>1792</v>
      </c>
      <c r="E761" s="58"/>
      <c r="F761" s="58"/>
      <c r="G761" s="58"/>
      <c r="H761" s="58"/>
      <c r="I761" s="58"/>
      <c r="J761" s="58"/>
      <c r="K761" s="40" t="n">
        <f aca="false">IFERROR(MIN(E761:J761),"")</f>
        <v>0</v>
      </c>
      <c r="L761" s="58" t="str">
        <f aca="false">IF(COUNT(E761:J761)&lt;2,"-",IF(LOOKUP(2,1/(E761:J761&lt;&gt;""),E761:J761)&lt;INDEX(E761:J761,MATCH(TRUE(),E761:J761&lt;&gt;"",0)),"↑",IF(LOOKUP(2,1/(E761:J761&lt;&gt;""),E761:J761)&gt;INDEX(E761:J761,MATCH(TRUE(),E761:J761&lt;&gt;"",0)),"↓","→")))</f>
        <v>-</v>
      </c>
    </row>
    <row r="762" customFormat="false" ht="25.5" hidden="false" customHeight="true" outlineLevel="0" collapsed="false">
      <c r="A762" s="59" t="n">
        <v>761</v>
      </c>
      <c r="B762" s="59" t="n">
        <v>10</v>
      </c>
      <c r="C762" s="43" t="s">
        <v>1793</v>
      </c>
      <c r="D762" s="43" t="s">
        <v>1796</v>
      </c>
      <c r="E762" s="59"/>
      <c r="F762" s="59"/>
      <c r="G762" s="59"/>
      <c r="H762" s="59"/>
      <c r="I762" s="59"/>
      <c r="J762" s="59"/>
      <c r="K762" s="44" t="n">
        <f aca="false">IFERROR(MIN(E762:J762),"")</f>
        <v>0</v>
      </c>
      <c r="L762" s="59" t="str">
        <f aca="false">IF(COUNT(E762:J762)&lt;2,"-",IF(LOOKUP(2,1/(E762:J762&lt;&gt;""),E762:J762)&lt;INDEX(E762:J762,MATCH(TRUE(),E762:J762&lt;&gt;"",0)),"↑",IF(LOOKUP(2,1/(E762:J762&lt;&gt;""),E762:J762)&gt;INDEX(E762:J762,MATCH(TRUE(),E762:J762&lt;&gt;"",0)),"↓","→")))</f>
        <v>-</v>
      </c>
    </row>
    <row r="763" customFormat="false" ht="25.5" hidden="false" customHeight="true" outlineLevel="0" collapsed="false">
      <c r="A763" s="59" t="n">
        <v>762</v>
      </c>
      <c r="B763" s="59" t="n">
        <v>10</v>
      </c>
      <c r="C763" s="45" t="s">
        <v>1797</v>
      </c>
      <c r="D763" s="45" t="s">
        <v>1798</v>
      </c>
      <c r="E763" s="59"/>
      <c r="F763" s="59"/>
      <c r="G763" s="59"/>
      <c r="H763" s="59"/>
      <c r="I763" s="59"/>
      <c r="J763" s="59"/>
      <c r="K763" s="44" t="n">
        <f aca="false">IFERROR(MIN(E763:J763),"")</f>
        <v>0</v>
      </c>
      <c r="L763" s="59" t="str">
        <f aca="false">IF(COUNT(E763:J763)&lt;2,"-",IF(LOOKUP(2,1/(E763:J763&lt;&gt;""),E763:J763)&lt;INDEX(E763:J763,MATCH(TRUE(),E763:J763&lt;&gt;"",0)),"↑",IF(LOOKUP(2,1/(E763:J763&lt;&gt;""),E763:J763)&gt;INDEX(E763:J763,MATCH(TRUE(),E763:J763&lt;&gt;"",0)),"↓","→")))</f>
        <v>-</v>
      </c>
    </row>
    <row r="764" customFormat="false" ht="25.5" hidden="false" customHeight="true" outlineLevel="0" collapsed="false">
      <c r="A764" s="59" t="n">
        <v>763</v>
      </c>
      <c r="B764" s="59" t="n">
        <v>10</v>
      </c>
      <c r="C764" s="43" t="s">
        <v>1799</v>
      </c>
      <c r="D764" s="43" t="s">
        <v>1800</v>
      </c>
      <c r="E764" s="59"/>
      <c r="F764" s="59"/>
      <c r="G764" s="59"/>
      <c r="H764" s="59"/>
      <c r="I764" s="59"/>
      <c r="J764" s="59"/>
      <c r="K764" s="44" t="n">
        <f aca="false">IFERROR(MIN(E764:J764),"")</f>
        <v>0</v>
      </c>
      <c r="L764" s="59" t="str">
        <f aca="false">IF(COUNT(E764:J764)&lt;2,"-",IF(LOOKUP(2,1/(E764:J764&lt;&gt;""),E764:J764)&lt;INDEX(E764:J764,MATCH(TRUE(),E764:J764&lt;&gt;"",0)),"↑",IF(LOOKUP(2,1/(E764:J764&lt;&gt;""),E764:J764)&gt;INDEX(E764:J764,MATCH(TRUE(),E764:J764&lt;&gt;"",0)),"↓","→")))</f>
        <v>-</v>
      </c>
    </row>
    <row r="765" customFormat="false" ht="25.5" hidden="false" customHeight="true" outlineLevel="0" collapsed="false">
      <c r="A765" s="59" t="n">
        <v>764</v>
      </c>
      <c r="B765" s="59" t="n">
        <v>10</v>
      </c>
      <c r="C765" s="45" t="s">
        <v>1801</v>
      </c>
      <c r="D765" s="45" t="s">
        <v>1802</v>
      </c>
      <c r="E765" s="59"/>
      <c r="F765" s="59"/>
      <c r="G765" s="59"/>
      <c r="H765" s="59"/>
      <c r="I765" s="59"/>
      <c r="J765" s="59"/>
      <c r="K765" s="44" t="n">
        <f aca="false">IFERROR(MIN(E765:J765),"")</f>
        <v>0</v>
      </c>
      <c r="L765" s="59" t="str">
        <f aca="false">IF(COUNT(E765:J765)&lt;2,"-",IF(LOOKUP(2,1/(E765:J765&lt;&gt;""),E765:J765)&lt;INDEX(E765:J765,MATCH(TRUE(),E765:J765&lt;&gt;"",0)),"↑",IF(LOOKUP(2,1/(E765:J765&lt;&gt;""),E765:J765)&gt;INDEX(E765:J765,MATCH(TRUE(),E765:J765&lt;&gt;"",0)),"↓","→")))</f>
        <v>-</v>
      </c>
    </row>
    <row r="766" customFormat="false" ht="25.5" hidden="false" customHeight="true" outlineLevel="0" collapsed="false">
      <c r="A766" s="59" t="n">
        <v>765</v>
      </c>
      <c r="B766" s="59" t="n">
        <v>10</v>
      </c>
      <c r="C766" s="43" t="s">
        <v>1803</v>
      </c>
      <c r="D766" s="43" t="s">
        <v>1804</v>
      </c>
      <c r="E766" s="59"/>
      <c r="F766" s="59"/>
      <c r="G766" s="59"/>
      <c r="H766" s="59"/>
      <c r="I766" s="59"/>
      <c r="J766" s="59"/>
      <c r="K766" s="44" t="n">
        <f aca="false">IFERROR(MIN(E766:J766),"")</f>
        <v>0</v>
      </c>
      <c r="L766" s="59" t="str">
        <f aca="false">IF(COUNT(E766:J766)&lt;2,"-",IF(LOOKUP(2,1/(E766:J766&lt;&gt;""),E766:J766)&lt;INDEX(E766:J766,MATCH(TRUE(),E766:J766&lt;&gt;"",0)),"↑",IF(LOOKUP(2,1/(E766:J766&lt;&gt;""),E766:J766)&gt;INDEX(E766:J766,MATCH(TRUE(),E766:J766&lt;&gt;"",0)),"↓","→")))</f>
        <v>-</v>
      </c>
    </row>
    <row r="767" customFormat="false" ht="25.5" hidden="false" customHeight="true" outlineLevel="0" collapsed="false">
      <c r="A767" s="59" t="n">
        <v>766</v>
      </c>
      <c r="B767" s="59" t="n">
        <v>10</v>
      </c>
      <c r="C767" s="45" t="s">
        <v>1805</v>
      </c>
      <c r="D767" s="45" t="s">
        <v>1806</v>
      </c>
      <c r="E767" s="59"/>
      <c r="F767" s="59"/>
      <c r="G767" s="59"/>
      <c r="H767" s="59"/>
      <c r="I767" s="59"/>
      <c r="J767" s="59"/>
      <c r="K767" s="44" t="n">
        <f aca="false">IFERROR(MIN(E767:J767),"")</f>
        <v>0</v>
      </c>
      <c r="L767" s="59" t="str">
        <f aca="false">IF(COUNT(E767:J767)&lt;2,"-",IF(LOOKUP(2,1/(E767:J767&lt;&gt;""),E767:J767)&lt;INDEX(E767:J767,MATCH(TRUE(),E767:J767&lt;&gt;"",0)),"↑",IF(LOOKUP(2,1/(E767:J767&lt;&gt;""),E767:J767)&gt;INDEX(E767:J767,MATCH(TRUE(),E767:J767&lt;&gt;"",0)),"↓","→")))</f>
        <v>-</v>
      </c>
    </row>
    <row r="768" customFormat="false" ht="25.5" hidden="false" customHeight="true" outlineLevel="0" collapsed="false">
      <c r="A768" s="59" t="n">
        <v>767</v>
      </c>
      <c r="B768" s="59" t="n">
        <v>10</v>
      </c>
      <c r="C768" s="43" t="s">
        <v>1807</v>
      </c>
      <c r="D768" s="43" t="s">
        <v>1808</v>
      </c>
      <c r="E768" s="59"/>
      <c r="F768" s="59"/>
      <c r="G768" s="59"/>
      <c r="H768" s="59"/>
      <c r="I768" s="59"/>
      <c r="J768" s="59"/>
      <c r="K768" s="44" t="n">
        <f aca="false">IFERROR(MIN(E768:J768),"")</f>
        <v>0</v>
      </c>
      <c r="L768" s="59" t="str">
        <f aca="false">IF(COUNT(E768:J768)&lt;2,"-",IF(LOOKUP(2,1/(E768:J768&lt;&gt;""),E768:J768)&lt;INDEX(E768:J768,MATCH(TRUE(),E768:J768&lt;&gt;"",0)),"↑",IF(LOOKUP(2,1/(E768:J768&lt;&gt;""),E768:J768)&gt;INDEX(E768:J768,MATCH(TRUE(),E768:J768&lt;&gt;"",0)),"↓","→")))</f>
        <v>-</v>
      </c>
    </row>
    <row r="769" customFormat="false" ht="25.5" hidden="false" customHeight="true" outlineLevel="0" collapsed="false">
      <c r="A769" s="59" t="n">
        <v>768</v>
      </c>
      <c r="B769" s="59" t="n">
        <v>10</v>
      </c>
      <c r="C769" s="45" t="s">
        <v>1809</v>
      </c>
      <c r="D769" s="45" t="s">
        <v>1810</v>
      </c>
      <c r="E769" s="59"/>
      <c r="F769" s="59"/>
      <c r="G769" s="59"/>
      <c r="H769" s="59"/>
      <c r="I769" s="59"/>
      <c r="J769" s="59"/>
      <c r="K769" s="44" t="n">
        <f aca="false">IFERROR(MIN(E769:J769),"")</f>
        <v>0</v>
      </c>
      <c r="L769" s="59" t="str">
        <f aca="false">IF(COUNT(E769:J769)&lt;2,"-",IF(LOOKUP(2,1/(E769:J769&lt;&gt;""),E769:J769)&lt;INDEX(E769:J769,MATCH(TRUE(),E769:J769&lt;&gt;"",0)),"↑",IF(LOOKUP(2,1/(E769:J769&lt;&gt;""),E769:J769)&gt;INDEX(E769:J769,MATCH(TRUE(),E769:J769&lt;&gt;"",0)),"↓","→")))</f>
        <v>-</v>
      </c>
    </row>
    <row r="770" customFormat="false" ht="25.5" hidden="false" customHeight="true" outlineLevel="0" collapsed="false">
      <c r="A770" s="59" t="n">
        <v>769</v>
      </c>
      <c r="B770" s="59" t="n">
        <v>10</v>
      </c>
      <c r="C770" s="43" t="s">
        <v>1811</v>
      </c>
      <c r="D770" s="43" t="s">
        <v>1812</v>
      </c>
      <c r="E770" s="59"/>
      <c r="F770" s="59"/>
      <c r="G770" s="59"/>
      <c r="H770" s="59"/>
      <c r="I770" s="59"/>
      <c r="J770" s="59"/>
      <c r="K770" s="44" t="n">
        <f aca="false">IFERROR(MIN(E770:J770),"")</f>
        <v>0</v>
      </c>
      <c r="L770" s="59" t="str">
        <f aca="false">IF(COUNT(E770:J770)&lt;2,"-",IF(LOOKUP(2,1/(E770:J770&lt;&gt;""),E770:J770)&lt;INDEX(E770:J770,MATCH(TRUE(),E770:J770&lt;&gt;"",0)),"↑",IF(LOOKUP(2,1/(E770:J770&lt;&gt;""),E770:J770)&gt;INDEX(E770:J770,MATCH(TRUE(),E770:J770&lt;&gt;"",0)),"↓","→")))</f>
        <v>-</v>
      </c>
    </row>
    <row r="771" customFormat="false" ht="25.5" hidden="false" customHeight="true" outlineLevel="0" collapsed="false">
      <c r="A771" s="59" t="n">
        <v>770</v>
      </c>
      <c r="B771" s="59" t="n">
        <v>10</v>
      </c>
      <c r="C771" s="45" t="s">
        <v>1813</v>
      </c>
      <c r="D771" s="45" t="s">
        <v>1814</v>
      </c>
      <c r="E771" s="59"/>
      <c r="F771" s="59"/>
      <c r="G771" s="59"/>
      <c r="H771" s="59"/>
      <c r="I771" s="59"/>
      <c r="J771" s="59"/>
      <c r="K771" s="44" t="n">
        <f aca="false">IFERROR(MIN(E771:J771),"")</f>
        <v>0</v>
      </c>
      <c r="L771" s="59" t="str">
        <f aca="false">IF(COUNT(E771:J771)&lt;2,"-",IF(LOOKUP(2,1/(E771:J771&lt;&gt;""),E771:J771)&lt;INDEX(E771:J771,MATCH(TRUE(),E771:J771&lt;&gt;"",0)),"↑",IF(LOOKUP(2,1/(E771:J771&lt;&gt;""),E771:J771)&gt;INDEX(E771:J771,MATCH(TRUE(),E771:J771&lt;&gt;"",0)),"↓","→")))</f>
        <v>-</v>
      </c>
    </row>
    <row r="772" customFormat="false" ht="25.5" hidden="false" customHeight="true" outlineLevel="0" collapsed="false">
      <c r="A772" s="59" t="n">
        <v>771</v>
      </c>
      <c r="B772" s="59" t="n">
        <v>10</v>
      </c>
      <c r="C772" s="43" t="s">
        <v>1815</v>
      </c>
      <c r="D772" s="43" t="s">
        <v>1816</v>
      </c>
      <c r="E772" s="59"/>
      <c r="F772" s="59"/>
      <c r="G772" s="59"/>
      <c r="H772" s="59"/>
      <c r="I772" s="59"/>
      <c r="J772" s="59"/>
      <c r="K772" s="44" t="n">
        <f aca="false">IFERROR(MIN(E772:J772),"")</f>
        <v>0</v>
      </c>
      <c r="L772" s="59" t="str">
        <f aca="false">IF(COUNT(E772:J772)&lt;2,"-",IF(LOOKUP(2,1/(E772:J772&lt;&gt;""),E772:J772)&lt;INDEX(E772:J772,MATCH(TRUE(),E772:J772&lt;&gt;"",0)),"↑",IF(LOOKUP(2,1/(E772:J772&lt;&gt;""),E772:J772)&gt;INDEX(E772:J772,MATCH(TRUE(),E772:J772&lt;&gt;"",0)),"↓","→")))</f>
        <v>-</v>
      </c>
    </row>
    <row r="773" customFormat="false" ht="25.5" hidden="false" customHeight="true" outlineLevel="0" collapsed="false">
      <c r="A773" s="59" t="n">
        <v>772</v>
      </c>
      <c r="B773" s="59" t="n">
        <v>10</v>
      </c>
      <c r="C773" s="45" t="s">
        <v>1817</v>
      </c>
      <c r="D773" s="45" t="s">
        <v>1818</v>
      </c>
      <c r="E773" s="59"/>
      <c r="F773" s="59"/>
      <c r="G773" s="59"/>
      <c r="H773" s="59"/>
      <c r="I773" s="59"/>
      <c r="J773" s="59"/>
      <c r="K773" s="44" t="n">
        <f aca="false">IFERROR(MIN(E773:J773),"")</f>
        <v>0</v>
      </c>
      <c r="L773" s="59" t="str">
        <f aca="false">IF(COUNT(E773:J773)&lt;2,"-",IF(LOOKUP(2,1/(E773:J773&lt;&gt;""),E773:J773)&lt;INDEX(E773:J773,MATCH(TRUE(),E773:J773&lt;&gt;"",0)),"↑",IF(LOOKUP(2,1/(E773:J773&lt;&gt;""),E773:J773)&gt;INDEX(E773:J773,MATCH(TRUE(),E773:J773&lt;&gt;"",0)),"↓","→")))</f>
        <v>-</v>
      </c>
    </row>
    <row r="774" customFormat="false" ht="25.5" hidden="false" customHeight="true" outlineLevel="0" collapsed="false">
      <c r="A774" s="59" t="n">
        <v>773</v>
      </c>
      <c r="B774" s="59" t="n">
        <v>10</v>
      </c>
      <c r="C774" s="43" t="s">
        <v>1819</v>
      </c>
      <c r="D774" s="43" t="s">
        <v>1820</v>
      </c>
      <c r="E774" s="59"/>
      <c r="F774" s="59"/>
      <c r="G774" s="59"/>
      <c r="H774" s="59"/>
      <c r="I774" s="59"/>
      <c r="J774" s="59"/>
      <c r="K774" s="44" t="n">
        <f aca="false">IFERROR(MIN(E774:J774),"")</f>
        <v>0</v>
      </c>
      <c r="L774" s="59" t="str">
        <f aca="false">IF(COUNT(E774:J774)&lt;2,"-",IF(LOOKUP(2,1/(E774:J774&lt;&gt;""),E774:J774)&lt;INDEX(E774:J774,MATCH(TRUE(),E774:J774&lt;&gt;"",0)),"↑",IF(LOOKUP(2,1/(E774:J774&lt;&gt;""),E774:J774)&gt;INDEX(E774:J774,MATCH(TRUE(),E774:J774&lt;&gt;"",0)),"↓","→")))</f>
        <v>-</v>
      </c>
    </row>
    <row r="775" customFormat="false" ht="25.5" hidden="false" customHeight="true" outlineLevel="0" collapsed="false">
      <c r="A775" s="59" t="n">
        <v>774</v>
      </c>
      <c r="B775" s="59" t="n">
        <v>10</v>
      </c>
      <c r="C775" s="45" t="s">
        <v>1821</v>
      </c>
      <c r="D775" s="45" t="s">
        <v>1822</v>
      </c>
      <c r="E775" s="59"/>
      <c r="F775" s="59"/>
      <c r="G775" s="59"/>
      <c r="H775" s="59"/>
      <c r="I775" s="59"/>
      <c r="J775" s="59"/>
      <c r="K775" s="44" t="n">
        <f aca="false">IFERROR(MIN(E775:J775),"")</f>
        <v>0</v>
      </c>
      <c r="L775" s="59" t="str">
        <f aca="false">IF(COUNT(E775:J775)&lt;2,"-",IF(LOOKUP(2,1/(E775:J775&lt;&gt;""),E775:J775)&lt;INDEX(E775:J775,MATCH(TRUE(),E775:J775&lt;&gt;"",0)),"↑",IF(LOOKUP(2,1/(E775:J775&lt;&gt;""),E775:J775)&gt;INDEX(E775:J775,MATCH(TRUE(),E775:J775&lt;&gt;"",0)),"↓","→")))</f>
        <v>-</v>
      </c>
    </row>
    <row r="776" customFormat="false" ht="25.5" hidden="false" customHeight="true" outlineLevel="0" collapsed="false">
      <c r="A776" s="59" t="n">
        <v>775</v>
      </c>
      <c r="B776" s="59" t="n">
        <v>10</v>
      </c>
      <c r="C776" s="43" t="s">
        <v>1823</v>
      </c>
      <c r="D776" s="43" t="s">
        <v>1824</v>
      </c>
      <c r="E776" s="59"/>
      <c r="F776" s="59"/>
      <c r="G776" s="59"/>
      <c r="H776" s="59"/>
      <c r="I776" s="59"/>
      <c r="J776" s="59"/>
      <c r="K776" s="44" t="n">
        <f aca="false">IFERROR(MIN(E776:J776),"")</f>
        <v>0</v>
      </c>
      <c r="L776" s="59" t="str">
        <f aca="false">IF(COUNT(E776:J776)&lt;2,"-",IF(LOOKUP(2,1/(E776:J776&lt;&gt;""),E776:J776)&lt;INDEX(E776:J776,MATCH(TRUE(),E776:J776&lt;&gt;"",0)),"↑",IF(LOOKUP(2,1/(E776:J776&lt;&gt;""),E776:J776)&gt;INDEX(E776:J776,MATCH(TRUE(),E776:J776&lt;&gt;"",0)),"↓","→")))</f>
        <v>-</v>
      </c>
    </row>
    <row r="777" customFormat="false" ht="25.5" hidden="false" customHeight="true" outlineLevel="0" collapsed="false">
      <c r="A777" s="59" t="n">
        <v>776</v>
      </c>
      <c r="B777" s="59" t="n">
        <v>10</v>
      </c>
      <c r="C777" s="45" t="s">
        <v>1825</v>
      </c>
      <c r="D777" s="45" t="s">
        <v>1826</v>
      </c>
      <c r="E777" s="59"/>
      <c r="F777" s="59"/>
      <c r="G777" s="59"/>
      <c r="H777" s="59"/>
      <c r="I777" s="59"/>
      <c r="J777" s="59"/>
      <c r="K777" s="44" t="n">
        <f aca="false">IFERROR(MIN(E777:J777),"")</f>
        <v>0</v>
      </c>
      <c r="L777" s="59" t="str">
        <f aca="false">IF(COUNT(E777:J777)&lt;2,"-",IF(LOOKUP(2,1/(E777:J777&lt;&gt;""),E777:J777)&lt;INDEX(E777:J777,MATCH(TRUE(),E777:J777&lt;&gt;"",0)),"↑",IF(LOOKUP(2,1/(E777:J777&lt;&gt;""),E777:J777)&gt;INDEX(E777:J777,MATCH(TRUE(),E777:J777&lt;&gt;"",0)),"↓","→")))</f>
        <v>-</v>
      </c>
    </row>
    <row r="778" customFormat="false" ht="25.5" hidden="false" customHeight="true" outlineLevel="0" collapsed="false">
      <c r="A778" s="59" t="n">
        <v>777</v>
      </c>
      <c r="B778" s="59" t="n">
        <v>10</v>
      </c>
      <c r="C778" s="43" t="s">
        <v>1827</v>
      </c>
      <c r="D778" s="43" t="s">
        <v>1828</v>
      </c>
      <c r="E778" s="59"/>
      <c r="F778" s="59"/>
      <c r="G778" s="59"/>
      <c r="H778" s="59"/>
      <c r="I778" s="59"/>
      <c r="J778" s="59"/>
      <c r="K778" s="44" t="n">
        <f aca="false">IFERROR(MIN(E778:J778),"")</f>
        <v>0</v>
      </c>
      <c r="L778" s="59" t="str">
        <f aca="false">IF(COUNT(E778:J778)&lt;2,"-",IF(LOOKUP(2,1/(E778:J778&lt;&gt;""),E778:J778)&lt;INDEX(E778:J778,MATCH(TRUE(),E778:J778&lt;&gt;"",0)),"↑",IF(LOOKUP(2,1/(E778:J778&lt;&gt;""),E778:J778)&gt;INDEX(E778:J778,MATCH(TRUE(),E778:J778&lt;&gt;"",0)),"↓","→")))</f>
        <v>-</v>
      </c>
    </row>
    <row r="779" customFormat="false" ht="25.5" hidden="false" customHeight="true" outlineLevel="0" collapsed="false">
      <c r="A779" s="59" t="n">
        <v>778</v>
      </c>
      <c r="B779" s="59" t="n">
        <v>10</v>
      </c>
      <c r="C779" s="45" t="s">
        <v>1829</v>
      </c>
      <c r="D779" s="45" t="s">
        <v>1830</v>
      </c>
      <c r="E779" s="59"/>
      <c r="F779" s="59"/>
      <c r="G779" s="59"/>
      <c r="H779" s="59"/>
      <c r="I779" s="59"/>
      <c r="J779" s="59"/>
      <c r="K779" s="44" t="n">
        <f aca="false">IFERROR(MIN(E779:J779),"")</f>
        <v>0</v>
      </c>
      <c r="L779" s="59" t="str">
        <f aca="false">IF(COUNT(E779:J779)&lt;2,"-",IF(LOOKUP(2,1/(E779:J779&lt;&gt;""),E779:J779)&lt;INDEX(E779:J779,MATCH(TRUE(),E779:J779&lt;&gt;"",0)),"↑",IF(LOOKUP(2,1/(E779:J779&lt;&gt;""),E779:J779)&gt;INDEX(E779:J779,MATCH(TRUE(),E779:J779&lt;&gt;"",0)),"↓","→")))</f>
        <v>-</v>
      </c>
    </row>
    <row r="780" customFormat="false" ht="25.5" hidden="false" customHeight="true" outlineLevel="0" collapsed="false">
      <c r="A780" s="59" t="n">
        <v>779</v>
      </c>
      <c r="B780" s="59" t="n">
        <v>10</v>
      </c>
      <c r="C780" s="43" t="s">
        <v>1831</v>
      </c>
      <c r="D780" s="43" t="s">
        <v>1832</v>
      </c>
      <c r="E780" s="59"/>
      <c r="F780" s="59"/>
      <c r="G780" s="59"/>
      <c r="H780" s="59"/>
      <c r="I780" s="59"/>
      <c r="J780" s="59"/>
      <c r="K780" s="44" t="n">
        <f aca="false">IFERROR(MIN(E780:J780),"")</f>
        <v>0</v>
      </c>
      <c r="L780" s="59" t="str">
        <f aca="false">IF(COUNT(E780:J780)&lt;2,"-",IF(LOOKUP(2,1/(E780:J780&lt;&gt;""),E780:J780)&lt;INDEX(E780:J780,MATCH(TRUE(),E780:J780&lt;&gt;"",0)),"↑",IF(LOOKUP(2,1/(E780:J780&lt;&gt;""),E780:J780)&gt;INDEX(E780:J780,MATCH(TRUE(),E780:J780&lt;&gt;"",0)),"↓","→")))</f>
        <v>-</v>
      </c>
    </row>
    <row r="781" customFormat="false" ht="25.5" hidden="false" customHeight="true" outlineLevel="0" collapsed="false">
      <c r="A781" s="59" t="n">
        <v>780</v>
      </c>
      <c r="B781" s="59" t="n">
        <v>10</v>
      </c>
      <c r="C781" s="45" t="s">
        <v>1833</v>
      </c>
      <c r="D781" s="45" t="s">
        <v>1834</v>
      </c>
      <c r="E781" s="59"/>
      <c r="F781" s="59"/>
      <c r="G781" s="59"/>
      <c r="H781" s="59"/>
      <c r="I781" s="59"/>
      <c r="J781" s="59"/>
      <c r="K781" s="44" t="n">
        <f aca="false">IFERROR(MIN(E781:J781),"")</f>
        <v>0</v>
      </c>
      <c r="L781" s="59" t="str">
        <f aca="false">IF(COUNT(E781:J781)&lt;2,"-",IF(LOOKUP(2,1/(E781:J781&lt;&gt;""),E781:J781)&lt;INDEX(E781:J781,MATCH(TRUE(),E781:J781&lt;&gt;"",0)),"↑",IF(LOOKUP(2,1/(E781:J781&lt;&gt;""),E781:J781)&gt;INDEX(E781:J781,MATCH(TRUE(),E781:J781&lt;&gt;"",0)),"↓","→")))</f>
        <v>-</v>
      </c>
    </row>
    <row r="782" customFormat="false" ht="25.5" hidden="false" customHeight="true" outlineLevel="0" collapsed="false">
      <c r="A782" s="59" t="n">
        <v>781</v>
      </c>
      <c r="B782" s="59" t="n">
        <v>10</v>
      </c>
      <c r="C782" s="43" t="s">
        <v>1835</v>
      </c>
      <c r="D782" s="43" t="s">
        <v>1836</v>
      </c>
      <c r="E782" s="59"/>
      <c r="F782" s="59"/>
      <c r="G782" s="59"/>
      <c r="H782" s="59"/>
      <c r="I782" s="59"/>
      <c r="J782" s="59"/>
      <c r="K782" s="44" t="n">
        <f aca="false">IFERROR(MIN(E782:J782),"")</f>
        <v>0</v>
      </c>
      <c r="L782" s="59" t="str">
        <f aca="false">IF(COUNT(E782:J782)&lt;2,"-",IF(LOOKUP(2,1/(E782:J782&lt;&gt;""),E782:J782)&lt;INDEX(E782:J782,MATCH(TRUE(),E782:J782&lt;&gt;"",0)),"↑",IF(LOOKUP(2,1/(E782:J782&lt;&gt;""),E782:J782)&gt;INDEX(E782:J782,MATCH(TRUE(),E782:J782&lt;&gt;"",0)),"↓","→")))</f>
        <v>-</v>
      </c>
    </row>
    <row r="783" customFormat="false" ht="25.5" hidden="false" customHeight="true" outlineLevel="0" collapsed="false">
      <c r="A783" s="59" t="n">
        <v>782</v>
      </c>
      <c r="B783" s="59" t="n">
        <v>10</v>
      </c>
      <c r="C783" s="45" t="s">
        <v>1837</v>
      </c>
      <c r="D783" s="45" t="s">
        <v>1838</v>
      </c>
      <c r="E783" s="59"/>
      <c r="F783" s="59"/>
      <c r="G783" s="59"/>
      <c r="H783" s="59"/>
      <c r="I783" s="59"/>
      <c r="J783" s="59"/>
      <c r="K783" s="44" t="n">
        <f aca="false">IFERROR(MIN(E783:J783),"")</f>
        <v>0</v>
      </c>
      <c r="L783" s="59" t="str">
        <f aca="false">IF(COUNT(E783:J783)&lt;2,"-",IF(LOOKUP(2,1/(E783:J783&lt;&gt;""),E783:J783)&lt;INDEX(E783:J783,MATCH(TRUE(),E783:J783&lt;&gt;"",0)),"↑",IF(LOOKUP(2,1/(E783:J783&lt;&gt;""),E783:J783)&gt;INDEX(E783:J783,MATCH(TRUE(),E783:J783&lt;&gt;"",0)),"↓","→")))</f>
        <v>-</v>
      </c>
    </row>
    <row r="784" customFormat="false" ht="25.5" hidden="false" customHeight="true" outlineLevel="0" collapsed="false">
      <c r="A784" s="59" t="n">
        <v>783</v>
      </c>
      <c r="B784" s="59" t="n">
        <v>10</v>
      </c>
      <c r="C784" s="43" t="s">
        <v>1839</v>
      </c>
      <c r="D784" s="43" t="s">
        <v>1840</v>
      </c>
      <c r="E784" s="59"/>
      <c r="F784" s="59"/>
      <c r="G784" s="59"/>
      <c r="H784" s="59"/>
      <c r="I784" s="59"/>
      <c r="J784" s="59"/>
      <c r="K784" s="44" t="n">
        <f aca="false">IFERROR(MIN(E784:J784),"")</f>
        <v>0</v>
      </c>
      <c r="L784" s="59" t="str">
        <f aca="false">IF(COUNT(E784:J784)&lt;2,"-",IF(LOOKUP(2,1/(E784:J784&lt;&gt;""),E784:J784)&lt;INDEX(E784:J784,MATCH(TRUE(),E784:J784&lt;&gt;"",0)),"↑",IF(LOOKUP(2,1/(E784:J784&lt;&gt;""),E784:J784)&gt;INDEX(E784:J784,MATCH(TRUE(),E784:J784&lt;&gt;"",0)),"↓","→")))</f>
        <v>-</v>
      </c>
    </row>
    <row r="785" customFormat="false" ht="25.5" hidden="false" customHeight="true" outlineLevel="0" collapsed="false">
      <c r="A785" s="59" t="n">
        <v>784</v>
      </c>
      <c r="B785" s="59" t="n">
        <v>10</v>
      </c>
      <c r="C785" s="45" t="s">
        <v>1841</v>
      </c>
      <c r="D785" s="45" t="s">
        <v>1842</v>
      </c>
      <c r="E785" s="59"/>
      <c r="F785" s="59"/>
      <c r="G785" s="59"/>
      <c r="H785" s="59"/>
      <c r="I785" s="59"/>
      <c r="J785" s="59"/>
      <c r="K785" s="44" t="n">
        <f aca="false">IFERROR(MIN(E785:J785),"")</f>
        <v>0</v>
      </c>
      <c r="L785" s="59" t="str">
        <f aca="false">IF(COUNT(E785:J785)&lt;2,"-",IF(LOOKUP(2,1/(E785:J785&lt;&gt;""),E785:J785)&lt;INDEX(E785:J785,MATCH(TRUE(),E785:J785&lt;&gt;"",0)),"↑",IF(LOOKUP(2,1/(E785:J785&lt;&gt;""),E785:J785)&gt;INDEX(E785:J785,MATCH(TRUE(),E785:J785&lt;&gt;"",0)),"↓","→")))</f>
        <v>-</v>
      </c>
    </row>
    <row r="786" customFormat="false" ht="25.5" hidden="false" customHeight="true" outlineLevel="0" collapsed="false">
      <c r="A786" s="59" t="n">
        <v>785</v>
      </c>
      <c r="B786" s="59" t="n">
        <v>10</v>
      </c>
      <c r="C786" s="43" t="s">
        <v>1843</v>
      </c>
      <c r="D786" s="43" t="s">
        <v>1844</v>
      </c>
      <c r="E786" s="59"/>
      <c r="F786" s="59"/>
      <c r="G786" s="59"/>
      <c r="H786" s="59"/>
      <c r="I786" s="59"/>
      <c r="J786" s="59"/>
      <c r="K786" s="44" t="n">
        <f aca="false">IFERROR(MIN(E786:J786),"")</f>
        <v>0</v>
      </c>
      <c r="L786" s="59" t="str">
        <f aca="false">IF(COUNT(E786:J786)&lt;2,"-",IF(LOOKUP(2,1/(E786:J786&lt;&gt;""),E786:J786)&lt;INDEX(E786:J786,MATCH(TRUE(),E786:J786&lt;&gt;"",0)),"↑",IF(LOOKUP(2,1/(E786:J786&lt;&gt;""),E786:J786)&gt;INDEX(E786:J786,MATCH(TRUE(),E786:J786&lt;&gt;"",0)),"↓","→")))</f>
        <v>-</v>
      </c>
    </row>
    <row r="787" customFormat="false" ht="25.5" hidden="false" customHeight="true" outlineLevel="0" collapsed="false">
      <c r="A787" s="59" t="n">
        <v>786</v>
      </c>
      <c r="B787" s="59" t="n">
        <v>10</v>
      </c>
      <c r="C787" s="45" t="s">
        <v>1845</v>
      </c>
      <c r="D787" s="45" t="s">
        <v>1846</v>
      </c>
      <c r="E787" s="59"/>
      <c r="F787" s="59"/>
      <c r="G787" s="59"/>
      <c r="H787" s="59"/>
      <c r="I787" s="59"/>
      <c r="J787" s="59"/>
      <c r="K787" s="44" t="n">
        <f aca="false">IFERROR(MIN(E787:J787),"")</f>
        <v>0</v>
      </c>
      <c r="L787" s="59" t="str">
        <f aca="false">IF(COUNT(E787:J787)&lt;2,"-",IF(LOOKUP(2,1/(E787:J787&lt;&gt;""),E787:J787)&lt;INDEX(E787:J787,MATCH(TRUE(),E787:J787&lt;&gt;"",0)),"↑",IF(LOOKUP(2,1/(E787:J787&lt;&gt;""),E787:J787)&gt;INDEX(E787:J787,MATCH(TRUE(),E787:J787&lt;&gt;"",0)),"↓","→")))</f>
        <v>-</v>
      </c>
    </row>
    <row r="788" customFormat="false" ht="25.5" hidden="false" customHeight="true" outlineLevel="0" collapsed="false">
      <c r="A788" s="59" t="n">
        <v>787</v>
      </c>
      <c r="B788" s="59" t="n">
        <v>10</v>
      </c>
      <c r="C788" s="43" t="s">
        <v>1847</v>
      </c>
      <c r="D788" s="43" t="s">
        <v>1848</v>
      </c>
      <c r="E788" s="59"/>
      <c r="F788" s="59"/>
      <c r="G788" s="59"/>
      <c r="H788" s="59"/>
      <c r="I788" s="59"/>
      <c r="J788" s="59"/>
      <c r="K788" s="44" t="n">
        <f aca="false">IFERROR(MIN(E788:J788),"")</f>
        <v>0</v>
      </c>
      <c r="L788" s="59" t="str">
        <f aca="false">IF(COUNT(E788:J788)&lt;2,"-",IF(LOOKUP(2,1/(E788:J788&lt;&gt;""),E788:J788)&lt;INDEX(E788:J788,MATCH(TRUE(),E788:J788&lt;&gt;"",0)),"↑",IF(LOOKUP(2,1/(E788:J788&lt;&gt;""),E788:J788)&gt;INDEX(E788:J788,MATCH(TRUE(),E788:J788&lt;&gt;"",0)),"↓","→")))</f>
        <v>-</v>
      </c>
    </row>
    <row r="789" customFormat="false" ht="25.5" hidden="false" customHeight="true" outlineLevel="0" collapsed="false">
      <c r="A789" s="59" t="n">
        <v>788</v>
      </c>
      <c r="B789" s="59" t="n">
        <v>10</v>
      </c>
      <c r="C789" s="45" t="s">
        <v>1849</v>
      </c>
      <c r="D789" s="45" t="s">
        <v>1850</v>
      </c>
      <c r="E789" s="59"/>
      <c r="F789" s="59"/>
      <c r="G789" s="59"/>
      <c r="H789" s="59"/>
      <c r="I789" s="59"/>
      <c r="J789" s="59"/>
      <c r="K789" s="44" t="n">
        <f aca="false">IFERROR(MIN(E789:J789),"")</f>
        <v>0</v>
      </c>
      <c r="L789" s="59" t="str">
        <f aca="false">IF(COUNT(E789:J789)&lt;2,"-",IF(LOOKUP(2,1/(E789:J789&lt;&gt;""),E789:J789)&lt;INDEX(E789:J789,MATCH(TRUE(),E789:J789&lt;&gt;"",0)),"↑",IF(LOOKUP(2,1/(E789:J789&lt;&gt;""),E789:J789)&gt;INDEX(E789:J789,MATCH(TRUE(),E789:J789&lt;&gt;"",0)),"↓","→")))</f>
        <v>-</v>
      </c>
    </row>
    <row r="790" customFormat="false" ht="25.5" hidden="false" customHeight="true" outlineLevel="0" collapsed="false">
      <c r="A790" s="59" t="n">
        <v>789</v>
      </c>
      <c r="B790" s="59" t="n">
        <v>10</v>
      </c>
      <c r="C790" s="43" t="s">
        <v>1851</v>
      </c>
      <c r="D790" s="43" t="s">
        <v>1852</v>
      </c>
      <c r="E790" s="59"/>
      <c r="F790" s="59"/>
      <c r="G790" s="59"/>
      <c r="H790" s="59"/>
      <c r="I790" s="59"/>
      <c r="J790" s="59"/>
      <c r="K790" s="44" t="n">
        <f aca="false">IFERROR(MIN(E790:J790),"")</f>
        <v>0</v>
      </c>
      <c r="L790" s="59" t="str">
        <f aca="false">IF(COUNT(E790:J790)&lt;2,"-",IF(LOOKUP(2,1/(E790:J790&lt;&gt;""),E790:J790)&lt;INDEX(E790:J790,MATCH(TRUE(),E790:J790&lt;&gt;"",0)),"↑",IF(LOOKUP(2,1/(E790:J790&lt;&gt;""),E790:J790)&gt;INDEX(E790:J790,MATCH(TRUE(),E790:J790&lt;&gt;"",0)),"↓","→")))</f>
        <v>-</v>
      </c>
    </row>
    <row r="791" customFormat="false" ht="25.5" hidden="false" customHeight="true" outlineLevel="0" collapsed="false">
      <c r="A791" s="59" t="n">
        <v>790</v>
      </c>
      <c r="B791" s="59" t="n">
        <v>10</v>
      </c>
      <c r="C791" s="45" t="s">
        <v>1853</v>
      </c>
      <c r="D791" s="45" t="s">
        <v>1854</v>
      </c>
      <c r="E791" s="59"/>
      <c r="F791" s="59"/>
      <c r="G791" s="59"/>
      <c r="H791" s="59"/>
      <c r="I791" s="59"/>
      <c r="J791" s="59"/>
      <c r="K791" s="44" t="n">
        <f aca="false">IFERROR(MIN(E791:J791),"")</f>
        <v>0</v>
      </c>
      <c r="L791" s="59" t="str">
        <f aca="false">IF(COUNT(E791:J791)&lt;2,"-",IF(LOOKUP(2,1/(E791:J791&lt;&gt;""),E791:J791)&lt;INDEX(E791:J791,MATCH(TRUE(),E791:J791&lt;&gt;"",0)),"↑",IF(LOOKUP(2,1/(E791:J791&lt;&gt;""),E791:J791)&gt;INDEX(E791:J791,MATCH(TRUE(),E791:J791&lt;&gt;"",0)),"↓","→")))</f>
        <v>-</v>
      </c>
    </row>
    <row r="792" customFormat="false" ht="25.5" hidden="false" customHeight="true" outlineLevel="0" collapsed="false">
      <c r="A792" s="59" t="n">
        <v>791</v>
      </c>
      <c r="B792" s="59" t="n">
        <v>10</v>
      </c>
      <c r="C792" s="43" t="s">
        <v>1855</v>
      </c>
      <c r="D792" s="43" t="s">
        <v>1856</v>
      </c>
      <c r="E792" s="59"/>
      <c r="F792" s="59"/>
      <c r="G792" s="59"/>
      <c r="H792" s="59"/>
      <c r="I792" s="59"/>
      <c r="J792" s="59"/>
      <c r="K792" s="44" t="n">
        <f aca="false">IFERROR(MIN(E792:J792),"")</f>
        <v>0</v>
      </c>
      <c r="L792" s="59" t="str">
        <f aca="false">IF(COUNT(E792:J792)&lt;2,"-",IF(LOOKUP(2,1/(E792:J792&lt;&gt;""),E792:J792)&lt;INDEX(E792:J792,MATCH(TRUE(),E792:J792&lt;&gt;"",0)),"↑",IF(LOOKUP(2,1/(E792:J792&lt;&gt;""),E792:J792)&gt;INDEX(E792:J792,MATCH(TRUE(),E792:J792&lt;&gt;"",0)),"↓","→")))</f>
        <v>-</v>
      </c>
    </row>
    <row r="793" customFormat="false" ht="25.5" hidden="false" customHeight="true" outlineLevel="0" collapsed="false">
      <c r="A793" s="59" t="n">
        <v>792</v>
      </c>
      <c r="B793" s="59" t="n">
        <v>10</v>
      </c>
      <c r="C793" s="45" t="s">
        <v>1857</v>
      </c>
      <c r="D793" s="45" t="s">
        <v>1858</v>
      </c>
      <c r="E793" s="59"/>
      <c r="F793" s="59"/>
      <c r="G793" s="59"/>
      <c r="H793" s="59"/>
      <c r="I793" s="59"/>
      <c r="J793" s="59"/>
      <c r="K793" s="44" t="n">
        <f aca="false">IFERROR(MIN(E793:J793),"")</f>
        <v>0</v>
      </c>
      <c r="L793" s="59" t="str">
        <f aca="false">IF(COUNT(E793:J793)&lt;2,"-",IF(LOOKUP(2,1/(E793:J793&lt;&gt;""),E793:J793)&lt;INDEX(E793:J793,MATCH(TRUE(),E793:J793&lt;&gt;"",0)),"↑",IF(LOOKUP(2,1/(E793:J793&lt;&gt;""),E793:J793)&gt;INDEX(E793:J793,MATCH(TRUE(),E793:J793&lt;&gt;"",0)),"↓","→")))</f>
        <v>-</v>
      </c>
    </row>
  </sheetData>
  <conditionalFormatting sqref="E2:E793">
    <cfRule type="colorScale" priority="2">
      <colorScale>
        <cfvo type="num" val="1"/>
        <cfvo type="num" val="10"/>
        <cfvo type="num" val="100"/>
        <color rgb="FF86EFAC"/>
        <color rgb="FFFEF3C7"/>
        <color rgb="FFFEE2E2"/>
      </colorScale>
    </cfRule>
  </conditionalFormatting>
  <conditionalFormatting sqref="F2:F793">
    <cfRule type="colorScale" priority="3">
      <colorScale>
        <cfvo type="num" val="1"/>
        <cfvo type="num" val="10"/>
        <cfvo type="num" val="100"/>
        <color rgb="FF86EFAC"/>
        <color rgb="FFFEF3C7"/>
        <color rgb="FFFEE2E2"/>
      </colorScale>
    </cfRule>
  </conditionalFormatting>
  <conditionalFormatting sqref="G2:G793">
    <cfRule type="colorScale" priority="4">
      <colorScale>
        <cfvo type="num" val="1"/>
        <cfvo type="num" val="10"/>
        <cfvo type="num" val="100"/>
        <color rgb="FF86EFAC"/>
        <color rgb="FFFEF3C7"/>
        <color rgb="FFFEE2E2"/>
      </colorScale>
    </cfRule>
  </conditionalFormatting>
  <conditionalFormatting sqref="H2:H793">
    <cfRule type="colorScale" priority="5">
      <colorScale>
        <cfvo type="num" val="1"/>
        <cfvo type="num" val="10"/>
        <cfvo type="num" val="100"/>
        <color rgb="FF86EFAC"/>
        <color rgb="FFFEF3C7"/>
        <color rgb="FFFEE2E2"/>
      </colorScale>
    </cfRule>
  </conditionalFormatting>
  <conditionalFormatting sqref="I2:I793">
    <cfRule type="colorScale" priority="6">
      <colorScale>
        <cfvo type="num" val="1"/>
        <cfvo type="num" val="10"/>
        <cfvo type="num" val="100"/>
        <color rgb="FF86EFAC"/>
        <color rgb="FFFEF3C7"/>
        <color rgb="FFFEE2E2"/>
      </colorScale>
    </cfRule>
  </conditionalFormatting>
  <conditionalFormatting sqref="J2:J793">
    <cfRule type="colorScale" priority="7">
      <colorScale>
        <cfvo type="num" val="1"/>
        <cfvo type="num" val="10"/>
        <cfvo type="num" val="100"/>
        <color rgb="FF86EFAC"/>
        <color rgb="FFFEF3C7"/>
        <color rgb="FFFEE2E2"/>
      </colorScale>
    </cfRule>
  </conditionalFormatting>
  <conditionalFormatting sqref="K2:K793">
    <cfRule type="colorScale" priority="8">
      <colorScale>
        <cfvo type="num" val="1"/>
        <cfvo type="num" val="10"/>
        <cfvo type="num" val="100"/>
        <color rgb="FF86EFAC"/>
        <color rgb="FFFEF3C7"/>
        <color rgb="FFFEE2E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32"/>
  </cols>
  <sheetData>
    <row r="1" customFormat="false" ht="36" hidden="false" customHeight="true" outlineLevel="0" collapsed="false">
      <c r="A1" s="60" t="s">
        <v>2377</v>
      </c>
      <c r="B1" s="60"/>
      <c r="C1" s="60"/>
      <c r="D1" s="60"/>
    </row>
    <row r="2" customFormat="false" ht="21.75" hidden="false" customHeight="true" outlineLevel="0" collapsed="false">
      <c r="A2" s="61"/>
      <c r="B2" s="62"/>
      <c r="C2" s="63"/>
      <c r="D2" s="64"/>
    </row>
    <row r="3" customFormat="false" ht="21.75" hidden="false" customHeight="true" outlineLevel="0" collapsed="false">
      <c r="A3" s="61" t="s">
        <v>2378</v>
      </c>
      <c r="B3" s="65" t="s">
        <v>2379</v>
      </c>
      <c r="C3" s="63" t="s">
        <v>2380</v>
      </c>
      <c r="D3" s="64" t="s">
        <v>2381</v>
      </c>
    </row>
    <row r="4" customFormat="false" ht="21.75" hidden="false" customHeight="true" outlineLevel="0" collapsed="false">
      <c r="A4" s="66" t="s">
        <v>1</v>
      </c>
      <c r="B4" s="67" t="s">
        <v>2382</v>
      </c>
      <c r="C4" s="68"/>
      <c r="D4" s="69"/>
    </row>
    <row r="5" customFormat="false" ht="21.75" hidden="false" customHeight="true" outlineLevel="0" collapsed="false">
      <c r="A5" s="61"/>
      <c r="B5" s="62" t="s">
        <v>2383</v>
      </c>
      <c r="C5" s="63" t="n">
        <f aca="false">COUNTA(۰۱_Master!D2:D793)</f>
        <v>792</v>
      </c>
      <c r="D5" s="64" t="s">
        <v>2384</v>
      </c>
    </row>
    <row r="6" customFormat="false" ht="21.75" hidden="false" customHeight="true" outlineLevel="0" collapsed="false">
      <c r="A6" s="61"/>
      <c r="B6" s="62" t="s">
        <v>2385</v>
      </c>
      <c r="C6" s="63" t="n">
        <f aca="false">COUNTIF(۰۱_Master!C2:C793,"EN")</f>
        <v>396</v>
      </c>
      <c r="D6" s="64" t="s">
        <v>2386</v>
      </c>
    </row>
    <row r="7" customFormat="false" ht="21.75" hidden="false" customHeight="true" outlineLevel="0" collapsed="false">
      <c r="A7" s="61"/>
      <c r="B7" s="62" t="s">
        <v>2387</v>
      </c>
      <c r="C7" s="63" t="n">
        <f aca="false">COUNTIF(۰۱_Master!C2:C793,"AR")</f>
        <v>396</v>
      </c>
      <c r="D7" s="64" t="s">
        <v>2388</v>
      </c>
    </row>
    <row r="8" customFormat="false" ht="21.75" hidden="false" customHeight="true" outlineLevel="0" collapsed="false">
      <c r="A8" s="61"/>
      <c r="B8" s="62"/>
      <c r="C8" s="63"/>
      <c r="D8" s="64"/>
    </row>
    <row r="9" customFormat="false" ht="21.75" hidden="false" customHeight="true" outlineLevel="0" collapsed="false">
      <c r="A9" s="66" t="s">
        <v>68</v>
      </c>
      <c r="B9" s="67" t="s">
        <v>2389</v>
      </c>
      <c r="C9" s="68"/>
      <c r="D9" s="69"/>
    </row>
    <row r="10" customFormat="false" ht="21.75" hidden="false" customHeight="true" outlineLevel="0" collapsed="false">
      <c r="A10" s="61"/>
      <c r="B10" s="62" t="s">
        <v>2390</v>
      </c>
      <c r="C10" s="63" t="n">
        <f aca="false">COUNTIF(۰۱_Master!B2:B793,1)</f>
        <v>140</v>
      </c>
      <c r="D10" s="64" t="s">
        <v>2391</v>
      </c>
    </row>
    <row r="11" customFormat="false" ht="21.75" hidden="false" customHeight="true" outlineLevel="0" collapsed="false">
      <c r="A11" s="61"/>
      <c r="B11" s="62" t="s">
        <v>2392</v>
      </c>
      <c r="C11" s="63" t="n">
        <f aca="false">COUNTIF(۰۱_Master!B2:B793,2)</f>
        <v>240</v>
      </c>
      <c r="D11" s="64" t="s">
        <v>2393</v>
      </c>
    </row>
    <row r="12" customFormat="false" ht="21.75" hidden="false" customHeight="true" outlineLevel="0" collapsed="false">
      <c r="A12" s="61"/>
      <c r="B12" s="62" t="s">
        <v>2394</v>
      </c>
      <c r="C12" s="63" t="n">
        <f aca="false">COUNTIF(۰۱_Master!B2:B793,3)</f>
        <v>52</v>
      </c>
      <c r="D12" s="64" t="s">
        <v>2395</v>
      </c>
    </row>
    <row r="13" customFormat="false" ht="21.75" hidden="false" customHeight="true" outlineLevel="0" collapsed="false">
      <c r="A13" s="61"/>
      <c r="B13" s="62" t="s">
        <v>2396</v>
      </c>
      <c r="C13" s="63" t="n">
        <f aca="false">COUNTIF(۰۱_Master!B2:B793,4)</f>
        <v>96</v>
      </c>
      <c r="D13" s="64" t="s">
        <v>2397</v>
      </c>
    </row>
    <row r="14" customFormat="false" ht="21.75" hidden="false" customHeight="true" outlineLevel="0" collapsed="false">
      <c r="A14" s="61"/>
      <c r="B14" s="62" t="s">
        <v>2398</v>
      </c>
      <c r="C14" s="63" t="n">
        <f aca="false">COUNTIF(۰۱_Master!B2:B793,5)</f>
        <v>84</v>
      </c>
      <c r="D14" s="64" t="s">
        <v>2399</v>
      </c>
    </row>
    <row r="15" customFormat="false" ht="21.75" hidden="false" customHeight="true" outlineLevel="0" collapsed="false">
      <c r="A15" s="61"/>
      <c r="B15" s="62" t="s">
        <v>2400</v>
      </c>
      <c r="C15" s="63" t="n">
        <f aca="false">COUNTIF(۰۱_Master!B2:B793,6)</f>
        <v>44</v>
      </c>
      <c r="D15" s="64" t="s">
        <v>2401</v>
      </c>
    </row>
    <row r="16" customFormat="false" ht="21.75" hidden="false" customHeight="true" outlineLevel="0" collapsed="false">
      <c r="A16" s="61"/>
      <c r="B16" s="62" t="s">
        <v>2402</v>
      </c>
      <c r="C16" s="63" t="n">
        <f aca="false">COUNTIF(۰۱_Master!B2:B793,7)</f>
        <v>50</v>
      </c>
      <c r="D16" s="64" t="s">
        <v>2403</v>
      </c>
    </row>
    <row r="17" customFormat="false" ht="21.75" hidden="false" customHeight="true" outlineLevel="0" collapsed="false">
      <c r="A17" s="61"/>
      <c r="B17" s="62" t="s">
        <v>2404</v>
      </c>
      <c r="C17" s="63" t="n">
        <f aca="false">COUNTIF(۰۱_Master!B2:B793,8)</f>
        <v>32</v>
      </c>
      <c r="D17" s="64" t="s">
        <v>2405</v>
      </c>
    </row>
    <row r="18" customFormat="false" ht="21.75" hidden="false" customHeight="true" outlineLevel="0" collapsed="false">
      <c r="A18" s="61"/>
      <c r="B18" s="62" t="s">
        <v>2406</v>
      </c>
      <c r="C18" s="63" t="n">
        <f aca="false">COUNTIF(۰۱_Master!B2:B793,9)</f>
        <v>22</v>
      </c>
      <c r="D18" s="64" t="s">
        <v>2407</v>
      </c>
    </row>
    <row r="19" customFormat="false" ht="21.75" hidden="false" customHeight="true" outlineLevel="0" collapsed="false">
      <c r="A19" s="61"/>
      <c r="B19" s="62" t="s">
        <v>2408</v>
      </c>
      <c r="C19" s="63" t="n">
        <f aca="false">COUNTIF(۰۱_Master!B2:B793,10)</f>
        <v>32</v>
      </c>
      <c r="D19" s="64" t="s">
        <v>2409</v>
      </c>
    </row>
    <row r="20" customFormat="false" ht="21.75" hidden="false" customHeight="true" outlineLevel="0" collapsed="false">
      <c r="A20" s="61"/>
      <c r="B20" s="62"/>
      <c r="C20" s="63"/>
      <c r="D20" s="64"/>
    </row>
    <row r="21" customFormat="false" ht="21.75" hidden="false" customHeight="true" outlineLevel="0" collapsed="false">
      <c r="A21" s="66" t="s">
        <v>68</v>
      </c>
      <c r="B21" s="67" t="s">
        <v>2410</v>
      </c>
      <c r="C21" s="68"/>
      <c r="D21" s="69"/>
    </row>
    <row r="22" customFormat="false" ht="21.75" hidden="false" customHeight="true" outlineLevel="0" collapsed="false">
      <c r="A22" s="61"/>
      <c r="B22" s="62" t="s">
        <v>1101</v>
      </c>
      <c r="C22" s="63" t="n">
        <f aca="false">COUNTIF(۰۱_Master!E2:E793,"Transactional")</f>
        <v>172</v>
      </c>
      <c r="D22" s="64" t="s">
        <v>2411</v>
      </c>
    </row>
    <row r="23" customFormat="false" ht="21.75" hidden="false" customHeight="true" outlineLevel="0" collapsed="false">
      <c r="A23" s="61"/>
      <c r="B23" s="62" t="s">
        <v>117</v>
      </c>
      <c r="C23" s="63" t="n">
        <f aca="false">COUNTIF(۰۱_Master!E2:E793,"Commercial")</f>
        <v>570</v>
      </c>
      <c r="D23" s="64" t="s">
        <v>2412</v>
      </c>
    </row>
    <row r="24" customFormat="false" ht="21.75" hidden="false" customHeight="true" outlineLevel="0" collapsed="false">
      <c r="A24" s="61"/>
      <c r="B24" s="62" t="s">
        <v>1158</v>
      </c>
      <c r="C24" s="63" t="n">
        <f aca="false">COUNTIF(۰۱_Master!E2:E793,"Informational")</f>
        <v>50</v>
      </c>
      <c r="D24" s="64" t="s">
        <v>2413</v>
      </c>
    </row>
    <row r="25" customFormat="false" ht="21.75" hidden="false" customHeight="true" outlineLevel="0" collapsed="false">
      <c r="A25" s="61"/>
      <c r="B25" s="62"/>
      <c r="C25" s="63"/>
      <c r="D25" s="64"/>
    </row>
    <row r="26" customFormat="false" ht="21.75" hidden="false" customHeight="true" outlineLevel="0" collapsed="false">
      <c r="A26" s="66" t="s">
        <v>2414</v>
      </c>
      <c r="B26" s="67" t="s">
        <v>2415</v>
      </c>
      <c r="C26" s="68"/>
      <c r="D26" s="69"/>
    </row>
    <row r="27" customFormat="false" ht="21.75" hidden="false" customHeight="true" outlineLevel="0" collapsed="false">
      <c r="A27" s="61"/>
      <c r="B27" s="62" t="s">
        <v>123</v>
      </c>
      <c r="C27" s="63" t="n">
        <f aca="false">COUNTIF(۰۱_Master!O2:O793,"Not Started")</f>
        <v>792</v>
      </c>
      <c r="D27" s="64"/>
    </row>
    <row r="28" customFormat="false" ht="21.75" hidden="false" customHeight="true" outlineLevel="0" collapsed="false">
      <c r="A28" s="61"/>
      <c r="B28" s="62" t="s">
        <v>2416</v>
      </c>
      <c r="C28" s="63" t="n">
        <f aca="false">COUNTIF(۰۱_Master!O2:O793,"In Progress")</f>
        <v>0</v>
      </c>
      <c r="D28" s="64"/>
    </row>
    <row r="29" customFormat="false" ht="21.75" hidden="false" customHeight="true" outlineLevel="0" collapsed="false">
      <c r="A29" s="61"/>
      <c r="B29" s="62" t="s">
        <v>2417</v>
      </c>
      <c r="C29" s="63" t="n">
        <f aca="false">COUNTIF(۰۱_Master!O2:O793,"Page Live")</f>
        <v>0</v>
      </c>
      <c r="D29" s="64" t="s">
        <v>2418</v>
      </c>
    </row>
    <row r="30" customFormat="false" ht="21.75" hidden="false" customHeight="true" outlineLevel="0" collapsed="false">
      <c r="A30" s="61"/>
      <c r="B30" s="62" t="s">
        <v>2419</v>
      </c>
      <c r="C30" s="63" t="n">
        <f aca="false">COUNTIF(۰۱_Master!O2:O793,"Indexed")</f>
        <v>0</v>
      </c>
      <c r="D30" s="64" t="s">
        <v>2420</v>
      </c>
    </row>
    <row r="31" customFormat="false" ht="21.75" hidden="false" customHeight="true" outlineLevel="0" collapsed="false">
      <c r="A31" s="61"/>
      <c r="B31" s="62" t="s">
        <v>2421</v>
      </c>
      <c r="C31" s="63" t="n">
        <f aca="false">COUNTIF(۰۱_Master!O2:O793,"Ranking")</f>
        <v>0</v>
      </c>
      <c r="D31" s="64" t="s">
        <v>2422</v>
      </c>
    </row>
    <row r="32" customFormat="false" ht="21.75" hidden="false" customHeight="true" outlineLevel="0" collapsed="false">
      <c r="A32" s="61"/>
      <c r="B32" s="62" t="s">
        <v>2423</v>
      </c>
      <c r="C32" s="63" t="n">
        <f aca="false">COUNTIF(۰۱_Master!O2:O793,"Page 1")</f>
        <v>0</v>
      </c>
      <c r="D32" s="64" t="s">
        <v>2424</v>
      </c>
    </row>
    <row r="33" customFormat="false" ht="21.75" hidden="false" customHeight="true" outlineLevel="0" collapsed="false">
      <c r="A33" s="61"/>
      <c r="B33" s="62" t="s">
        <v>2425</v>
      </c>
      <c r="C33" s="63" t="n">
        <f aca="false">COUNTIF(۰۱_Master!O2:O793,"Top 3")</f>
        <v>0</v>
      </c>
      <c r="D33" s="64" t="s">
        <v>2426</v>
      </c>
    </row>
    <row r="34" customFormat="false" ht="21.75" hidden="false" customHeight="true" outlineLevel="0" collapsed="false">
      <c r="A34" s="61"/>
      <c r="B34" s="62"/>
      <c r="C34" s="63"/>
      <c r="D34" s="64"/>
    </row>
    <row r="35" customFormat="false" ht="21.75" hidden="false" customHeight="true" outlineLevel="0" collapsed="false">
      <c r="A35" s="66" t="s">
        <v>2427</v>
      </c>
      <c r="B35" s="67" t="s">
        <v>2428</v>
      </c>
      <c r="C35" s="68"/>
      <c r="D35" s="69"/>
    </row>
    <row r="36" customFormat="false" ht="21.75" hidden="false" customHeight="true" outlineLevel="0" collapsed="false">
      <c r="A36" s="61"/>
      <c r="B36" s="62" t="s">
        <v>2429</v>
      </c>
      <c r="C36" s="63" t="str">
        <f aca="false">ROUND((COUNTIF(۰۱_Master!O2:O793,"Page Live")+COUNTIF(۰۱_Master!O2:O793,"Indexed")+COUNTIF(۰۱_Master!O2:O793,"Ranking")+COUNTIF(۰۱_Master!O2:O793,"Page 1")+COUNTIF(۰۱_Master!O2:O793,"Top 3"))/792*100,1)&amp;"%"</f>
        <v>0%</v>
      </c>
      <c r="D36" s="64" t="s">
        <v>2430</v>
      </c>
    </row>
    <row r="37" customFormat="false" ht="21.75" hidden="false" customHeight="true" outlineLevel="0" collapsed="false">
      <c r="A37" s="61"/>
      <c r="B37" s="62" t="s">
        <v>2431</v>
      </c>
      <c r="C37" s="63" t="str">
        <f aca="false">ROUND((COUNTIF(۰۱_Master!O2:O793,"Ranking")+COUNTIF(۰۱_Master!O2:O793,"Page 1")+COUNTIF(۰۱_Master!O2:O793,"Top 3"))/792*100,1)&amp;"%"</f>
        <v>0%</v>
      </c>
      <c r="D37" s="64" t="s">
        <v>2432</v>
      </c>
    </row>
    <row r="38" customFormat="false" ht="21.75" hidden="false" customHeight="true" outlineLevel="0" collapsed="false">
      <c r="A38" s="61"/>
      <c r="B38" s="62" t="s">
        <v>2433</v>
      </c>
      <c r="C38" s="63" t="str">
        <f aca="false">ROUND((COUNTIF(۰۱_Master!O2:O793,"Page 1")+COUNTIF(۰۱_Master!O2:O793,"Top 3"))/792*100,1)&amp;"%"</f>
        <v>0%</v>
      </c>
      <c r="D38" s="64" t="s">
        <v>2434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6" min="5" style="0" width="38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5"/>
  </cols>
  <sheetData>
    <row r="1" customFormat="false" ht="37.5" hidden="false" customHeight="true" outlineLevel="0" collapsed="false">
      <c r="A1" s="5" t="s">
        <v>2435</v>
      </c>
      <c r="B1" s="5" t="s">
        <v>2436</v>
      </c>
      <c r="C1" s="5" t="s">
        <v>100</v>
      </c>
      <c r="D1" s="5" t="s">
        <v>2437</v>
      </c>
      <c r="E1" s="5" t="s">
        <v>2438</v>
      </c>
      <c r="F1" s="5" t="s">
        <v>2439</v>
      </c>
      <c r="G1" s="5" t="s">
        <v>2440</v>
      </c>
      <c r="H1" s="5" t="s">
        <v>2441</v>
      </c>
      <c r="I1" s="5" t="s">
        <v>2442</v>
      </c>
      <c r="J1" s="5" t="s">
        <v>109</v>
      </c>
      <c r="K1" s="5" t="s">
        <v>113</v>
      </c>
      <c r="L1" s="5" t="s">
        <v>114</v>
      </c>
    </row>
    <row r="2" customFormat="false" ht="30" hidden="false" customHeight="true" outlineLevel="0" collapsed="false">
      <c r="A2" s="6" t="n">
        <v>1</v>
      </c>
      <c r="B2" s="6" t="s">
        <v>2443</v>
      </c>
      <c r="C2" s="6" t="n">
        <v>1</v>
      </c>
      <c r="D2" s="7" t="s">
        <v>121</v>
      </c>
      <c r="E2" s="7" t="s">
        <v>2444</v>
      </c>
      <c r="F2" s="9" t="s">
        <v>2445</v>
      </c>
      <c r="G2" s="7" t="s">
        <v>2446</v>
      </c>
      <c r="H2" s="6" t="s">
        <v>2447</v>
      </c>
      <c r="I2" s="6" t="n">
        <v>2500</v>
      </c>
      <c r="J2" s="6" t="s">
        <v>2448</v>
      </c>
      <c r="K2" s="6" t="s">
        <v>123</v>
      </c>
      <c r="L2" s="7"/>
    </row>
    <row r="3" customFormat="false" ht="30" hidden="false" customHeight="true" outlineLevel="0" collapsed="false">
      <c r="A3" s="18" t="n">
        <v>1</v>
      </c>
      <c r="B3" s="18" t="s">
        <v>2443</v>
      </c>
      <c r="C3" s="18" t="n">
        <v>4</v>
      </c>
      <c r="D3" s="19" t="s">
        <v>121</v>
      </c>
      <c r="E3" s="19" t="s">
        <v>2449</v>
      </c>
      <c r="F3" s="21" t="s">
        <v>2450</v>
      </c>
      <c r="G3" s="19" t="s">
        <v>1100</v>
      </c>
      <c r="H3" s="18" t="s">
        <v>2451</v>
      </c>
      <c r="I3" s="18" t="n">
        <v>1800</v>
      </c>
      <c r="J3" s="18" t="s">
        <v>2448</v>
      </c>
      <c r="K3" s="18" t="s">
        <v>123</v>
      </c>
      <c r="L3" s="19"/>
    </row>
    <row r="4" customFormat="false" ht="30" hidden="false" customHeight="true" outlineLevel="0" collapsed="false">
      <c r="A4" s="14" t="n">
        <v>1</v>
      </c>
      <c r="B4" s="14" t="s">
        <v>2443</v>
      </c>
      <c r="C4" s="14" t="n">
        <v>3</v>
      </c>
      <c r="D4" s="15" t="s">
        <v>121</v>
      </c>
      <c r="E4" s="15" t="s">
        <v>2452</v>
      </c>
      <c r="F4" s="17" t="s">
        <v>2453</v>
      </c>
      <c r="G4" s="15" t="s">
        <v>988</v>
      </c>
      <c r="H4" s="14" t="s">
        <v>2451</v>
      </c>
      <c r="I4" s="14" t="n">
        <v>2200</v>
      </c>
      <c r="J4" s="14" t="s">
        <v>2448</v>
      </c>
      <c r="K4" s="14" t="s">
        <v>123</v>
      </c>
      <c r="L4" s="15"/>
    </row>
    <row r="5" customFormat="false" ht="30" hidden="false" customHeight="true" outlineLevel="0" collapsed="false">
      <c r="A5" s="6" t="n">
        <v>1</v>
      </c>
      <c r="B5" s="6" t="s">
        <v>2443</v>
      </c>
      <c r="C5" s="6" t="n">
        <v>1</v>
      </c>
      <c r="D5" s="7" t="s">
        <v>174</v>
      </c>
      <c r="E5" s="7" t="s">
        <v>2454</v>
      </c>
      <c r="F5" s="9" t="s">
        <v>2455</v>
      </c>
      <c r="G5" s="7" t="s">
        <v>2456</v>
      </c>
      <c r="H5" s="6" t="s">
        <v>2447</v>
      </c>
      <c r="I5" s="6" t="n">
        <v>2500</v>
      </c>
      <c r="J5" s="6" t="s">
        <v>2448</v>
      </c>
      <c r="K5" s="6" t="s">
        <v>123</v>
      </c>
      <c r="L5" s="7"/>
    </row>
    <row r="6" customFormat="false" ht="30" hidden="false" customHeight="true" outlineLevel="0" collapsed="false">
      <c r="A6" s="18" t="n">
        <v>2</v>
      </c>
      <c r="B6" s="18" t="s">
        <v>2443</v>
      </c>
      <c r="C6" s="18" t="n">
        <v>4</v>
      </c>
      <c r="D6" s="19" t="s">
        <v>174</v>
      </c>
      <c r="E6" s="19" t="s">
        <v>2457</v>
      </c>
      <c r="F6" s="21" t="s">
        <v>2458</v>
      </c>
      <c r="G6" s="19" t="s">
        <v>1121</v>
      </c>
      <c r="H6" s="18" t="s">
        <v>2451</v>
      </c>
      <c r="I6" s="18" t="n">
        <v>2000</v>
      </c>
      <c r="J6" s="18" t="s">
        <v>2448</v>
      </c>
      <c r="K6" s="18" t="s">
        <v>123</v>
      </c>
      <c r="L6" s="19"/>
    </row>
    <row r="7" customFormat="false" ht="30" hidden="false" customHeight="true" outlineLevel="0" collapsed="false">
      <c r="A7" s="18" t="n">
        <v>2</v>
      </c>
      <c r="B7" s="18" t="s">
        <v>2443</v>
      </c>
      <c r="C7" s="18" t="n">
        <v>4</v>
      </c>
      <c r="D7" s="19" t="s">
        <v>174</v>
      </c>
      <c r="E7" s="19" t="s">
        <v>2459</v>
      </c>
      <c r="F7" s="21" t="s">
        <v>1139</v>
      </c>
      <c r="G7" s="19" t="s">
        <v>1137</v>
      </c>
      <c r="H7" s="18" t="s">
        <v>2451</v>
      </c>
      <c r="I7" s="18" t="n">
        <v>2000</v>
      </c>
      <c r="J7" s="18" t="s">
        <v>2448</v>
      </c>
      <c r="K7" s="18" t="s">
        <v>123</v>
      </c>
      <c r="L7" s="19"/>
    </row>
    <row r="8" customFormat="false" ht="30" hidden="false" customHeight="true" outlineLevel="0" collapsed="false">
      <c r="A8" s="14" t="n">
        <v>2</v>
      </c>
      <c r="B8" s="14" t="s">
        <v>2443</v>
      </c>
      <c r="C8" s="14" t="n">
        <v>3</v>
      </c>
      <c r="D8" s="15" t="s">
        <v>185</v>
      </c>
      <c r="E8" s="15" t="s">
        <v>2460</v>
      </c>
      <c r="F8" s="17" t="s">
        <v>2461</v>
      </c>
      <c r="G8" s="15" t="s">
        <v>1024</v>
      </c>
      <c r="H8" s="14" t="s">
        <v>2451</v>
      </c>
      <c r="I8" s="14" t="n">
        <v>1800</v>
      </c>
      <c r="J8" s="14" t="s">
        <v>2448</v>
      </c>
      <c r="K8" s="14" t="s">
        <v>123</v>
      </c>
      <c r="L8" s="15"/>
    </row>
    <row r="9" customFormat="false" ht="30" hidden="false" customHeight="true" outlineLevel="0" collapsed="false">
      <c r="A9" s="6" t="n">
        <v>2</v>
      </c>
      <c r="B9" s="6" t="s">
        <v>2443</v>
      </c>
      <c r="C9" s="6" t="n">
        <v>1</v>
      </c>
      <c r="D9" s="7" t="s">
        <v>226</v>
      </c>
      <c r="E9" s="7" t="s">
        <v>2462</v>
      </c>
      <c r="F9" s="9" t="s">
        <v>2463</v>
      </c>
      <c r="G9" s="7" t="s">
        <v>2464</v>
      </c>
      <c r="H9" s="6" t="s">
        <v>2447</v>
      </c>
      <c r="I9" s="6" t="n">
        <v>2200</v>
      </c>
      <c r="J9" s="6" t="s">
        <v>2465</v>
      </c>
      <c r="K9" s="6" t="s">
        <v>123</v>
      </c>
      <c r="L9" s="7"/>
    </row>
    <row r="10" customFormat="false" ht="30" hidden="false" customHeight="true" outlineLevel="0" collapsed="false">
      <c r="A10" s="22" t="n">
        <v>3</v>
      </c>
      <c r="B10" s="22" t="s">
        <v>2443</v>
      </c>
      <c r="C10" s="22" t="n">
        <v>5</v>
      </c>
      <c r="D10" s="23" t="s">
        <v>1325</v>
      </c>
      <c r="E10" s="23" t="s">
        <v>2466</v>
      </c>
      <c r="F10" s="25" t="s">
        <v>1837</v>
      </c>
      <c r="G10" s="23" t="s">
        <v>1324</v>
      </c>
      <c r="H10" s="22" t="s">
        <v>2451</v>
      </c>
      <c r="I10" s="22" t="n">
        <v>2000</v>
      </c>
      <c r="J10" s="22" t="s">
        <v>2448</v>
      </c>
      <c r="K10" s="22" t="s">
        <v>123</v>
      </c>
      <c r="L10" s="23"/>
    </row>
    <row r="11" customFormat="false" ht="30" hidden="false" customHeight="true" outlineLevel="0" collapsed="false">
      <c r="A11" s="22" t="n">
        <v>3</v>
      </c>
      <c r="B11" s="22" t="s">
        <v>2443</v>
      </c>
      <c r="C11" s="22" t="n">
        <v>5</v>
      </c>
      <c r="D11" s="23" t="s">
        <v>1325</v>
      </c>
      <c r="E11" s="23" t="s">
        <v>2467</v>
      </c>
      <c r="F11" s="25" t="s">
        <v>2468</v>
      </c>
      <c r="G11" s="23" t="s">
        <v>1341</v>
      </c>
      <c r="H11" s="22" t="s">
        <v>2451</v>
      </c>
      <c r="I11" s="22" t="n">
        <v>1500</v>
      </c>
      <c r="J11" s="22" t="s">
        <v>2465</v>
      </c>
      <c r="K11" s="22" t="s">
        <v>123</v>
      </c>
      <c r="L11" s="23"/>
    </row>
    <row r="12" customFormat="false" ht="30" hidden="false" customHeight="true" outlineLevel="0" collapsed="false">
      <c r="A12" s="18" t="n">
        <v>3</v>
      </c>
      <c r="B12" s="18" t="s">
        <v>2443</v>
      </c>
      <c r="C12" s="18" t="n">
        <v>4</v>
      </c>
      <c r="D12" s="19" t="s">
        <v>309</v>
      </c>
      <c r="E12" s="19" t="s">
        <v>2469</v>
      </c>
      <c r="F12" s="21" t="s">
        <v>1224</v>
      </c>
      <c r="G12" s="19" t="s">
        <v>1222</v>
      </c>
      <c r="H12" s="18" t="s">
        <v>2451</v>
      </c>
      <c r="I12" s="18" t="n">
        <v>2500</v>
      </c>
      <c r="J12" s="18" t="s">
        <v>2448</v>
      </c>
      <c r="K12" s="18" t="s">
        <v>123</v>
      </c>
      <c r="L12" s="19"/>
    </row>
    <row r="13" customFormat="false" ht="30" hidden="false" customHeight="true" outlineLevel="0" collapsed="false">
      <c r="A13" s="18" t="n">
        <v>3</v>
      </c>
      <c r="B13" s="18" t="s">
        <v>2443</v>
      </c>
      <c r="C13" s="18" t="n">
        <v>4</v>
      </c>
      <c r="D13" s="19" t="s">
        <v>309</v>
      </c>
      <c r="E13" s="19" t="s">
        <v>2470</v>
      </c>
      <c r="F13" s="21" t="s">
        <v>2471</v>
      </c>
      <c r="G13" s="19" t="s">
        <v>2472</v>
      </c>
      <c r="H13" s="18" t="s">
        <v>2451</v>
      </c>
      <c r="I13" s="18" t="n">
        <v>2000</v>
      </c>
      <c r="J13" s="18" t="s">
        <v>2448</v>
      </c>
      <c r="K13" s="18" t="s">
        <v>123</v>
      </c>
      <c r="L13" s="19"/>
    </row>
    <row r="14" customFormat="false" ht="30" hidden="false" customHeight="true" outlineLevel="0" collapsed="false">
      <c r="A14" s="6" t="n">
        <v>4</v>
      </c>
      <c r="B14" s="6" t="s">
        <v>2443</v>
      </c>
      <c r="C14" s="6" t="n">
        <v>1</v>
      </c>
      <c r="D14" s="7" t="s">
        <v>445</v>
      </c>
      <c r="E14" s="7" t="s">
        <v>2473</v>
      </c>
      <c r="F14" s="9" t="s">
        <v>2474</v>
      </c>
      <c r="G14" s="7" t="s">
        <v>2475</v>
      </c>
      <c r="H14" s="6" t="s">
        <v>2476</v>
      </c>
      <c r="I14" s="6" t="n">
        <v>1500</v>
      </c>
      <c r="J14" s="6" t="s">
        <v>2448</v>
      </c>
      <c r="K14" s="6" t="s">
        <v>123</v>
      </c>
      <c r="L14" s="7"/>
    </row>
    <row r="15" customFormat="false" ht="30" hidden="false" customHeight="true" outlineLevel="0" collapsed="false">
      <c r="A15" s="18" t="n">
        <v>4</v>
      </c>
      <c r="B15" s="18" t="s">
        <v>2443</v>
      </c>
      <c r="C15" s="18" t="n">
        <v>4</v>
      </c>
      <c r="D15" s="19" t="s">
        <v>254</v>
      </c>
      <c r="E15" s="19" t="s">
        <v>2477</v>
      </c>
      <c r="F15" s="21" t="s">
        <v>1184</v>
      </c>
      <c r="G15" s="19" t="s">
        <v>1182</v>
      </c>
      <c r="H15" s="18" t="s">
        <v>2451</v>
      </c>
      <c r="I15" s="18" t="n">
        <v>2500</v>
      </c>
      <c r="J15" s="18" t="s">
        <v>2448</v>
      </c>
      <c r="K15" s="18" t="s">
        <v>123</v>
      </c>
      <c r="L15" s="19"/>
    </row>
    <row r="16" customFormat="false" ht="30" hidden="false" customHeight="true" outlineLevel="0" collapsed="false">
      <c r="A16" s="18" t="n">
        <v>4</v>
      </c>
      <c r="B16" s="18" t="s">
        <v>2443</v>
      </c>
      <c r="C16" s="18" t="n">
        <v>4</v>
      </c>
      <c r="D16" s="19" t="s">
        <v>272</v>
      </c>
      <c r="E16" s="19" t="s">
        <v>2478</v>
      </c>
      <c r="F16" s="21" t="s">
        <v>2479</v>
      </c>
      <c r="G16" s="19" t="s">
        <v>2480</v>
      </c>
      <c r="H16" s="18" t="s">
        <v>2451</v>
      </c>
      <c r="I16" s="18" t="n">
        <v>2000</v>
      </c>
      <c r="J16" s="18" t="s">
        <v>2465</v>
      </c>
      <c r="K16" s="18" t="s">
        <v>123</v>
      </c>
      <c r="L16" s="19"/>
    </row>
    <row r="17" customFormat="false" ht="30" hidden="false" customHeight="true" outlineLevel="0" collapsed="false">
      <c r="A17" s="18" t="n">
        <v>4</v>
      </c>
      <c r="B17" s="18" t="s">
        <v>2443</v>
      </c>
      <c r="C17" s="18" t="n">
        <v>4</v>
      </c>
      <c r="D17" s="19" t="s">
        <v>325</v>
      </c>
      <c r="E17" s="19" t="s">
        <v>2481</v>
      </c>
      <c r="F17" s="21" t="s">
        <v>2482</v>
      </c>
      <c r="G17" s="19" t="s">
        <v>2483</v>
      </c>
      <c r="H17" s="18" t="s">
        <v>2451</v>
      </c>
      <c r="I17" s="18" t="n">
        <v>2500</v>
      </c>
      <c r="J17" s="18" t="s">
        <v>2448</v>
      </c>
      <c r="K17" s="18" t="s">
        <v>123</v>
      </c>
      <c r="L17" s="19"/>
    </row>
    <row r="18" customFormat="false" ht="30" hidden="false" customHeight="true" outlineLevel="0" collapsed="false">
      <c r="A18" s="10" t="n">
        <v>5</v>
      </c>
      <c r="B18" s="10" t="s">
        <v>2484</v>
      </c>
      <c r="C18" s="10" t="n">
        <v>2</v>
      </c>
      <c r="D18" s="11" t="s">
        <v>2485</v>
      </c>
      <c r="E18" s="11" t="s">
        <v>2486</v>
      </c>
      <c r="F18" s="13" t="s">
        <v>2487</v>
      </c>
      <c r="G18" s="11" t="s">
        <v>2488</v>
      </c>
      <c r="H18" s="10" t="s">
        <v>2485</v>
      </c>
      <c r="I18" s="10" t="n">
        <v>800</v>
      </c>
      <c r="J18" s="10" t="s">
        <v>2448</v>
      </c>
      <c r="K18" s="10" t="s">
        <v>123</v>
      </c>
      <c r="L18" s="11"/>
    </row>
    <row r="19" customFormat="false" ht="30" hidden="false" customHeight="true" outlineLevel="0" collapsed="false">
      <c r="A19" s="10" t="n">
        <v>5</v>
      </c>
      <c r="B19" s="10" t="s">
        <v>2484</v>
      </c>
      <c r="C19" s="10" t="n">
        <v>2</v>
      </c>
      <c r="D19" s="11" t="s">
        <v>2485</v>
      </c>
      <c r="E19" s="11" t="s">
        <v>2489</v>
      </c>
      <c r="F19" s="13" t="s">
        <v>2490</v>
      </c>
      <c r="G19" s="11" t="s">
        <v>2491</v>
      </c>
      <c r="H19" s="10" t="s">
        <v>2485</v>
      </c>
      <c r="I19" s="10" t="n">
        <v>800</v>
      </c>
      <c r="J19" s="10" t="s">
        <v>2448</v>
      </c>
      <c r="K19" s="10" t="s">
        <v>123</v>
      </c>
      <c r="L19" s="11"/>
    </row>
    <row r="20" customFormat="false" ht="30" hidden="false" customHeight="true" outlineLevel="0" collapsed="false">
      <c r="A20" s="26" t="n">
        <v>5</v>
      </c>
      <c r="B20" s="26" t="s">
        <v>2484</v>
      </c>
      <c r="C20" s="26" t="n">
        <v>6</v>
      </c>
      <c r="D20" s="27" t="s">
        <v>461</v>
      </c>
      <c r="E20" s="27" t="s">
        <v>2492</v>
      </c>
      <c r="F20" s="29" t="s">
        <v>2493</v>
      </c>
      <c r="G20" s="27" t="s">
        <v>1080</v>
      </c>
      <c r="H20" s="26" t="s">
        <v>2451</v>
      </c>
      <c r="I20" s="26" t="n">
        <v>2000</v>
      </c>
      <c r="J20" s="26" t="s">
        <v>2448</v>
      </c>
      <c r="K20" s="26" t="s">
        <v>123</v>
      </c>
      <c r="L20" s="27"/>
    </row>
    <row r="21" customFormat="false" ht="30" hidden="false" customHeight="true" outlineLevel="0" collapsed="false">
      <c r="A21" s="26" t="n">
        <v>5</v>
      </c>
      <c r="B21" s="26" t="s">
        <v>2484</v>
      </c>
      <c r="C21" s="26" t="n">
        <v>6</v>
      </c>
      <c r="D21" s="27" t="s">
        <v>461</v>
      </c>
      <c r="E21" s="27" t="s">
        <v>2494</v>
      </c>
      <c r="F21" s="29" t="s">
        <v>2495</v>
      </c>
      <c r="G21" s="27" t="s">
        <v>1481</v>
      </c>
      <c r="H21" s="26" t="s">
        <v>2451</v>
      </c>
      <c r="I21" s="26" t="n">
        <v>1500</v>
      </c>
      <c r="J21" s="26" t="s">
        <v>2465</v>
      </c>
      <c r="K21" s="26" t="s">
        <v>123</v>
      </c>
      <c r="L21" s="27"/>
    </row>
    <row r="22" customFormat="false" ht="30" hidden="false" customHeight="true" outlineLevel="0" collapsed="false">
      <c r="A22" s="26" t="n">
        <v>6</v>
      </c>
      <c r="B22" s="26" t="s">
        <v>2484</v>
      </c>
      <c r="C22" s="26" t="n">
        <v>6</v>
      </c>
      <c r="D22" s="27" t="s">
        <v>472</v>
      </c>
      <c r="E22" s="27" t="s">
        <v>2496</v>
      </c>
      <c r="F22" s="29" t="s">
        <v>2497</v>
      </c>
      <c r="G22" s="27" t="s">
        <v>2498</v>
      </c>
      <c r="H22" s="26" t="s">
        <v>2451</v>
      </c>
      <c r="I22" s="26" t="n">
        <v>2000</v>
      </c>
      <c r="J22" s="26" t="s">
        <v>2448</v>
      </c>
      <c r="K22" s="26" t="s">
        <v>123</v>
      </c>
      <c r="L22" s="27"/>
    </row>
    <row r="23" customFormat="false" ht="30" hidden="false" customHeight="true" outlineLevel="0" collapsed="false">
      <c r="A23" s="26" t="n">
        <v>6</v>
      </c>
      <c r="B23" s="26" t="s">
        <v>2484</v>
      </c>
      <c r="C23" s="26" t="n">
        <v>6</v>
      </c>
      <c r="D23" s="27" t="s">
        <v>461</v>
      </c>
      <c r="E23" s="27" t="s">
        <v>2499</v>
      </c>
      <c r="F23" s="29" t="s">
        <v>2500</v>
      </c>
      <c r="G23" s="27" t="s">
        <v>2501</v>
      </c>
      <c r="H23" s="26" t="s">
        <v>2451</v>
      </c>
      <c r="I23" s="26" t="n">
        <v>1800</v>
      </c>
      <c r="J23" s="26" t="s">
        <v>2448</v>
      </c>
      <c r="K23" s="26" t="s">
        <v>123</v>
      </c>
      <c r="L23" s="27"/>
    </row>
    <row r="24" customFormat="false" ht="30" hidden="false" customHeight="true" outlineLevel="0" collapsed="false">
      <c r="A24" s="14" t="n">
        <v>6</v>
      </c>
      <c r="B24" s="14" t="s">
        <v>2484</v>
      </c>
      <c r="C24" s="14" t="n">
        <v>3</v>
      </c>
      <c r="D24" s="15" t="s">
        <v>185</v>
      </c>
      <c r="E24" s="15" t="s">
        <v>2502</v>
      </c>
      <c r="F24" s="17" t="s">
        <v>2503</v>
      </c>
      <c r="G24" s="15" t="s">
        <v>1028</v>
      </c>
      <c r="H24" s="14" t="s">
        <v>2451</v>
      </c>
      <c r="I24" s="14" t="n">
        <v>1800</v>
      </c>
      <c r="J24" s="14" t="s">
        <v>2448</v>
      </c>
      <c r="K24" s="14" t="s">
        <v>123</v>
      </c>
      <c r="L24" s="15"/>
    </row>
    <row r="25" customFormat="false" ht="30" hidden="false" customHeight="true" outlineLevel="0" collapsed="false">
      <c r="A25" s="14" t="n">
        <v>6</v>
      </c>
      <c r="B25" s="14" t="s">
        <v>2484</v>
      </c>
      <c r="C25" s="14" t="n">
        <v>3</v>
      </c>
      <c r="D25" s="15" t="s">
        <v>185</v>
      </c>
      <c r="E25" s="15" t="s">
        <v>2504</v>
      </c>
      <c r="F25" s="17" t="s">
        <v>2505</v>
      </c>
      <c r="G25" s="15" t="s">
        <v>2506</v>
      </c>
      <c r="H25" s="14" t="s">
        <v>2451</v>
      </c>
      <c r="I25" s="14" t="n">
        <v>2500</v>
      </c>
      <c r="J25" s="14" t="s">
        <v>2448</v>
      </c>
      <c r="K25" s="14" t="s">
        <v>123</v>
      </c>
      <c r="L25" s="15"/>
    </row>
    <row r="26" customFormat="false" ht="30" hidden="false" customHeight="true" outlineLevel="0" collapsed="false">
      <c r="A26" s="18" t="n">
        <v>7</v>
      </c>
      <c r="B26" s="18" t="s">
        <v>2484</v>
      </c>
      <c r="C26" s="18" t="n">
        <v>4</v>
      </c>
      <c r="D26" s="19" t="s">
        <v>242</v>
      </c>
      <c r="E26" s="19" t="s">
        <v>2507</v>
      </c>
      <c r="F26" s="21" t="s">
        <v>1172</v>
      </c>
      <c r="G26" s="19" t="s">
        <v>1170</v>
      </c>
      <c r="H26" s="18" t="s">
        <v>2451</v>
      </c>
      <c r="I26" s="18" t="n">
        <v>1800</v>
      </c>
      <c r="J26" s="18" t="s">
        <v>2465</v>
      </c>
      <c r="K26" s="18" t="s">
        <v>123</v>
      </c>
      <c r="L26" s="19"/>
    </row>
    <row r="27" customFormat="false" ht="30" hidden="false" customHeight="true" outlineLevel="0" collapsed="false">
      <c r="A27" s="18" t="n">
        <v>7</v>
      </c>
      <c r="B27" s="18" t="s">
        <v>2484</v>
      </c>
      <c r="C27" s="18" t="n">
        <v>4</v>
      </c>
      <c r="D27" s="19" t="s">
        <v>298</v>
      </c>
      <c r="E27" s="19" t="s">
        <v>2508</v>
      </c>
      <c r="F27" s="21" t="s">
        <v>2509</v>
      </c>
      <c r="G27" s="19" t="s">
        <v>2510</v>
      </c>
      <c r="H27" s="18" t="s">
        <v>2451</v>
      </c>
      <c r="I27" s="18" t="n">
        <v>2000</v>
      </c>
      <c r="J27" s="18" t="s">
        <v>2448</v>
      </c>
      <c r="K27" s="18" t="s">
        <v>123</v>
      </c>
      <c r="L27" s="19"/>
    </row>
    <row r="28" customFormat="false" ht="30" hidden="false" customHeight="true" outlineLevel="0" collapsed="false">
      <c r="A28" s="6" t="n">
        <v>7</v>
      </c>
      <c r="B28" s="6" t="s">
        <v>2484</v>
      </c>
      <c r="C28" s="6" t="n">
        <v>1</v>
      </c>
      <c r="D28" s="7" t="s">
        <v>298</v>
      </c>
      <c r="E28" s="7" t="s">
        <v>2511</v>
      </c>
      <c r="F28" s="9" t="s">
        <v>2512</v>
      </c>
      <c r="G28" s="7" t="s">
        <v>2513</v>
      </c>
      <c r="H28" s="6" t="s">
        <v>2447</v>
      </c>
      <c r="I28" s="6" t="n">
        <v>2500</v>
      </c>
      <c r="J28" s="6" t="s">
        <v>2448</v>
      </c>
      <c r="K28" s="6" t="s">
        <v>123</v>
      </c>
      <c r="L28" s="7"/>
    </row>
    <row r="29" customFormat="false" ht="30" hidden="false" customHeight="true" outlineLevel="0" collapsed="false">
      <c r="A29" s="18" t="n">
        <v>7</v>
      </c>
      <c r="B29" s="18" t="s">
        <v>2484</v>
      </c>
      <c r="C29" s="18" t="n">
        <v>4</v>
      </c>
      <c r="D29" s="19" t="s">
        <v>272</v>
      </c>
      <c r="E29" s="19" t="s">
        <v>2514</v>
      </c>
      <c r="F29" s="21" t="s">
        <v>1248</v>
      </c>
      <c r="G29" s="19" t="s">
        <v>2515</v>
      </c>
      <c r="H29" s="18" t="s">
        <v>2451</v>
      </c>
      <c r="I29" s="18" t="n">
        <v>2500</v>
      </c>
      <c r="J29" s="18" t="s">
        <v>2448</v>
      </c>
      <c r="K29" s="18" t="s">
        <v>123</v>
      </c>
      <c r="L29" s="19"/>
    </row>
    <row r="30" customFormat="false" ht="30" hidden="false" customHeight="true" outlineLevel="0" collapsed="false">
      <c r="A30" s="14" t="n">
        <v>8</v>
      </c>
      <c r="B30" s="14" t="s">
        <v>2484</v>
      </c>
      <c r="C30" s="14" t="n">
        <v>3</v>
      </c>
      <c r="D30" s="15" t="s">
        <v>226</v>
      </c>
      <c r="E30" s="15" t="s">
        <v>2516</v>
      </c>
      <c r="F30" s="17" t="s">
        <v>2517</v>
      </c>
      <c r="G30" s="15" t="s">
        <v>1014</v>
      </c>
      <c r="H30" s="14" t="s">
        <v>2451</v>
      </c>
      <c r="I30" s="14" t="n">
        <v>2000</v>
      </c>
      <c r="J30" s="14" t="s">
        <v>2448</v>
      </c>
      <c r="K30" s="14" t="s">
        <v>123</v>
      </c>
      <c r="L30" s="15"/>
    </row>
    <row r="31" customFormat="false" ht="30" hidden="false" customHeight="true" outlineLevel="0" collapsed="false">
      <c r="A31" s="18" t="n">
        <v>8</v>
      </c>
      <c r="B31" s="18" t="s">
        <v>2484</v>
      </c>
      <c r="C31" s="18" t="n">
        <v>4</v>
      </c>
      <c r="D31" s="19" t="s">
        <v>385</v>
      </c>
      <c r="E31" s="19" t="s">
        <v>2518</v>
      </c>
      <c r="F31" s="21" t="s">
        <v>2519</v>
      </c>
      <c r="G31" s="19" t="s">
        <v>1287</v>
      </c>
      <c r="H31" s="18" t="s">
        <v>2451</v>
      </c>
      <c r="I31" s="18" t="n">
        <v>1800</v>
      </c>
      <c r="J31" s="18" t="s">
        <v>2465</v>
      </c>
      <c r="K31" s="18" t="s">
        <v>123</v>
      </c>
      <c r="L31" s="19"/>
    </row>
    <row r="32" customFormat="false" ht="30" hidden="false" customHeight="true" outlineLevel="0" collapsed="false">
      <c r="A32" s="22" t="n">
        <v>8</v>
      </c>
      <c r="B32" s="22" t="s">
        <v>2484</v>
      </c>
      <c r="C32" s="22" t="n">
        <v>5</v>
      </c>
      <c r="D32" s="23" t="s">
        <v>1376</v>
      </c>
      <c r="E32" s="23" t="s">
        <v>2520</v>
      </c>
      <c r="F32" s="25" t="s">
        <v>2521</v>
      </c>
      <c r="G32" s="23" t="s">
        <v>2522</v>
      </c>
      <c r="H32" s="22" t="s">
        <v>2451</v>
      </c>
      <c r="I32" s="22" t="n">
        <v>1500</v>
      </c>
      <c r="J32" s="22" t="s">
        <v>2448</v>
      </c>
      <c r="K32" s="22" t="s">
        <v>123</v>
      </c>
      <c r="L32" s="23"/>
    </row>
    <row r="33" customFormat="false" ht="30" hidden="false" customHeight="true" outlineLevel="0" collapsed="false">
      <c r="A33" s="22" t="n">
        <v>8</v>
      </c>
      <c r="B33" s="22" t="s">
        <v>2484</v>
      </c>
      <c r="C33" s="22" t="n">
        <v>5</v>
      </c>
      <c r="D33" s="23" t="s">
        <v>2523</v>
      </c>
      <c r="E33" s="23" t="s">
        <v>2524</v>
      </c>
      <c r="F33" s="25" t="s">
        <v>2525</v>
      </c>
      <c r="G33" s="23" t="s">
        <v>1366</v>
      </c>
      <c r="H33" s="22" t="s">
        <v>2451</v>
      </c>
      <c r="I33" s="22" t="n">
        <v>1500</v>
      </c>
      <c r="J33" s="22" t="s">
        <v>2465</v>
      </c>
      <c r="K33" s="22" t="s">
        <v>123</v>
      </c>
      <c r="L33" s="23"/>
    </row>
    <row r="34" customFormat="false" ht="30" hidden="false" customHeight="true" outlineLevel="0" collapsed="false">
      <c r="A34" s="30" t="n">
        <v>9</v>
      </c>
      <c r="B34" s="30" t="s">
        <v>2526</v>
      </c>
      <c r="C34" s="30" t="n">
        <v>7</v>
      </c>
      <c r="D34" s="31" t="s">
        <v>419</v>
      </c>
      <c r="E34" s="31" t="s">
        <v>2527</v>
      </c>
      <c r="F34" s="33" t="s">
        <v>2528</v>
      </c>
      <c r="G34" s="31" t="s">
        <v>1574</v>
      </c>
      <c r="H34" s="30" t="s">
        <v>2447</v>
      </c>
      <c r="I34" s="30" t="n">
        <v>2500</v>
      </c>
      <c r="J34" s="30" t="s">
        <v>2448</v>
      </c>
      <c r="K34" s="30" t="s">
        <v>123</v>
      </c>
      <c r="L34" s="31"/>
    </row>
    <row r="35" customFormat="false" ht="30" hidden="false" customHeight="true" outlineLevel="0" collapsed="false">
      <c r="A35" s="30" t="n">
        <v>9</v>
      </c>
      <c r="B35" s="30" t="s">
        <v>2526</v>
      </c>
      <c r="C35" s="30" t="n">
        <v>7</v>
      </c>
      <c r="D35" s="31" t="s">
        <v>419</v>
      </c>
      <c r="E35" s="31" t="s">
        <v>2529</v>
      </c>
      <c r="F35" s="33" t="s">
        <v>2530</v>
      </c>
      <c r="G35" s="31" t="s">
        <v>1596</v>
      </c>
      <c r="H35" s="30" t="s">
        <v>2451</v>
      </c>
      <c r="I35" s="30" t="n">
        <v>1500</v>
      </c>
      <c r="J35" s="30" t="s">
        <v>2448</v>
      </c>
      <c r="K35" s="30" t="s">
        <v>123</v>
      </c>
      <c r="L35" s="31"/>
    </row>
    <row r="36" customFormat="false" ht="30" hidden="false" customHeight="true" outlineLevel="0" collapsed="false">
      <c r="A36" s="30" t="n">
        <v>9</v>
      </c>
      <c r="B36" s="30" t="s">
        <v>2526</v>
      </c>
      <c r="C36" s="30" t="n">
        <v>7</v>
      </c>
      <c r="D36" s="31" t="s">
        <v>403</v>
      </c>
      <c r="E36" s="31" t="s">
        <v>2531</v>
      </c>
      <c r="F36" s="33" t="s">
        <v>2532</v>
      </c>
      <c r="G36" s="31" t="s">
        <v>1612</v>
      </c>
      <c r="H36" s="30" t="s">
        <v>2447</v>
      </c>
      <c r="I36" s="30" t="n">
        <v>2000</v>
      </c>
      <c r="J36" s="30" t="s">
        <v>2448</v>
      </c>
      <c r="K36" s="30" t="s">
        <v>123</v>
      </c>
      <c r="L36" s="31"/>
    </row>
    <row r="37" customFormat="false" ht="30" hidden="false" customHeight="true" outlineLevel="0" collapsed="false">
      <c r="A37" s="30" t="n">
        <v>9</v>
      </c>
      <c r="B37" s="30" t="s">
        <v>2526</v>
      </c>
      <c r="C37" s="30" t="n">
        <v>7</v>
      </c>
      <c r="D37" s="31" t="s">
        <v>403</v>
      </c>
      <c r="E37" s="31" t="s">
        <v>2533</v>
      </c>
      <c r="F37" s="33" t="s">
        <v>2534</v>
      </c>
      <c r="G37" s="31" t="s">
        <v>2535</v>
      </c>
      <c r="H37" s="30" t="s">
        <v>2451</v>
      </c>
      <c r="I37" s="30" t="n">
        <v>2200</v>
      </c>
      <c r="J37" s="30" t="s">
        <v>2448</v>
      </c>
      <c r="K37" s="30" t="s">
        <v>123</v>
      </c>
      <c r="L37" s="31"/>
    </row>
    <row r="38" customFormat="false" ht="30" hidden="false" customHeight="true" outlineLevel="0" collapsed="false">
      <c r="A38" s="30" t="n">
        <v>10</v>
      </c>
      <c r="B38" s="30" t="s">
        <v>2526</v>
      </c>
      <c r="C38" s="30" t="n">
        <v>7</v>
      </c>
      <c r="D38" s="31" t="s">
        <v>419</v>
      </c>
      <c r="E38" s="31" t="s">
        <v>2536</v>
      </c>
      <c r="F38" s="33" t="s">
        <v>2537</v>
      </c>
      <c r="G38" s="31" t="s">
        <v>2538</v>
      </c>
      <c r="H38" s="30" t="s">
        <v>2451</v>
      </c>
      <c r="I38" s="30" t="n">
        <v>1800</v>
      </c>
      <c r="J38" s="30" t="s">
        <v>2465</v>
      </c>
      <c r="K38" s="30" t="s">
        <v>123</v>
      </c>
      <c r="L38" s="31"/>
    </row>
    <row r="39" customFormat="false" ht="30" hidden="false" customHeight="true" outlineLevel="0" collapsed="false">
      <c r="A39" s="30" t="n">
        <v>10</v>
      </c>
      <c r="B39" s="30" t="s">
        <v>2526</v>
      </c>
      <c r="C39" s="30" t="n">
        <v>7</v>
      </c>
      <c r="D39" s="31" t="s">
        <v>403</v>
      </c>
      <c r="E39" s="31" t="s">
        <v>2539</v>
      </c>
      <c r="F39" s="33" t="s">
        <v>2540</v>
      </c>
      <c r="G39" s="31" t="s">
        <v>1620</v>
      </c>
      <c r="H39" s="30" t="s">
        <v>2451</v>
      </c>
      <c r="I39" s="30" t="n">
        <v>2000</v>
      </c>
      <c r="J39" s="30" t="s">
        <v>2465</v>
      </c>
      <c r="K39" s="30" t="s">
        <v>123</v>
      </c>
      <c r="L39" s="31"/>
    </row>
    <row r="40" customFormat="false" ht="30" hidden="false" customHeight="true" outlineLevel="0" collapsed="false">
      <c r="A40" s="34" t="n">
        <v>10</v>
      </c>
      <c r="B40" s="34" t="s">
        <v>2526</v>
      </c>
      <c r="C40" s="34" t="n">
        <v>8</v>
      </c>
      <c r="D40" s="35" t="s">
        <v>1677</v>
      </c>
      <c r="E40" s="35" t="s">
        <v>2541</v>
      </c>
      <c r="F40" s="37" t="s">
        <v>2542</v>
      </c>
      <c r="G40" s="35" t="s">
        <v>1676</v>
      </c>
      <c r="H40" s="34" t="s">
        <v>2451</v>
      </c>
      <c r="I40" s="34" t="n">
        <v>1500</v>
      </c>
      <c r="J40" s="34" t="s">
        <v>2465</v>
      </c>
      <c r="K40" s="34" t="s">
        <v>123</v>
      </c>
      <c r="L40" s="35"/>
    </row>
    <row r="41" customFormat="false" ht="30" hidden="false" customHeight="true" outlineLevel="0" collapsed="false">
      <c r="A41" s="34" t="n">
        <v>10</v>
      </c>
      <c r="B41" s="34" t="s">
        <v>2526</v>
      </c>
      <c r="C41" s="34" t="n">
        <v>8</v>
      </c>
      <c r="D41" s="35" t="s">
        <v>1677</v>
      </c>
      <c r="E41" s="35" t="s">
        <v>2543</v>
      </c>
      <c r="F41" s="37" t="s">
        <v>2544</v>
      </c>
      <c r="G41" s="35" t="s">
        <v>1682</v>
      </c>
      <c r="H41" s="34" t="s">
        <v>2451</v>
      </c>
      <c r="I41" s="34" t="n">
        <v>1500</v>
      </c>
      <c r="J41" s="34" t="s">
        <v>2465</v>
      </c>
      <c r="K41" s="34" t="s">
        <v>123</v>
      </c>
      <c r="L41" s="35"/>
    </row>
    <row r="42" customFormat="false" ht="30" hidden="false" customHeight="true" outlineLevel="0" collapsed="false">
      <c r="A42" s="38" t="n">
        <v>11</v>
      </c>
      <c r="B42" s="38" t="s">
        <v>2526</v>
      </c>
      <c r="C42" s="38" t="n">
        <v>9</v>
      </c>
      <c r="D42" s="39" t="s">
        <v>1748</v>
      </c>
      <c r="E42" s="39" t="s">
        <v>2545</v>
      </c>
      <c r="F42" s="41" t="s">
        <v>2546</v>
      </c>
      <c r="G42" s="39" t="s">
        <v>1773</v>
      </c>
      <c r="H42" s="38" t="s">
        <v>2447</v>
      </c>
      <c r="I42" s="38" t="n">
        <v>2500</v>
      </c>
      <c r="J42" s="38" t="s">
        <v>2448</v>
      </c>
      <c r="K42" s="38" t="s">
        <v>123</v>
      </c>
      <c r="L42" s="39"/>
    </row>
    <row r="43" customFormat="false" ht="30" hidden="false" customHeight="true" outlineLevel="0" collapsed="false">
      <c r="A43" s="38" t="n">
        <v>11</v>
      </c>
      <c r="B43" s="38" t="s">
        <v>2526</v>
      </c>
      <c r="C43" s="38" t="n">
        <v>9</v>
      </c>
      <c r="D43" s="39" t="s">
        <v>1748</v>
      </c>
      <c r="E43" s="39" t="s">
        <v>2547</v>
      </c>
      <c r="F43" s="41" t="s">
        <v>2548</v>
      </c>
      <c r="G43" s="39" t="s">
        <v>1747</v>
      </c>
      <c r="H43" s="38" t="s">
        <v>2476</v>
      </c>
      <c r="I43" s="38" t="n">
        <v>1500</v>
      </c>
      <c r="J43" s="38" t="s">
        <v>2448</v>
      </c>
      <c r="K43" s="38" t="s">
        <v>123</v>
      </c>
      <c r="L43" s="39"/>
    </row>
    <row r="44" customFormat="false" ht="30" hidden="false" customHeight="true" outlineLevel="0" collapsed="false">
      <c r="A44" s="38" t="n">
        <v>11</v>
      </c>
      <c r="B44" s="38" t="s">
        <v>2526</v>
      </c>
      <c r="C44" s="38" t="n">
        <v>9</v>
      </c>
      <c r="D44" s="39" t="s">
        <v>1748</v>
      </c>
      <c r="E44" s="39" t="s">
        <v>2549</v>
      </c>
      <c r="F44" s="41" t="s">
        <v>2550</v>
      </c>
      <c r="G44" s="39" t="s">
        <v>1781</v>
      </c>
      <c r="H44" s="38" t="s">
        <v>2451</v>
      </c>
      <c r="I44" s="38" t="n">
        <v>1800</v>
      </c>
      <c r="J44" s="38" t="s">
        <v>2465</v>
      </c>
      <c r="K44" s="38" t="s">
        <v>123</v>
      </c>
      <c r="L44" s="39"/>
    </row>
    <row r="45" customFormat="false" ht="30" hidden="false" customHeight="true" outlineLevel="0" collapsed="false">
      <c r="A45" s="18" t="n">
        <v>11</v>
      </c>
      <c r="B45" s="18" t="s">
        <v>2526</v>
      </c>
      <c r="C45" s="18" t="n">
        <v>4</v>
      </c>
      <c r="D45" s="19" t="s">
        <v>266</v>
      </c>
      <c r="E45" s="19" t="s">
        <v>2551</v>
      </c>
      <c r="F45" s="21" t="s">
        <v>1276</v>
      </c>
      <c r="G45" s="19" t="s">
        <v>1274</v>
      </c>
      <c r="H45" s="18" t="s">
        <v>2451</v>
      </c>
      <c r="I45" s="18" t="n">
        <v>2000</v>
      </c>
      <c r="J45" s="18" t="s">
        <v>2465</v>
      </c>
      <c r="K45" s="18" t="s">
        <v>123</v>
      </c>
      <c r="L45" s="19"/>
    </row>
    <row r="46" customFormat="false" ht="30" hidden="false" customHeight="true" outlineLevel="0" collapsed="false">
      <c r="A46" s="22" t="n">
        <v>12</v>
      </c>
      <c r="B46" s="22" t="s">
        <v>2526</v>
      </c>
      <c r="C46" s="22" t="n">
        <v>5</v>
      </c>
      <c r="D46" s="23" t="s">
        <v>1427</v>
      </c>
      <c r="E46" s="23" t="s">
        <v>2552</v>
      </c>
      <c r="F46" s="25" t="s">
        <v>2553</v>
      </c>
      <c r="G46" s="23" t="s">
        <v>1426</v>
      </c>
      <c r="H46" s="22" t="s">
        <v>2451</v>
      </c>
      <c r="I46" s="22" t="n">
        <v>1500</v>
      </c>
      <c r="J46" s="22" t="s">
        <v>2554</v>
      </c>
      <c r="K46" s="22" t="s">
        <v>123</v>
      </c>
      <c r="L46" s="23"/>
    </row>
    <row r="47" customFormat="false" ht="30" hidden="false" customHeight="true" outlineLevel="0" collapsed="false">
      <c r="A47" s="18" t="n">
        <v>12</v>
      </c>
      <c r="B47" s="18" t="s">
        <v>2526</v>
      </c>
      <c r="C47" s="18" t="n">
        <v>4</v>
      </c>
      <c r="D47" s="19" t="s">
        <v>174</v>
      </c>
      <c r="E47" s="19" t="s">
        <v>2555</v>
      </c>
      <c r="F47" s="21" t="s">
        <v>2556</v>
      </c>
      <c r="G47" s="19" t="s">
        <v>2557</v>
      </c>
      <c r="H47" s="18" t="s">
        <v>2451</v>
      </c>
      <c r="I47" s="18" t="n">
        <v>1800</v>
      </c>
      <c r="J47" s="18" t="s">
        <v>2465</v>
      </c>
      <c r="K47" s="18" t="s">
        <v>123</v>
      </c>
      <c r="L47" s="19"/>
    </row>
    <row r="48" customFormat="false" ht="30" hidden="false" customHeight="true" outlineLevel="0" collapsed="false">
      <c r="A48" s="18" t="n">
        <v>12</v>
      </c>
      <c r="B48" s="18" t="s">
        <v>2526</v>
      </c>
      <c r="C48" s="18" t="n">
        <v>4</v>
      </c>
      <c r="D48" s="19" t="s">
        <v>248</v>
      </c>
      <c r="E48" s="19" t="s">
        <v>2558</v>
      </c>
      <c r="F48" s="21" t="s">
        <v>2559</v>
      </c>
      <c r="G48" s="19" t="s">
        <v>1210</v>
      </c>
      <c r="H48" s="18" t="s">
        <v>2451</v>
      </c>
      <c r="I48" s="18" t="n">
        <v>2200</v>
      </c>
      <c r="J48" s="18" t="s">
        <v>2448</v>
      </c>
      <c r="K48" s="18" t="s">
        <v>123</v>
      </c>
      <c r="L48" s="19"/>
    </row>
    <row r="49" customFormat="false" ht="30" hidden="false" customHeight="true" outlineLevel="0" collapsed="false">
      <c r="A49" s="18" t="n">
        <v>12</v>
      </c>
      <c r="B49" s="18" t="s">
        <v>2526</v>
      </c>
      <c r="C49" s="18" t="n">
        <v>4</v>
      </c>
      <c r="D49" s="19" t="s">
        <v>260</v>
      </c>
      <c r="E49" s="19" t="s">
        <v>2560</v>
      </c>
      <c r="F49" s="21" t="s">
        <v>1264</v>
      </c>
      <c r="G49" s="19" t="s">
        <v>2561</v>
      </c>
      <c r="H49" s="18" t="s">
        <v>2451</v>
      </c>
      <c r="I49" s="18" t="n">
        <v>2000</v>
      </c>
      <c r="J49" s="18" t="s">
        <v>2465</v>
      </c>
      <c r="K49" s="18" t="s">
        <v>123</v>
      </c>
      <c r="L49" s="19"/>
    </row>
    <row r="50" customFormat="false" ht="30" hidden="false" customHeight="true" outlineLevel="0" collapsed="false">
      <c r="A50" s="42" t="n">
        <v>13</v>
      </c>
      <c r="B50" s="42" t="s">
        <v>2562</v>
      </c>
      <c r="C50" s="42" t="n">
        <v>10</v>
      </c>
      <c r="D50" s="43" t="s">
        <v>1795</v>
      </c>
      <c r="E50" s="43" t="s">
        <v>2563</v>
      </c>
      <c r="F50" s="45" t="s">
        <v>2564</v>
      </c>
      <c r="G50" s="43" t="s">
        <v>1793</v>
      </c>
      <c r="H50" s="42" t="s">
        <v>2451</v>
      </c>
      <c r="I50" s="42" t="n">
        <v>1500</v>
      </c>
      <c r="J50" s="42" t="s">
        <v>2448</v>
      </c>
      <c r="K50" s="42" t="s">
        <v>123</v>
      </c>
      <c r="L50" s="43"/>
    </row>
    <row r="51" customFormat="false" ht="30" hidden="false" customHeight="true" outlineLevel="0" collapsed="false">
      <c r="A51" s="42" t="n">
        <v>13</v>
      </c>
      <c r="B51" s="42" t="s">
        <v>2562</v>
      </c>
      <c r="C51" s="42" t="n">
        <v>10</v>
      </c>
      <c r="D51" s="43" t="s">
        <v>1795</v>
      </c>
      <c r="E51" s="43" t="s">
        <v>2565</v>
      </c>
      <c r="F51" s="45" t="s">
        <v>2566</v>
      </c>
      <c r="G51" s="43" t="s">
        <v>2567</v>
      </c>
      <c r="H51" s="42" t="s">
        <v>2451</v>
      </c>
      <c r="I51" s="42" t="n">
        <v>2500</v>
      </c>
      <c r="J51" s="42" t="s">
        <v>2448</v>
      </c>
      <c r="K51" s="42" t="s">
        <v>123</v>
      </c>
      <c r="L51" s="43"/>
    </row>
    <row r="52" customFormat="false" ht="30" hidden="false" customHeight="true" outlineLevel="0" collapsed="false">
      <c r="A52" s="42" t="n">
        <v>13</v>
      </c>
      <c r="B52" s="42" t="s">
        <v>2562</v>
      </c>
      <c r="C52" s="42" t="n">
        <v>10</v>
      </c>
      <c r="D52" s="43" t="s">
        <v>1795</v>
      </c>
      <c r="E52" s="43" t="s">
        <v>2568</v>
      </c>
      <c r="F52" s="45" t="s">
        <v>1821</v>
      </c>
      <c r="G52" s="43" t="s">
        <v>2569</v>
      </c>
      <c r="H52" s="42" t="s">
        <v>2451</v>
      </c>
      <c r="I52" s="42" t="n">
        <v>1800</v>
      </c>
      <c r="J52" s="42" t="s">
        <v>2465</v>
      </c>
      <c r="K52" s="42" t="s">
        <v>123</v>
      </c>
      <c r="L52" s="43"/>
    </row>
    <row r="53" customFormat="false" ht="30" hidden="false" customHeight="true" outlineLevel="0" collapsed="false">
      <c r="A53" s="42" t="n">
        <v>13</v>
      </c>
      <c r="B53" s="42" t="s">
        <v>2562</v>
      </c>
      <c r="C53" s="42" t="n">
        <v>10</v>
      </c>
      <c r="D53" s="43" t="s">
        <v>1795</v>
      </c>
      <c r="E53" s="43" t="s">
        <v>2570</v>
      </c>
      <c r="F53" s="45" t="s">
        <v>2571</v>
      </c>
      <c r="G53" s="43" t="s">
        <v>1807</v>
      </c>
      <c r="H53" s="42" t="s">
        <v>2451</v>
      </c>
      <c r="I53" s="42" t="n">
        <v>1500</v>
      </c>
      <c r="J53" s="42" t="s">
        <v>2448</v>
      </c>
      <c r="K53" s="42" t="s">
        <v>123</v>
      </c>
      <c r="L53" s="43"/>
    </row>
    <row r="54" customFormat="false" ht="30" hidden="false" customHeight="true" outlineLevel="0" collapsed="false">
      <c r="A54" s="42" t="n">
        <v>14</v>
      </c>
      <c r="B54" s="42" t="s">
        <v>2562</v>
      </c>
      <c r="C54" s="42" t="n">
        <v>10</v>
      </c>
      <c r="D54" s="43" t="s">
        <v>1794</v>
      </c>
      <c r="E54" s="43" t="s">
        <v>2572</v>
      </c>
      <c r="F54" s="45" t="s">
        <v>2573</v>
      </c>
      <c r="G54" s="43" t="s">
        <v>2574</v>
      </c>
      <c r="H54" s="42" t="s">
        <v>2451</v>
      </c>
      <c r="I54" s="42" t="n">
        <v>1500</v>
      </c>
      <c r="J54" s="42" t="s">
        <v>2448</v>
      </c>
      <c r="K54" s="42" t="s">
        <v>123</v>
      </c>
      <c r="L54" s="43"/>
    </row>
    <row r="55" customFormat="false" ht="30" hidden="false" customHeight="true" outlineLevel="0" collapsed="false">
      <c r="A55" s="42" t="n">
        <v>14</v>
      </c>
      <c r="B55" s="42" t="s">
        <v>2562</v>
      </c>
      <c r="C55" s="42" t="n">
        <v>10</v>
      </c>
      <c r="D55" s="43" t="s">
        <v>1794</v>
      </c>
      <c r="E55" s="43" t="s">
        <v>2575</v>
      </c>
      <c r="F55" s="45" t="s">
        <v>2576</v>
      </c>
      <c r="G55" s="43" t="s">
        <v>2577</v>
      </c>
      <c r="H55" s="42" t="s">
        <v>2451</v>
      </c>
      <c r="I55" s="42" t="n">
        <v>1800</v>
      </c>
      <c r="J55" s="42" t="s">
        <v>2465</v>
      </c>
      <c r="K55" s="42" t="s">
        <v>123</v>
      </c>
      <c r="L55" s="43"/>
    </row>
    <row r="56" customFormat="false" ht="30" hidden="false" customHeight="true" outlineLevel="0" collapsed="false">
      <c r="A56" s="42" t="n">
        <v>14</v>
      </c>
      <c r="B56" s="42" t="s">
        <v>2562</v>
      </c>
      <c r="C56" s="42" t="n">
        <v>10</v>
      </c>
      <c r="D56" s="43" t="s">
        <v>1794</v>
      </c>
      <c r="E56" s="43" t="s">
        <v>2578</v>
      </c>
      <c r="F56" s="45" t="s">
        <v>2579</v>
      </c>
      <c r="G56" s="43" t="s">
        <v>1847</v>
      </c>
      <c r="H56" s="42" t="s">
        <v>2451</v>
      </c>
      <c r="I56" s="42" t="n">
        <v>1800</v>
      </c>
      <c r="J56" s="42" t="s">
        <v>2465</v>
      </c>
      <c r="K56" s="42" t="s">
        <v>123</v>
      </c>
      <c r="L56" s="43"/>
    </row>
    <row r="57" customFormat="false" ht="30" hidden="false" customHeight="true" outlineLevel="0" collapsed="false">
      <c r="A57" s="42" t="n">
        <v>14</v>
      </c>
      <c r="B57" s="42" t="s">
        <v>2562</v>
      </c>
      <c r="C57" s="42" t="n">
        <v>10</v>
      </c>
      <c r="D57" s="43" t="s">
        <v>1794</v>
      </c>
      <c r="E57" s="43" t="s">
        <v>2580</v>
      </c>
      <c r="F57" s="45" t="s">
        <v>2581</v>
      </c>
      <c r="G57" s="43" t="s">
        <v>2582</v>
      </c>
      <c r="H57" s="42" t="s">
        <v>2451</v>
      </c>
      <c r="I57" s="42" t="n">
        <v>1500</v>
      </c>
      <c r="J57" s="42" t="s">
        <v>2448</v>
      </c>
      <c r="K57" s="42" t="s">
        <v>123</v>
      </c>
      <c r="L57" s="43"/>
    </row>
    <row r="58" customFormat="false" ht="30" hidden="false" customHeight="true" outlineLevel="0" collapsed="false">
      <c r="A58" s="30" t="n">
        <v>15</v>
      </c>
      <c r="B58" s="30" t="s">
        <v>2562</v>
      </c>
      <c r="C58" s="30" t="n">
        <v>7</v>
      </c>
      <c r="D58" s="31" t="s">
        <v>403</v>
      </c>
      <c r="E58" s="31" t="s">
        <v>2583</v>
      </c>
      <c r="F58" s="33" t="s">
        <v>2584</v>
      </c>
      <c r="G58" s="31" t="s">
        <v>2585</v>
      </c>
      <c r="H58" s="30" t="s">
        <v>2451</v>
      </c>
      <c r="I58" s="30" t="n">
        <v>1800</v>
      </c>
      <c r="J58" s="30" t="s">
        <v>2465</v>
      </c>
      <c r="K58" s="30" t="s">
        <v>123</v>
      </c>
      <c r="L58" s="31"/>
    </row>
    <row r="59" customFormat="false" ht="30" hidden="false" customHeight="true" outlineLevel="0" collapsed="false">
      <c r="A59" s="18" t="n">
        <v>15</v>
      </c>
      <c r="B59" s="18" t="s">
        <v>2562</v>
      </c>
      <c r="C59" s="18" t="n">
        <v>4</v>
      </c>
      <c r="D59" s="19" t="s">
        <v>298</v>
      </c>
      <c r="E59" s="19" t="s">
        <v>2586</v>
      </c>
      <c r="F59" s="21" t="s">
        <v>2587</v>
      </c>
      <c r="G59" s="19" t="s">
        <v>2588</v>
      </c>
      <c r="H59" s="18" t="s">
        <v>2451</v>
      </c>
      <c r="I59" s="18" t="n">
        <v>1500</v>
      </c>
      <c r="J59" s="18" t="s">
        <v>2554</v>
      </c>
      <c r="K59" s="18" t="s">
        <v>123</v>
      </c>
      <c r="L59" s="19"/>
    </row>
    <row r="60" customFormat="false" ht="30" hidden="false" customHeight="true" outlineLevel="0" collapsed="false">
      <c r="A60" s="18" t="n">
        <v>15</v>
      </c>
      <c r="B60" s="18" t="s">
        <v>2562</v>
      </c>
      <c r="C60" s="18" t="n">
        <v>4</v>
      </c>
      <c r="D60" s="19" t="s">
        <v>309</v>
      </c>
      <c r="E60" s="19" t="s">
        <v>2589</v>
      </c>
      <c r="F60" s="21" t="s">
        <v>2590</v>
      </c>
      <c r="G60" s="19" t="s">
        <v>2591</v>
      </c>
      <c r="H60" s="18" t="s">
        <v>2451</v>
      </c>
      <c r="I60" s="18" t="n">
        <v>2500</v>
      </c>
      <c r="J60" s="18" t="s">
        <v>2448</v>
      </c>
      <c r="K60" s="18" t="s">
        <v>123</v>
      </c>
      <c r="L60" s="19"/>
    </row>
    <row r="61" customFormat="false" ht="30" hidden="false" customHeight="true" outlineLevel="0" collapsed="false">
      <c r="A61" s="18" t="n">
        <v>15</v>
      </c>
      <c r="B61" s="18" t="s">
        <v>2562</v>
      </c>
      <c r="C61" s="18" t="n">
        <v>4</v>
      </c>
      <c r="D61" s="19" t="s">
        <v>309</v>
      </c>
      <c r="E61" s="19" t="s">
        <v>2592</v>
      </c>
      <c r="F61" s="21" t="s">
        <v>2593</v>
      </c>
      <c r="G61" s="19" t="s">
        <v>1230</v>
      </c>
      <c r="H61" s="18" t="s">
        <v>2451</v>
      </c>
      <c r="I61" s="18" t="n">
        <v>1800</v>
      </c>
      <c r="J61" s="18" t="s">
        <v>2465</v>
      </c>
      <c r="K61" s="18" t="s">
        <v>123</v>
      </c>
      <c r="L61" s="19"/>
    </row>
    <row r="62" customFormat="false" ht="30" hidden="false" customHeight="true" outlineLevel="0" collapsed="false">
      <c r="A62" s="18" t="n">
        <v>16</v>
      </c>
      <c r="B62" s="18" t="s">
        <v>2562</v>
      </c>
      <c r="C62" s="18" t="n">
        <v>4</v>
      </c>
      <c r="D62" s="19" t="s">
        <v>272</v>
      </c>
      <c r="E62" s="19" t="s">
        <v>2594</v>
      </c>
      <c r="F62" s="21" t="s">
        <v>2595</v>
      </c>
      <c r="G62" s="19" t="s">
        <v>2596</v>
      </c>
      <c r="H62" s="18" t="s">
        <v>2451</v>
      </c>
      <c r="I62" s="18" t="n">
        <v>2500</v>
      </c>
      <c r="J62" s="18" t="s">
        <v>2448</v>
      </c>
      <c r="K62" s="18" t="s">
        <v>123</v>
      </c>
      <c r="L62" s="19"/>
    </row>
    <row r="63" customFormat="false" ht="30" hidden="false" customHeight="true" outlineLevel="0" collapsed="false">
      <c r="A63" s="18" t="n">
        <v>16</v>
      </c>
      <c r="B63" s="18" t="s">
        <v>2562</v>
      </c>
      <c r="C63" s="18" t="n">
        <v>4</v>
      </c>
      <c r="D63" s="19" t="s">
        <v>272</v>
      </c>
      <c r="E63" s="19" t="s">
        <v>2597</v>
      </c>
      <c r="F63" s="21" t="s">
        <v>2598</v>
      </c>
      <c r="G63" s="19" t="s">
        <v>2599</v>
      </c>
      <c r="H63" s="18" t="s">
        <v>2451</v>
      </c>
      <c r="I63" s="18" t="n">
        <v>2800</v>
      </c>
      <c r="J63" s="18" t="s">
        <v>2448</v>
      </c>
      <c r="K63" s="18" t="s">
        <v>123</v>
      </c>
      <c r="L63" s="19"/>
    </row>
    <row r="64" customFormat="false" ht="30" hidden="false" customHeight="true" outlineLevel="0" collapsed="false">
      <c r="A64" s="6" t="n">
        <v>16</v>
      </c>
      <c r="B64" s="6" t="s">
        <v>2562</v>
      </c>
      <c r="C64" s="6" t="n">
        <v>1</v>
      </c>
      <c r="D64" s="7" t="s">
        <v>2280</v>
      </c>
      <c r="E64" s="7" t="s">
        <v>2600</v>
      </c>
      <c r="F64" s="9" t="s">
        <v>2601</v>
      </c>
      <c r="G64" s="7" t="s">
        <v>2602</v>
      </c>
      <c r="H64" s="6" t="s">
        <v>2447</v>
      </c>
      <c r="I64" s="6" t="n">
        <v>2000</v>
      </c>
      <c r="J64" s="6" t="s">
        <v>2465</v>
      </c>
      <c r="K64" s="6" t="s">
        <v>123</v>
      </c>
      <c r="L64" s="7"/>
    </row>
    <row r="65" customFormat="false" ht="30" hidden="false" customHeight="true" outlineLevel="0" collapsed="false">
      <c r="A65" s="6" t="n">
        <v>16</v>
      </c>
      <c r="B65" s="6" t="s">
        <v>2562</v>
      </c>
      <c r="C65" s="6" t="n">
        <v>1</v>
      </c>
      <c r="D65" s="7" t="s">
        <v>2289</v>
      </c>
      <c r="E65" s="7" t="s">
        <v>2603</v>
      </c>
      <c r="F65" s="9" t="s">
        <v>2604</v>
      </c>
      <c r="G65" s="7" t="s">
        <v>2605</v>
      </c>
      <c r="H65" s="6" t="s">
        <v>2451</v>
      </c>
      <c r="I65" s="6" t="n">
        <v>2000</v>
      </c>
      <c r="J65" s="6" t="s">
        <v>2465</v>
      </c>
      <c r="K65" s="6" t="s">
        <v>123</v>
      </c>
      <c r="L65" s="7"/>
    </row>
  </sheetData>
  <dataValidations count="2">
    <dataValidation allowBlank="true" errorStyle="stop" operator="between" showDropDown="false" showErrorMessage="false" showInputMessage="false" sqref="K2:K65" type="list">
      <formula1>"Not Started,Researching,Drafting,Editing,Published,Promoted"</formula1>
      <formula2>0</formula2>
    </dataValidation>
    <dataValidation allowBlank="true" errorStyle="stop" operator="between" showDropDown="false" showErrorMessage="false" showInputMessage="false" sqref="J2:J65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38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32"/>
  </cols>
  <sheetData>
    <row r="1" customFormat="false" ht="37.5" hidden="false" customHeight="true" outlineLevel="0" collapsed="false">
      <c r="A1" s="5" t="s">
        <v>99</v>
      </c>
      <c r="B1" s="5" t="s">
        <v>2606</v>
      </c>
      <c r="C1" s="5" t="s">
        <v>2607</v>
      </c>
      <c r="D1" s="5" t="s">
        <v>2608</v>
      </c>
      <c r="E1" s="5" t="s">
        <v>2609</v>
      </c>
      <c r="F1" s="5" t="s">
        <v>109</v>
      </c>
      <c r="G1" s="5" t="s">
        <v>2610</v>
      </c>
    </row>
    <row r="2" customFormat="false" ht="25.5" hidden="false" customHeight="true" outlineLevel="0" collapsed="false">
      <c r="A2" s="46" t="n">
        <v>1</v>
      </c>
      <c r="B2" s="47" t="s">
        <v>2611</v>
      </c>
      <c r="C2" s="47" t="s">
        <v>2612</v>
      </c>
      <c r="D2" s="70" t="s">
        <v>2613</v>
      </c>
      <c r="E2" s="47" t="s">
        <v>2614</v>
      </c>
      <c r="F2" s="46" t="s">
        <v>2448</v>
      </c>
      <c r="G2" s="47" t="s">
        <v>2615</v>
      </c>
    </row>
    <row r="3" customFormat="false" ht="25.5" hidden="false" customHeight="true" outlineLevel="0" collapsed="false">
      <c r="A3" s="46" t="n">
        <v>2</v>
      </c>
      <c r="B3" s="47" t="s">
        <v>2616</v>
      </c>
      <c r="C3" s="47" t="s">
        <v>2617</v>
      </c>
      <c r="D3" s="70" t="s">
        <v>2618</v>
      </c>
      <c r="E3" s="47" t="s">
        <v>2619</v>
      </c>
      <c r="F3" s="46" t="s">
        <v>2465</v>
      </c>
      <c r="G3" s="47" t="s">
        <v>2620</v>
      </c>
    </row>
    <row r="4" customFormat="false" ht="25.5" hidden="false" customHeight="true" outlineLevel="0" collapsed="false">
      <c r="A4" s="46" t="n">
        <v>3</v>
      </c>
      <c r="B4" s="47" t="s">
        <v>2621</v>
      </c>
      <c r="C4" s="47" t="s">
        <v>2622</v>
      </c>
      <c r="D4" s="70" t="s">
        <v>2623</v>
      </c>
      <c r="E4" s="47" t="s">
        <v>2624</v>
      </c>
      <c r="F4" s="46" t="s">
        <v>2448</v>
      </c>
      <c r="G4" s="47" t="s">
        <v>2620</v>
      </c>
    </row>
    <row r="5" customFormat="false" ht="25.5" hidden="false" customHeight="true" outlineLevel="0" collapsed="false">
      <c r="A5" s="46" t="n">
        <v>4</v>
      </c>
      <c r="B5" s="47" t="s">
        <v>2625</v>
      </c>
      <c r="C5" s="47" t="s">
        <v>2626</v>
      </c>
      <c r="D5" s="70" t="s">
        <v>2627</v>
      </c>
      <c r="E5" s="47" t="s">
        <v>2628</v>
      </c>
      <c r="F5" s="46" t="s">
        <v>2448</v>
      </c>
      <c r="G5" s="47" t="s">
        <v>2629</v>
      </c>
    </row>
    <row r="6" customFormat="false" ht="25.5" hidden="false" customHeight="true" outlineLevel="0" collapsed="false">
      <c r="A6" s="46" t="n">
        <v>5</v>
      </c>
      <c r="B6" s="47" t="s">
        <v>2630</v>
      </c>
      <c r="C6" s="47" t="s">
        <v>2631</v>
      </c>
      <c r="D6" s="70" t="s">
        <v>2632</v>
      </c>
      <c r="E6" s="47" t="s">
        <v>2633</v>
      </c>
      <c r="F6" s="46" t="s">
        <v>2465</v>
      </c>
      <c r="G6" s="47" t="s">
        <v>2629</v>
      </c>
    </row>
    <row r="7" customFormat="false" ht="25.5" hidden="false" customHeight="true" outlineLevel="0" collapsed="false">
      <c r="A7" s="46" t="n">
        <v>6</v>
      </c>
      <c r="B7" s="47" t="s">
        <v>2634</v>
      </c>
      <c r="C7" s="47" t="s">
        <v>991</v>
      </c>
      <c r="D7" s="70" t="s">
        <v>2635</v>
      </c>
      <c r="E7" s="47" t="s">
        <v>2636</v>
      </c>
      <c r="F7" s="46" t="s">
        <v>2448</v>
      </c>
      <c r="G7" s="47" t="s">
        <v>2637</v>
      </c>
    </row>
    <row r="8" customFormat="false" ht="25.5" hidden="false" customHeight="true" outlineLevel="0" collapsed="false">
      <c r="A8" s="46" t="n">
        <v>7</v>
      </c>
      <c r="B8" s="47" t="s">
        <v>2638</v>
      </c>
      <c r="C8" s="47" t="s">
        <v>1104</v>
      </c>
      <c r="D8" s="70" t="s">
        <v>2639</v>
      </c>
      <c r="E8" s="47" t="s">
        <v>2640</v>
      </c>
      <c r="F8" s="46" t="s">
        <v>2448</v>
      </c>
      <c r="G8" s="47" t="s">
        <v>2641</v>
      </c>
    </row>
    <row r="9" customFormat="false" ht="25.5" hidden="false" customHeight="true" outlineLevel="0" collapsed="false">
      <c r="A9" s="46" t="n">
        <v>8</v>
      </c>
      <c r="B9" s="47" t="s">
        <v>2642</v>
      </c>
      <c r="C9" s="47" t="s">
        <v>2643</v>
      </c>
      <c r="D9" s="70" t="s">
        <v>2644</v>
      </c>
      <c r="E9" s="47" t="s">
        <v>2645</v>
      </c>
      <c r="F9" s="46" t="s">
        <v>2465</v>
      </c>
      <c r="G9" s="47" t="s">
        <v>2641</v>
      </c>
    </row>
    <row r="10" customFormat="false" ht="25.5" hidden="false" customHeight="true" outlineLevel="0" collapsed="false">
      <c r="A10" s="46" t="n">
        <v>9</v>
      </c>
      <c r="B10" s="47" t="s">
        <v>2646</v>
      </c>
      <c r="C10" s="47" t="s">
        <v>2647</v>
      </c>
      <c r="D10" s="70" t="s">
        <v>2648</v>
      </c>
      <c r="E10" s="47" t="s">
        <v>2640</v>
      </c>
      <c r="F10" s="46" t="s">
        <v>2448</v>
      </c>
      <c r="G10" s="47" t="s">
        <v>2649</v>
      </c>
    </row>
    <row r="11" customFormat="false" ht="25.5" hidden="false" customHeight="true" outlineLevel="0" collapsed="false">
      <c r="A11" s="46" t="n">
        <v>10</v>
      </c>
      <c r="B11" s="47" t="s">
        <v>2650</v>
      </c>
      <c r="C11" s="47" t="s">
        <v>1303</v>
      </c>
      <c r="D11" s="70" t="s">
        <v>1307</v>
      </c>
      <c r="E11" s="47" t="s">
        <v>2651</v>
      </c>
      <c r="F11" s="46" t="s">
        <v>2465</v>
      </c>
      <c r="G11" s="47" t="s">
        <v>2652</v>
      </c>
    </row>
    <row r="12" customFormat="false" ht="25.5" hidden="false" customHeight="true" outlineLevel="0" collapsed="false">
      <c r="A12" s="46" t="n">
        <v>11</v>
      </c>
      <c r="B12" s="47" t="s">
        <v>2653</v>
      </c>
      <c r="C12" s="47" t="s">
        <v>2654</v>
      </c>
      <c r="D12" s="70" t="s">
        <v>2655</v>
      </c>
      <c r="E12" s="47" t="s">
        <v>2656</v>
      </c>
      <c r="F12" s="46" t="s">
        <v>2465</v>
      </c>
      <c r="G12" s="47" t="s">
        <v>2657</v>
      </c>
    </row>
    <row r="13" customFormat="false" ht="25.5" hidden="false" customHeight="true" outlineLevel="0" collapsed="false">
      <c r="A13" s="46" t="n">
        <v>12</v>
      </c>
      <c r="B13" s="47" t="s">
        <v>2658</v>
      </c>
      <c r="C13" s="47" t="s">
        <v>1539</v>
      </c>
      <c r="D13" s="70" t="s">
        <v>1541</v>
      </c>
      <c r="E13" s="47" t="s">
        <v>2659</v>
      </c>
      <c r="F13" s="46" t="s">
        <v>2554</v>
      </c>
      <c r="G13" s="47" t="s">
        <v>2657</v>
      </c>
    </row>
    <row r="14" customFormat="false" ht="25.5" hidden="false" customHeight="true" outlineLevel="0" collapsed="false">
      <c r="A14" s="46" t="n">
        <v>13</v>
      </c>
      <c r="B14" s="47" t="s">
        <v>2660</v>
      </c>
      <c r="C14" s="47" t="s">
        <v>2661</v>
      </c>
      <c r="D14" s="70" t="s">
        <v>2662</v>
      </c>
      <c r="E14" s="47" t="s">
        <v>2663</v>
      </c>
      <c r="F14" s="46" t="s">
        <v>2554</v>
      </c>
      <c r="G14" s="47" t="s">
        <v>2664</v>
      </c>
    </row>
    <row r="15" customFormat="false" ht="25.5" hidden="false" customHeight="true" outlineLevel="0" collapsed="false">
      <c r="A15" s="46" t="n">
        <v>14</v>
      </c>
      <c r="B15" s="47" t="s">
        <v>2665</v>
      </c>
      <c r="C15" s="47" t="s">
        <v>1679</v>
      </c>
      <c r="D15" s="70" t="s">
        <v>1681</v>
      </c>
      <c r="E15" s="47" t="s">
        <v>2666</v>
      </c>
      <c r="F15" s="46" t="s">
        <v>2554</v>
      </c>
      <c r="G15" s="47" t="s">
        <v>2667</v>
      </c>
    </row>
    <row r="16" customFormat="false" ht="25.5" hidden="false" customHeight="true" outlineLevel="0" collapsed="false">
      <c r="A16" s="46" t="n">
        <v>15</v>
      </c>
      <c r="B16" s="47" t="s">
        <v>2668</v>
      </c>
      <c r="C16" s="47" t="s">
        <v>2669</v>
      </c>
      <c r="D16" s="70" t="s">
        <v>2670</v>
      </c>
      <c r="E16" s="47" t="s">
        <v>2671</v>
      </c>
      <c r="F16" s="46" t="s">
        <v>2465</v>
      </c>
      <c r="G16" s="47" t="s">
        <v>2672</v>
      </c>
    </row>
    <row r="17" customFormat="false" ht="25.5" hidden="false" customHeight="true" outlineLevel="0" collapsed="false">
      <c r="A17" s="46" t="n">
        <v>16</v>
      </c>
      <c r="B17" s="47" t="s">
        <v>2673</v>
      </c>
      <c r="C17" s="47" t="s">
        <v>1796</v>
      </c>
      <c r="D17" s="70" t="s">
        <v>2674</v>
      </c>
      <c r="E17" s="47" t="s">
        <v>2451</v>
      </c>
      <c r="F17" s="46" t="s">
        <v>2448</v>
      </c>
      <c r="G17" s="47" t="s">
        <v>2675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2026-05-24T16:35:29Z</dcterms:created>
  <dc:creator>openpyxl</dc:creator>
  <dc:description/>
  <dc:language>en-US</dc:language>
  <cp:lastModifiedBy/>
  <dcterms:modified xsi:type="dcterms:W3CDTF">2026-05-24T16:35:34Z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